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7520" windowHeight="10305"/>
  </bookViews>
  <sheets>
    <sheet name="Sheet2" sheetId="2" r:id="rId1"/>
    <sheet name="Sheet3" sheetId="3" r:id="rId2"/>
    <sheet name="Sheet4" sheetId="5" r:id="rId3"/>
    <sheet name="Sheet1" sheetId="4" r:id="rId4"/>
  </sheets>
  <calcPr calcId="124519"/>
</workbook>
</file>

<file path=xl/calcChain.xml><?xml version="1.0" encoding="utf-8"?>
<calcChain xmlns="http://schemas.openxmlformats.org/spreadsheetml/2006/main">
  <c r="R398" i="2"/>
  <c r="T398" s="1"/>
  <c r="S457"/>
  <c r="T341"/>
  <c r="P21"/>
  <c r="P4"/>
  <c r="O19"/>
  <c r="S333"/>
  <c r="S150"/>
  <c r="S172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3"/>
  <c r="R134"/>
  <c r="R135"/>
  <c r="R136"/>
  <c r="R137"/>
  <c r="R138"/>
  <c r="R139"/>
  <c r="R140"/>
  <c r="R141"/>
  <c r="R142"/>
  <c r="R143"/>
  <c r="R144"/>
  <c r="R145"/>
  <c r="R146"/>
  <c r="R148"/>
  <c r="R149"/>
  <c r="R151"/>
  <c r="R152"/>
  <c r="R153"/>
  <c r="R155"/>
  <c r="R156"/>
  <c r="R157"/>
  <c r="R225"/>
  <c r="R159"/>
  <c r="R160"/>
  <c r="R161"/>
  <c r="R162"/>
  <c r="R163"/>
  <c r="R164"/>
  <c r="R165"/>
  <c r="R166"/>
  <c r="R167"/>
  <c r="R168"/>
  <c r="R169"/>
  <c r="R170"/>
  <c r="R171"/>
  <c r="R173"/>
  <c r="R174"/>
  <c r="R175"/>
  <c r="R176"/>
  <c r="R177"/>
  <c r="R179"/>
  <c r="R178"/>
  <c r="R180"/>
  <c r="R132"/>
  <c r="R181"/>
  <c r="R182"/>
  <c r="R183"/>
  <c r="R184"/>
  <c r="R185"/>
  <c r="R186"/>
  <c r="R187"/>
  <c r="R188"/>
  <c r="R189"/>
  <c r="R192"/>
  <c r="R190"/>
  <c r="R191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147"/>
  <c r="R210"/>
  <c r="R211"/>
  <c r="R212"/>
  <c r="R150"/>
  <c r="R213"/>
  <c r="R214"/>
  <c r="R215"/>
  <c r="R216"/>
  <c r="R217"/>
  <c r="R219"/>
  <c r="R218"/>
  <c r="R154"/>
  <c r="R220"/>
  <c r="R221"/>
  <c r="R222"/>
  <c r="R223"/>
  <c r="R224"/>
  <c r="R226"/>
  <c r="R227"/>
  <c r="R228"/>
  <c r="R229"/>
  <c r="R230"/>
  <c r="R158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4"/>
  <c r="R335"/>
  <c r="R336"/>
  <c r="R337"/>
  <c r="R338"/>
  <c r="R339"/>
  <c r="R340"/>
  <c r="R342"/>
  <c r="R343"/>
  <c r="R344"/>
  <c r="R345"/>
  <c r="R346"/>
  <c r="R347"/>
  <c r="R348"/>
  <c r="R349"/>
  <c r="R350"/>
  <c r="R351"/>
  <c r="R352"/>
  <c r="R456"/>
  <c r="R354"/>
  <c r="R355"/>
  <c r="R356"/>
  <c r="R357"/>
  <c r="R358"/>
  <c r="R359"/>
  <c r="R360"/>
  <c r="R361"/>
  <c r="R362"/>
  <c r="R363"/>
  <c r="R333"/>
  <c r="T333" s="1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353"/>
  <c r="R454"/>
  <c r="R455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3"/>
  <c r="S190"/>
  <c r="S27"/>
  <c r="S353" l="1"/>
  <c r="S236"/>
  <c r="S158"/>
  <c r="S154"/>
  <c r="S33"/>
  <c r="C9" i="3"/>
  <c r="C10" s="1"/>
  <c r="D9"/>
  <c r="S31" i="2"/>
  <c r="T181"/>
  <c r="S132"/>
  <c r="T178"/>
  <c r="S198"/>
  <c r="S212"/>
  <c r="S228"/>
  <c r="S191"/>
  <c r="S147"/>
  <c r="T219"/>
  <c r="T26"/>
  <c r="T132" l="1"/>
  <c r="T218"/>
  <c r="T192" l="1"/>
  <c r="S201"/>
  <c r="S446"/>
  <c r="BH446"/>
  <c r="S235"/>
  <c r="N4" l="1"/>
  <c r="S4"/>
  <c r="S224"/>
  <c r="BG217"/>
  <c r="S217" s="1"/>
  <c r="S427"/>
  <c r="S18"/>
  <c r="S135" l="1"/>
  <c r="T191" l="1"/>
  <c r="S8"/>
  <c r="S136"/>
  <c r="S167"/>
  <c r="S395" l="1"/>
  <c r="S226"/>
  <c r="T249"/>
  <c r="BB4" l="1"/>
  <c r="S162"/>
  <c r="T162" l="1"/>
  <c r="S144"/>
  <c r="S151"/>
  <c r="T136"/>
  <c r="S165"/>
  <c r="T165" s="1"/>
  <c r="S163"/>
  <c r="T163" s="1"/>
  <c r="S140" l="1"/>
  <c r="AU21" l="1"/>
  <c r="S21" s="1"/>
  <c r="S452"/>
  <c r="K452" l="1"/>
  <c r="T413"/>
  <c r="L19"/>
  <c r="L22"/>
  <c r="T200"/>
  <c r="T245"/>
  <c r="T251"/>
  <c r="T167"/>
  <c r="S237"/>
  <c r="L446"/>
  <c r="S402"/>
  <c r="S411"/>
  <c r="T452" l="1"/>
  <c r="L226"/>
  <c r="T228" l="1"/>
  <c r="AW226"/>
  <c r="L4" l="1"/>
  <c r="E18" i="3"/>
  <c r="F18"/>
  <c r="S186" i="2"/>
  <c r="S246"/>
  <c r="AV4"/>
  <c r="S142"/>
  <c r="S164"/>
  <c r="S185"/>
  <c r="S145"/>
  <c r="T454"/>
  <c r="S352"/>
  <c r="T453"/>
  <c r="F19" i="3" l="1"/>
  <c r="T145" i="2"/>
  <c r="T40"/>
  <c r="T176"/>
  <c r="T158"/>
  <c r="T352"/>
  <c r="T353"/>
  <c r="S170"/>
  <c r="S242"/>
  <c r="T242" s="1"/>
  <c r="S134"/>
  <c r="S400"/>
  <c r="S447"/>
  <c r="S160"/>
  <c r="S146"/>
  <c r="T170" l="1"/>
  <c r="T401"/>
  <c r="K4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S45"/>
  <c r="S354" l="1"/>
  <c r="T354" s="1"/>
  <c r="T239" l="1"/>
  <c r="S384" l="1"/>
  <c r="S392"/>
  <c r="S42"/>
  <c r="AK4"/>
  <c r="J364"/>
  <c r="J446"/>
  <c r="T364" l="1"/>
  <c r="T384"/>
  <c r="S209"/>
  <c r="S153"/>
  <c r="T147"/>
  <c r="T227"/>
  <c r="T235"/>
  <c r="T25"/>
  <c r="J19"/>
  <c r="T27"/>
  <c r="S225" l="1"/>
  <c r="S407" l="1"/>
  <c r="H360" l="1"/>
  <c r="T407"/>
  <c r="I22"/>
  <c r="H4"/>
  <c r="G21"/>
  <c r="AL4" l="1"/>
  <c r="S445" l="1"/>
  <c r="S137" l="1"/>
  <c r="S161"/>
  <c r="S232"/>
  <c r="T232" s="1"/>
  <c r="H198"/>
  <c r="S32" l="1"/>
  <c r="S346"/>
  <c r="T180"/>
  <c r="S193"/>
  <c r="T193" l="1"/>
  <c r="T164"/>
  <c r="T154"/>
  <c r="H234"/>
  <c r="AG234"/>
  <c r="S234" s="1"/>
  <c r="T234" l="1"/>
  <c r="S456"/>
  <c r="T144"/>
  <c r="F435" l="1"/>
  <c r="D448"/>
  <c r="T161"/>
  <c r="T24"/>
  <c r="F22"/>
  <c r="T37"/>
  <c r="E19"/>
  <c r="T33"/>
  <c r="S23" l="1"/>
  <c r="T141"/>
  <c r="S169" l="1"/>
  <c r="S442" l="1"/>
  <c r="S334" l="1"/>
  <c r="T169"/>
  <c r="T182"/>
  <c r="S220"/>
  <c r="S399" l="1"/>
  <c r="Z51"/>
  <c r="AA51" s="1"/>
  <c r="S356" l="1"/>
  <c r="V4"/>
  <c r="T153" l="1"/>
  <c r="T188"/>
  <c r="S189" l="1"/>
  <c r="T100" l="1"/>
  <c r="S250"/>
  <c r="S171"/>
  <c r="T250" l="1"/>
  <c r="R854"/>
  <c r="T854" s="1"/>
  <c r="T853"/>
  <c r="T852"/>
  <c r="T851"/>
  <c r="T850"/>
  <c r="T849"/>
  <c r="T848"/>
  <c r="T847"/>
  <c r="T846"/>
  <c r="T845"/>
  <c r="T844"/>
  <c r="T843"/>
  <c r="T842"/>
  <c r="T841"/>
  <c r="T840"/>
  <c r="T839"/>
  <c r="T838"/>
  <c r="T837"/>
  <c r="T836"/>
  <c r="T835"/>
  <c r="T834"/>
  <c r="T833"/>
  <c r="T832"/>
  <c r="T831"/>
  <c r="T830"/>
  <c r="T829"/>
  <c r="T828"/>
  <c r="T827"/>
  <c r="T826"/>
  <c r="T825"/>
  <c r="T824"/>
  <c r="T823"/>
  <c r="T822"/>
  <c r="T821"/>
  <c r="T820"/>
  <c r="T819"/>
  <c r="T818"/>
  <c r="T817"/>
  <c r="T816"/>
  <c r="T815"/>
  <c r="T814"/>
  <c r="T813"/>
  <c r="T812"/>
  <c r="T811"/>
  <c r="T810"/>
  <c r="T809"/>
  <c r="T808"/>
  <c r="T807"/>
  <c r="T806"/>
  <c r="T805"/>
  <c r="T804"/>
  <c r="T803"/>
  <c r="T802"/>
  <c r="T801"/>
  <c r="T800"/>
  <c r="T799"/>
  <c r="T798"/>
  <c r="T797"/>
  <c r="T796"/>
  <c r="T795"/>
  <c r="T794"/>
  <c r="T793"/>
  <c r="T792"/>
  <c r="T791"/>
  <c r="T790"/>
  <c r="T789"/>
  <c r="T788"/>
  <c r="T787"/>
  <c r="T786"/>
  <c r="T785"/>
  <c r="T784"/>
  <c r="T783"/>
  <c r="T782"/>
  <c r="T781"/>
  <c r="T780"/>
  <c r="T779"/>
  <c r="T778"/>
  <c r="T777"/>
  <c r="T776"/>
  <c r="T775"/>
  <c r="T774"/>
  <c r="T773"/>
  <c r="T772"/>
  <c r="T771"/>
  <c r="T770"/>
  <c r="T769"/>
  <c r="T768"/>
  <c r="T767"/>
  <c r="T766"/>
  <c r="T765"/>
  <c r="T764"/>
  <c r="T763"/>
  <c r="T762"/>
  <c r="T761"/>
  <c r="T760"/>
  <c r="T759"/>
  <c r="T758"/>
  <c r="T757"/>
  <c r="T756"/>
  <c r="T755"/>
  <c r="T754"/>
  <c r="T753"/>
  <c r="T752"/>
  <c r="T751"/>
  <c r="T750"/>
  <c r="T749"/>
  <c r="T748"/>
  <c r="T747"/>
  <c r="T746"/>
  <c r="T745"/>
  <c r="T744"/>
  <c r="T743"/>
  <c r="T742"/>
  <c r="T741"/>
  <c r="T740"/>
  <c r="T739"/>
  <c r="T738"/>
  <c r="T737"/>
  <c r="T736"/>
  <c r="T735"/>
  <c r="T734"/>
  <c r="T733"/>
  <c r="T732"/>
  <c r="T731"/>
  <c r="T730"/>
  <c r="T729"/>
  <c r="T728"/>
  <c r="T727"/>
  <c r="T726"/>
  <c r="T725"/>
  <c r="T724"/>
  <c r="T723"/>
  <c r="T722"/>
  <c r="T721"/>
  <c r="T720"/>
  <c r="T719"/>
  <c r="T718"/>
  <c r="T717"/>
  <c r="T716"/>
  <c r="T715"/>
  <c r="T714"/>
  <c r="T713"/>
  <c r="T712"/>
  <c r="T711"/>
  <c r="T710"/>
  <c r="T709"/>
  <c r="T708"/>
  <c r="T707"/>
  <c r="T706"/>
  <c r="T705"/>
  <c r="T704"/>
  <c r="T703"/>
  <c r="T702"/>
  <c r="T701"/>
  <c r="T700"/>
  <c r="T699"/>
  <c r="T391"/>
  <c r="T698"/>
  <c r="T697"/>
  <c r="T696"/>
  <c r="T695"/>
  <c r="T694"/>
  <c r="T693"/>
  <c r="T692"/>
  <c r="T360"/>
  <c r="T691"/>
  <c r="T690"/>
  <c r="T689"/>
  <c r="T688"/>
  <c r="T687"/>
  <c r="T686"/>
  <c r="T685"/>
  <c r="T684"/>
  <c r="T683"/>
  <c r="T682"/>
  <c r="T681"/>
  <c r="T680"/>
  <c r="T679"/>
  <c r="T678"/>
  <c r="T677"/>
  <c r="T676"/>
  <c r="T675"/>
  <c r="T674"/>
  <c r="T673"/>
  <c r="T672"/>
  <c r="T671"/>
  <c r="T670"/>
  <c r="T669"/>
  <c r="T668"/>
  <c r="T667"/>
  <c r="T666"/>
  <c r="T665"/>
  <c r="T664"/>
  <c r="T663"/>
  <c r="T662"/>
  <c r="T661"/>
  <c r="T660"/>
  <c r="T659"/>
  <c r="T658"/>
  <c r="T657"/>
  <c r="T656"/>
  <c r="T655"/>
  <c r="T654"/>
  <c r="T653"/>
  <c r="T652"/>
  <c r="T651"/>
  <c r="T650"/>
  <c r="T649"/>
  <c r="T648"/>
  <c r="T647"/>
  <c r="T646"/>
  <c r="T645"/>
  <c r="T644"/>
  <c r="T643"/>
  <c r="T642"/>
  <c r="T641"/>
  <c r="T640"/>
  <c r="T639"/>
  <c r="T638"/>
  <c r="T637"/>
  <c r="T636"/>
  <c r="T635"/>
  <c r="T634"/>
  <c r="T633"/>
  <c r="T632"/>
  <c r="T631"/>
  <c r="T630"/>
  <c r="T629"/>
  <c r="T628"/>
  <c r="T627"/>
  <c r="T626"/>
  <c r="T625"/>
  <c r="T624"/>
  <c r="T623"/>
  <c r="T622"/>
  <c r="T621"/>
  <c r="T620"/>
  <c r="T619"/>
  <c r="T618"/>
  <c r="T617"/>
  <c r="T616"/>
  <c r="T615"/>
  <c r="T614"/>
  <c r="T613"/>
  <c r="T612"/>
  <c r="T611"/>
  <c r="T610"/>
  <c r="T609"/>
  <c r="T608"/>
  <c r="T607"/>
  <c r="T606"/>
  <c r="T605"/>
  <c r="T604"/>
  <c r="T603"/>
  <c r="T602"/>
  <c r="T601"/>
  <c r="T600"/>
  <c r="T599"/>
  <c r="T598"/>
  <c r="T597"/>
  <c r="T596"/>
  <c r="T595"/>
  <c r="T594"/>
  <c r="T593"/>
  <c r="T421"/>
  <c r="T592"/>
  <c r="T591"/>
  <c r="T420"/>
  <c r="T590"/>
  <c r="T589"/>
  <c r="T588"/>
  <c r="T587"/>
  <c r="T586"/>
  <c r="T585"/>
  <c r="T584"/>
  <c r="T583"/>
  <c r="T582"/>
  <c r="T581"/>
  <c r="T580"/>
  <c r="T415"/>
  <c r="T579"/>
  <c r="T578"/>
  <c r="T577"/>
  <c r="T576"/>
  <c r="T412"/>
  <c r="T575"/>
  <c r="T574"/>
  <c r="T573"/>
  <c r="T572"/>
  <c r="T571"/>
  <c r="T570"/>
  <c r="T569"/>
  <c r="T568"/>
  <c r="T567"/>
  <c r="T566"/>
  <c r="T565"/>
  <c r="T564"/>
  <c r="T563"/>
  <c r="T562"/>
  <c r="T404"/>
  <c r="T561"/>
  <c r="T560"/>
  <c r="T559"/>
  <c r="T558"/>
  <c r="T557"/>
  <c r="T556"/>
  <c r="T400"/>
  <c r="T555"/>
  <c r="T554"/>
  <c r="T553"/>
  <c r="T552"/>
  <c r="T551"/>
  <c r="T550"/>
  <c r="T549"/>
  <c r="T548"/>
  <c r="T547"/>
  <c r="T546"/>
  <c r="T545"/>
  <c r="T544"/>
  <c r="T543"/>
  <c r="T542"/>
  <c r="T541"/>
  <c r="T540"/>
  <c r="T539"/>
  <c r="T538"/>
  <c r="T537"/>
  <c r="T536"/>
  <c r="T387"/>
  <c r="T535"/>
  <c r="T534"/>
  <c r="T533"/>
  <c r="T532"/>
  <c r="T531"/>
  <c r="T530"/>
  <c r="T529"/>
  <c r="T528"/>
  <c r="T380"/>
  <c r="T527"/>
  <c r="T526"/>
  <c r="T525"/>
  <c r="T524"/>
  <c r="T523"/>
  <c r="T522"/>
  <c r="T521"/>
  <c r="T520"/>
  <c r="T519"/>
  <c r="T518"/>
  <c r="T517"/>
  <c r="T516"/>
  <c r="T515"/>
  <c r="T514"/>
  <c r="T513"/>
  <c r="T512"/>
  <c r="T511"/>
  <c r="T510"/>
  <c r="T509"/>
  <c r="T508"/>
  <c r="T507"/>
  <c r="T506"/>
  <c r="T505"/>
  <c r="T504"/>
  <c r="T503"/>
  <c r="T502"/>
  <c r="T501"/>
  <c r="T500"/>
  <c r="T499"/>
  <c r="T498"/>
  <c r="T497"/>
  <c r="T496"/>
  <c r="T495"/>
  <c r="T494"/>
  <c r="T493"/>
  <c r="T492"/>
  <c r="T370"/>
  <c r="T491"/>
  <c r="T490"/>
  <c r="T369"/>
  <c r="T489"/>
  <c r="T488"/>
  <c r="T487"/>
  <c r="T486"/>
  <c r="T485"/>
  <c r="T484"/>
  <c r="T368"/>
  <c r="T483"/>
  <c r="T482"/>
  <c r="T481"/>
  <c r="T480"/>
  <c r="T479"/>
  <c r="T365"/>
  <c r="T478"/>
  <c r="T477"/>
  <c r="T476"/>
  <c r="T475"/>
  <c r="T474"/>
  <c r="T473"/>
  <c r="T472"/>
  <c r="T471"/>
  <c r="T470"/>
  <c r="T469"/>
  <c r="T468"/>
  <c r="T467"/>
  <c r="T357"/>
  <c r="T466"/>
  <c r="T465"/>
  <c r="T464"/>
  <c r="T463"/>
  <c r="T462"/>
  <c r="T461"/>
  <c r="T459"/>
  <c r="T458"/>
  <c r="T457"/>
  <c r="T456"/>
  <c r="T455"/>
  <c r="T451"/>
  <c r="T450"/>
  <c r="T449"/>
  <c r="T448"/>
  <c r="T447"/>
  <c r="T446"/>
  <c r="T445"/>
  <c r="T444"/>
  <c r="T443"/>
  <c r="T442"/>
  <c r="T441"/>
  <c r="T440"/>
  <c r="T439"/>
  <c r="T438"/>
  <c r="T437"/>
  <c r="T436"/>
  <c r="T435"/>
  <c r="T434"/>
  <c r="T433"/>
  <c r="T432"/>
  <c r="T431"/>
  <c r="T430"/>
  <c r="T429"/>
  <c r="T428"/>
  <c r="T427"/>
  <c r="T426"/>
  <c r="T425"/>
  <c r="T424"/>
  <c r="T423"/>
  <c r="T422"/>
  <c r="T419"/>
  <c r="T418"/>
  <c r="T417"/>
  <c r="T416"/>
  <c r="T414"/>
  <c r="T346"/>
  <c r="T411"/>
  <c r="T410"/>
  <c r="T409"/>
  <c r="T408"/>
  <c r="T406"/>
  <c r="T405"/>
  <c r="T403"/>
  <c r="T402"/>
  <c r="T399"/>
  <c r="T397"/>
  <c r="T396"/>
  <c r="T395"/>
  <c r="T394"/>
  <c r="T460"/>
  <c r="T393"/>
  <c r="T392"/>
  <c r="T390"/>
  <c r="T389"/>
  <c r="T388"/>
  <c r="T386"/>
  <c r="T385"/>
  <c r="T337"/>
  <c r="T383"/>
  <c r="T382"/>
  <c r="T379"/>
  <c r="T378"/>
  <c r="T377"/>
  <c r="T334"/>
  <c r="T376"/>
  <c r="T375"/>
  <c r="T374"/>
  <c r="T373"/>
  <c r="T372"/>
  <c r="T371"/>
  <c r="T367"/>
  <c r="T366"/>
  <c r="T363"/>
  <c r="T362"/>
  <c r="T361"/>
  <c r="T359"/>
  <c r="T358"/>
  <c r="T356"/>
  <c r="T355"/>
  <c r="T351"/>
  <c r="T350"/>
  <c r="T349"/>
  <c r="T348"/>
  <c r="T347"/>
  <c r="T345"/>
  <c r="T344"/>
  <c r="T343"/>
  <c r="T342"/>
  <c r="T340"/>
  <c r="T339"/>
  <c r="T338"/>
  <c r="T381"/>
  <c r="T336"/>
  <c r="T335"/>
  <c r="T332"/>
  <c r="T331"/>
  <c r="T330"/>
  <c r="T329"/>
  <c r="T328"/>
  <c r="T327"/>
  <c r="T326"/>
  <c r="T325"/>
  <c r="T324"/>
  <c r="T323"/>
  <c r="T322"/>
  <c r="T321"/>
  <c r="T320"/>
  <c r="T319"/>
  <c r="T318"/>
  <c r="T317"/>
  <c r="T316"/>
  <c r="T315"/>
  <c r="T314"/>
  <c r="T313"/>
  <c r="T312"/>
  <c r="T311"/>
  <c r="T310"/>
  <c r="T309"/>
  <c r="T308"/>
  <c r="T307"/>
  <c r="T306"/>
  <c r="T305"/>
  <c r="T304"/>
  <c r="T303"/>
  <c r="T302"/>
  <c r="T301"/>
  <c r="T300"/>
  <c r="T299"/>
  <c r="T298"/>
  <c r="T297"/>
  <c r="T296"/>
  <c r="T295"/>
  <c r="T294"/>
  <c r="T293"/>
  <c r="T292"/>
  <c r="T291"/>
  <c r="T290"/>
  <c r="T289"/>
  <c r="T288"/>
  <c r="T287"/>
  <c r="T286"/>
  <c r="T285"/>
  <c r="T284"/>
  <c r="T283"/>
  <c r="T282"/>
  <c r="T281"/>
  <c r="T280"/>
  <c r="T279"/>
  <c r="T197"/>
  <c r="T278"/>
  <c r="T277"/>
  <c r="T276"/>
  <c r="T275"/>
  <c r="T274"/>
  <c r="T273"/>
  <c r="T272"/>
  <c r="T271"/>
  <c r="T270"/>
  <c r="T269"/>
  <c r="T268"/>
  <c r="T267"/>
  <c r="T266"/>
  <c r="T265"/>
  <c r="T264"/>
  <c r="T263"/>
  <c r="T262"/>
  <c r="T261"/>
  <c r="T260"/>
  <c r="T259"/>
  <c r="T258"/>
  <c r="T257"/>
  <c r="T256"/>
  <c r="T255"/>
  <c r="T254"/>
  <c r="T248"/>
  <c r="T247"/>
  <c r="T246"/>
  <c r="T171"/>
  <c r="T244"/>
  <c r="T243"/>
  <c r="T241"/>
  <c r="T240"/>
  <c r="T238"/>
  <c r="T237"/>
  <c r="T236"/>
  <c r="T253"/>
  <c r="T233"/>
  <c r="T231"/>
  <c r="T230"/>
  <c r="T229"/>
  <c r="T226"/>
  <c r="T225"/>
  <c r="T224"/>
  <c r="T223"/>
  <c r="T222"/>
  <c r="T221"/>
  <c r="T252"/>
  <c r="T220"/>
  <c r="T155"/>
  <c r="T217"/>
  <c r="T216"/>
  <c r="T215"/>
  <c r="T213"/>
  <c r="T151"/>
  <c r="T212"/>
  <c r="U212" s="1"/>
  <c r="T150"/>
  <c r="S148"/>
  <c r="E148"/>
  <c r="T211"/>
  <c r="T149"/>
  <c r="T210"/>
  <c r="T209"/>
  <c r="T208"/>
  <c r="T207"/>
  <c r="T146"/>
  <c r="T206"/>
  <c r="T205"/>
  <c r="T204"/>
  <c r="T203"/>
  <c r="T201"/>
  <c r="T199"/>
  <c r="T196"/>
  <c r="T195"/>
  <c r="T194"/>
  <c r="T190"/>
  <c r="T140"/>
  <c r="T189"/>
  <c r="T137"/>
  <c r="T187"/>
  <c r="AD135"/>
  <c r="T186"/>
  <c r="T134"/>
  <c r="T185"/>
  <c r="T184"/>
  <c r="T183"/>
  <c r="T179"/>
  <c r="T177"/>
  <c r="T175"/>
  <c r="T174"/>
  <c r="T173"/>
  <c r="T168"/>
  <c r="T166"/>
  <c r="T159"/>
  <c r="T157"/>
  <c r="T156"/>
  <c r="T214"/>
  <c r="T152"/>
  <c r="T202"/>
  <c r="T143"/>
  <c r="T142"/>
  <c r="T198"/>
  <c r="T139"/>
  <c r="T138"/>
  <c r="T133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99"/>
  <c r="T47"/>
  <c r="T42"/>
  <c r="T98"/>
  <c r="T97"/>
  <c r="T96"/>
  <c r="T95"/>
  <c r="T94"/>
  <c r="T93"/>
  <c r="T29"/>
  <c r="T92"/>
  <c r="T91"/>
  <c r="T90"/>
  <c r="T89"/>
  <c r="T88"/>
  <c r="T87"/>
  <c r="T86"/>
  <c r="T85"/>
  <c r="T84"/>
  <c r="T83"/>
  <c r="T82"/>
  <c r="T81"/>
  <c r="T80"/>
  <c r="T79"/>
  <c r="T78"/>
  <c r="T77"/>
  <c r="T76"/>
  <c r="T13"/>
  <c r="T75"/>
  <c r="T74"/>
  <c r="T73"/>
  <c r="T72"/>
  <c r="T71"/>
  <c r="T12"/>
  <c r="T70"/>
  <c r="T69"/>
  <c r="T68"/>
  <c r="T67"/>
  <c r="T11"/>
  <c r="T66"/>
  <c r="T65"/>
  <c r="T64"/>
  <c r="T10"/>
  <c r="T63"/>
  <c r="T62"/>
  <c r="T61"/>
  <c r="T60"/>
  <c r="T59"/>
  <c r="T58"/>
  <c r="T57"/>
  <c r="T56"/>
  <c r="T9"/>
  <c r="T55"/>
  <c r="T54"/>
  <c r="T53"/>
  <c r="T50"/>
  <c r="T49"/>
  <c r="T48"/>
  <c r="T46"/>
  <c r="T45"/>
  <c r="T3"/>
  <c r="T44"/>
  <c r="T41"/>
  <c r="T39"/>
  <c r="T38"/>
  <c r="T36"/>
  <c r="T52"/>
  <c r="T34"/>
  <c r="T32"/>
  <c r="T31"/>
  <c r="T30"/>
  <c r="T28"/>
  <c r="T23"/>
  <c r="T22"/>
  <c r="T21"/>
  <c r="T20"/>
  <c r="T19"/>
  <c r="T18"/>
  <c r="T17"/>
  <c r="T16"/>
  <c r="T15"/>
  <c r="T14"/>
  <c r="T8"/>
  <c r="T7"/>
  <c r="T6"/>
  <c r="E4"/>
  <c r="T35"/>
  <c r="T51"/>
  <c r="U207" l="1"/>
  <c r="V207" s="1"/>
  <c r="V212"/>
  <c r="W212" s="1"/>
  <c r="T4"/>
  <c r="T148"/>
  <c r="T135"/>
  <c r="W207" l="1"/>
  <c r="X207" s="1"/>
  <c r="X212"/>
  <c r="Y207" l="1"/>
  <c r="Z207" s="1"/>
  <c r="Y212"/>
  <c r="AA207" l="1"/>
  <c r="AB207" s="1"/>
  <c r="Z212"/>
  <c r="AC207" l="1"/>
  <c r="AD207" s="1"/>
  <c r="AA212"/>
  <c r="AE207" l="1"/>
  <c r="AF207" s="1"/>
  <c r="AB212"/>
  <c r="AG207" l="1"/>
  <c r="AH207" s="1"/>
  <c r="AC212"/>
  <c r="AI207" l="1"/>
  <c r="AJ207" s="1"/>
  <c r="AD212"/>
  <c r="AE212" s="1"/>
  <c r="AK207" l="1"/>
  <c r="AL207" s="1"/>
  <c r="AF212"/>
  <c r="AM207" l="1"/>
  <c r="AN207" s="1"/>
  <c r="AG212"/>
  <c r="AO207" l="1"/>
  <c r="AP207" s="1"/>
  <c r="AH212"/>
  <c r="AI212" s="1"/>
  <c r="AQ207" l="1"/>
  <c r="AR207" s="1"/>
  <c r="AJ212"/>
  <c r="AS207" l="1"/>
  <c r="AT207" s="1"/>
  <c r="AK212"/>
  <c r="AL212" l="1"/>
  <c r="AM212" s="1"/>
  <c r="AN212" l="1"/>
  <c r="AO212" s="1"/>
</calcChain>
</file>

<file path=xl/comments1.xml><?xml version="1.0" encoding="utf-8"?>
<comments xmlns="http://schemas.openxmlformats.org/spreadsheetml/2006/main">
  <authors>
    <author>MY PC</author>
  </authors>
  <commentList>
    <comment ref="O341" authorId="0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ADJUST IN LUBTECH ACC</t>
        </r>
      </text>
    </comment>
    <comment ref="BM457" authorId="0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2 PICE 16.9X28 CASSING</t>
        </r>
      </text>
    </comment>
  </commentList>
</comments>
</file>

<file path=xl/sharedStrings.xml><?xml version="1.0" encoding="utf-8"?>
<sst xmlns="http://schemas.openxmlformats.org/spreadsheetml/2006/main" count="5479" uniqueCount="1005">
  <si>
    <t>Mobile No.</t>
  </si>
  <si>
    <t>TCL AMT</t>
  </si>
  <si>
    <t>RCV</t>
  </si>
  <si>
    <t>MADHAV SHRESTHA</t>
  </si>
  <si>
    <t>FIX</t>
  </si>
  <si>
    <t>PADAM KHAMCHA</t>
  </si>
  <si>
    <t>SHRESTHA CONS GULMI</t>
  </si>
  <si>
    <t>ANUBHAV TRADE AND SUPPLIERS</t>
  </si>
  <si>
    <t>BAWARI CONTRUCTION [KRISHNA BASHYAL]</t>
  </si>
  <si>
    <t>9857057328</t>
  </si>
  <si>
    <t>BHOJ BDR KUNWAR</t>
  </si>
  <si>
    <t>BHOJRAJ NEUPANE , GORUSINGE</t>
  </si>
  <si>
    <t>9847124301</t>
  </si>
  <si>
    <t>BUDDHA JYOTI CONS.AND SUPPLIERS</t>
  </si>
  <si>
    <t>981286344</t>
  </si>
  <si>
    <t>CHURAMANI BASHYAL</t>
  </si>
  <si>
    <t>CRYSTAL EYE</t>
  </si>
  <si>
    <t>DIPAK GURUNG RIDI 9766315441</t>
  </si>
  <si>
    <t>DURGA INTERPRISES</t>
  </si>
  <si>
    <t>G AND G TRADE[ GANESH JEE],BUTWAL</t>
  </si>
  <si>
    <t>9867427099</t>
  </si>
  <si>
    <t>GANDAKI AUTO , LILA DAI</t>
  </si>
  <si>
    <t>GOKUL JEE H P 385320</t>
  </si>
  <si>
    <t>9857025061</t>
  </si>
  <si>
    <t>GROWING ENTERPRISE</t>
  </si>
  <si>
    <t>GURUNG DAI PALPA</t>
  </si>
  <si>
    <t>KIRAN JEE/ LUMBINI MEDICAL COLLAGE</t>
  </si>
  <si>
    <t>9847001932</t>
  </si>
  <si>
    <t>MASTA BAGESHWOR NEW TRADERS</t>
  </si>
  <si>
    <t>METRO TYRE KTM</t>
  </si>
  <si>
    <t>NARAYAN SHAHI</t>
  </si>
  <si>
    <t>R.P DAI</t>
  </si>
  <si>
    <t>9847029398</t>
  </si>
  <si>
    <t>RAMAYCHAP CON.[HAMU] BATTERY</t>
  </si>
  <si>
    <t>9847038203</t>
  </si>
  <si>
    <t>RAMESH KARMCHARA</t>
  </si>
  <si>
    <t>9857025241</t>
  </si>
  <si>
    <t xml:space="preserve">S AND R CONS </t>
  </si>
  <si>
    <t>SANJAY KARMACHARYA , SUNWAL</t>
  </si>
  <si>
    <t>SAROJ SHARMA [GUDDU] 2486</t>
  </si>
  <si>
    <t>9852029539</t>
  </si>
  <si>
    <t>SHYAMKAJI ADHIKARI</t>
  </si>
  <si>
    <t>SIRDHAR RAJ KANDEL [PARASI]</t>
  </si>
  <si>
    <t>SUBBHA KHATRI [4463]</t>
  </si>
  <si>
    <t>SUDHAN AMATYA , PYUTHAN</t>
  </si>
  <si>
    <t>9857833715</t>
  </si>
  <si>
    <t>SUN BRICK INDUSTRIES</t>
  </si>
  <si>
    <t>TANKA ADHIKARI [ SELF ]</t>
  </si>
  <si>
    <t>9857020745</t>
  </si>
  <si>
    <t>TIRUPATI NIRMAN SEWA , SUNWAL</t>
  </si>
  <si>
    <t>SHAMBHU</t>
  </si>
  <si>
    <t>TOYA LAMSAL [DOBHAN] 9313</t>
  </si>
  <si>
    <t>9857024115</t>
  </si>
  <si>
    <t>3D MD ART</t>
  </si>
  <si>
    <t>9857039484</t>
  </si>
  <si>
    <t xml:space="preserve">ASTANGA MEDICAL </t>
  </si>
  <si>
    <t>BHATTRAI SUPPLIERS PALPA  9847372585</t>
  </si>
  <si>
    <t>BL= A.R.M [J.P SUPPLIERS]</t>
  </si>
  <si>
    <t>BL=ANIL SHRESTHA / RAJKUMAR SHRESTHA</t>
  </si>
  <si>
    <t>9826193134</t>
  </si>
  <si>
    <t>BL=ARJUN GHIMIRE BUTWAL</t>
  </si>
  <si>
    <t>9857028591</t>
  </si>
  <si>
    <t>BL=ARJUN MOTER [MUKTI G.C]</t>
  </si>
  <si>
    <t>9843540869</t>
  </si>
  <si>
    <t>BL=ARUN[ARUN KACHAPATI]</t>
  </si>
  <si>
    <t>9857027900</t>
  </si>
  <si>
    <t>BL=BIPIN  SHRESTHA - PYUTHAN</t>
  </si>
  <si>
    <t>9867746500</t>
  </si>
  <si>
    <t>BL=BUTWAL LIGHT HOUSE [YOUG]</t>
  </si>
  <si>
    <t>BL=CHAKRA ACHARYA</t>
  </si>
  <si>
    <t>9857020164</t>
  </si>
  <si>
    <t>BL=DAMER GIRI [SAROJ PARIYAR] 2094</t>
  </si>
  <si>
    <t>9817505221</t>
  </si>
  <si>
    <t>BL=DEEPAK K.C [GULMI]</t>
  </si>
  <si>
    <t>BL=DEURALI DARSHAN MINING PVT.LTT[URAJ]</t>
  </si>
  <si>
    <t>9851167681</t>
  </si>
  <si>
    <t>BL=DINESH ADHIKARI [ANSU]</t>
  </si>
  <si>
    <t>9802670596</t>
  </si>
  <si>
    <t>BL=DIPAK POKHREL ,PALPA</t>
  </si>
  <si>
    <t>9857065522</t>
  </si>
  <si>
    <t>BL=Edan English Boarding School / ARJUN</t>
  </si>
  <si>
    <t>9847047662</t>
  </si>
  <si>
    <t>BL=GOPAL ADHIKARI CHETTRI BELBAS</t>
  </si>
  <si>
    <t>9805430001</t>
  </si>
  <si>
    <t>9857020409</t>
  </si>
  <si>
    <t>BL=LAXMAN KHATIWADA 2022</t>
  </si>
  <si>
    <t>9847077256</t>
  </si>
  <si>
    <t>BL=NEPAL LIGHT HOUSE , MANIGRAM</t>
  </si>
  <si>
    <t>BL=NISHAN SUPPLIERS P.LTD / RAJENDRA DAKAL</t>
  </si>
  <si>
    <t>9857021308</t>
  </si>
  <si>
    <t>BL=PRAKASH G.C [DIVERTOLE]</t>
  </si>
  <si>
    <t>9857065291</t>
  </si>
  <si>
    <t>BL=RAKESH SHAHI</t>
  </si>
  <si>
    <t>BL=RAM JEE GURUNG [9696] / SAROJ</t>
  </si>
  <si>
    <t>9802623182</t>
  </si>
  <si>
    <t>BL=RAM TIWARI , BUTWAL</t>
  </si>
  <si>
    <t>BL=RAMMANI DAI [DOVAN DISTILARY]</t>
  </si>
  <si>
    <t>9851060950</t>
  </si>
  <si>
    <t>BL=SABUJ CONTRUCTIONS / SHAMBHU SILWAL</t>
  </si>
  <si>
    <t>9851095730</t>
  </si>
  <si>
    <t>BL=SAROJ KARKI/KARNA BRD.KARKI</t>
  </si>
  <si>
    <t>9857020390</t>
  </si>
  <si>
    <t>BL=SHAKTI TYRE AND TRADE [CHURAMANI]</t>
  </si>
  <si>
    <t>9847554193</t>
  </si>
  <si>
    <t>BL=SHANKAR ACHARAYA [BISHNU SUBEDI]</t>
  </si>
  <si>
    <t>9857826530</t>
  </si>
  <si>
    <t>BL=SHANKAR ACHARYA BUTWAL</t>
  </si>
  <si>
    <t>9847147987</t>
  </si>
  <si>
    <t>BL=SHANKAR PARAJULI [BUTWAL]</t>
  </si>
  <si>
    <t>BL=SHYAM SHRESTHA ,GULMI</t>
  </si>
  <si>
    <t>9857067771</t>
  </si>
  <si>
    <t>BL=SUBIN [GIRI TRADE SUPPLIERS]</t>
  </si>
  <si>
    <t>9857023330</t>
  </si>
  <si>
    <t>BL=SUBIN [LIGHT HOUSE]</t>
  </si>
  <si>
    <t>9857030130</t>
  </si>
  <si>
    <t>BL=TIKA  K.C [GULMI]</t>
  </si>
  <si>
    <t>9857026958</t>
  </si>
  <si>
    <t>BL=VISION MULTI BUSINESS [RAJU GURUNG/SU</t>
  </si>
  <si>
    <t>CCTV [KRISHNA]</t>
  </si>
  <si>
    <t>9857010668</t>
  </si>
  <si>
    <t>GOPI RAM BANJARA/ROSE INVESMENT COMPANY</t>
  </si>
  <si>
    <t>9855067657</t>
  </si>
  <si>
    <t>HARI POUDEL</t>
  </si>
  <si>
    <t>JAGADISH ACHARYA</t>
  </si>
  <si>
    <t>KRISHNA THAPA [YUBHASANG NEPAL]</t>
  </si>
  <si>
    <t>9851139238</t>
  </si>
  <si>
    <t>LAHURE TYRE PASAL ROLPA</t>
  </si>
  <si>
    <t>LAXMI NIRMAN/ MALIKA MULTIPURPOSE</t>
  </si>
  <si>
    <t>9841171631</t>
  </si>
  <si>
    <t>MARKHANDA BHANDARI  9857030719</t>
  </si>
  <si>
    <t>PANDEY WORKSOAP</t>
  </si>
  <si>
    <t>S.K MOTERPARTS [ROLPA]</t>
  </si>
  <si>
    <t>9848034448</t>
  </si>
  <si>
    <t>SANTOSH OIL DISTRIBUTORS / SANJAY</t>
  </si>
  <si>
    <t>9843834064</t>
  </si>
  <si>
    <t>SHUBHA RN SUPPLIERS</t>
  </si>
  <si>
    <t>SHINING STAR BOARDING</t>
  </si>
  <si>
    <t>SURESH KARMACHARYA PALPA</t>
  </si>
  <si>
    <t>TIRUPATI NIRMAN SEWA [GUNAKHER]</t>
  </si>
  <si>
    <t>DELTA KALIKA CONSTRUCTION</t>
  </si>
  <si>
    <t xml:space="preserve">INTERECTUIAL ACDEMY </t>
  </si>
  <si>
    <t>JAY PRABHU SUPPLIERS</t>
  </si>
  <si>
    <t>SANJAY</t>
  </si>
  <si>
    <t>JITENDRA CHOUDARI</t>
  </si>
  <si>
    <t>JOI LAMI</t>
  </si>
  <si>
    <t>KESHAV ARYAL JAY PRABHU</t>
  </si>
  <si>
    <t>MILAN MAMA ,PALPA[4017]</t>
  </si>
  <si>
    <t>RAJAN THAPA BERUWA</t>
  </si>
  <si>
    <t>RAJKUMAR BHATTRAI</t>
  </si>
  <si>
    <t>RK SUPPLIERS</t>
  </si>
  <si>
    <t>S.S IDEA CONSULTANCY[KTM]</t>
  </si>
  <si>
    <t>SARBOTAM CEMENT [PANDEY JEE]</t>
  </si>
  <si>
    <t>SHREE RAM TOBACCO / LAXMAN GYAWALI</t>
  </si>
  <si>
    <t>PURBHANCHAL E-RICKSAW SUPPLIERS</t>
  </si>
  <si>
    <t>9857080566</t>
  </si>
  <si>
    <t xml:space="preserve">APF BARDHAGHAT </t>
  </si>
  <si>
    <t>ISHWOR SHRESTHA</t>
  </si>
  <si>
    <t>MB AUTO MOBILES</t>
  </si>
  <si>
    <t>DIPAK SARU 9767602513</t>
  </si>
  <si>
    <t>DIL BDR KUNWAR MAINABAGAR</t>
  </si>
  <si>
    <t>JON MOTER PARTS</t>
  </si>
  <si>
    <t>DELUNGA BHAIRAB CONS</t>
  </si>
  <si>
    <t>SHER BDR MAMA</t>
  </si>
  <si>
    <t>SURESH BHAI</t>
  </si>
  <si>
    <t>GOMA STI 083-02</t>
  </si>
  <si>
    <t>STI</t>
  </si>
  <si>
    <t>ANIL GC BUTWAL</t>
  </si>
  <si>
    <t>DEEP BOARDING</t>
  </si>
  <si>
    <t>DHARMA DAI BUDDHA BK</t>
  </si>
  <si>
    <t>5 GATE</t>
  </si>
  <si>
    <t>GOPAL GAIRE BUTWAL</t>
  </si>
  <si>
    <t>GYANU MOTER PARTS</t>
  </si>
  <si>
    <t>HARI OM MASALA UDHYOG</t>
  </si>
  <si>
    <t>INTER TECH PLASTIC                                                                -32199</t>
  </si>
  <si>
    <t>KUM KUM DHUWANI SEWA</t>
  </si>
  <si>
    <t>MILAN BASNET</t>
  </si>
  <si>
    <t>SUMAN SAPKOTA</t>
  </si>
  <si>
    <t>SUMINA MOTER PARTS</t>
  </si>
  <si>
    <t xml:space="preserve">THAPA ENGINEARING </t>
  </si>
  <si>
    <t>tribhuwan united acdemy</t>
  </si>
  <si>
    <t>WAGLA SWASTYA CHOUKI</t>
  </si>
  <si>
    <t>AMUL DEARY</t>
  </si>
  <si>
    <t>BIKRAM BISTA</t>
  </si>
  <si>
    <t>KUMODINI ENGLISH BOARDING</t>
  </si>
  <si>
    <t>MOONLIGHT BOARDING</t>
  </si>
  <si>
    <t>RK CONSTRUCTION</t>
  </si>
  <si>
    <t>ABINASH NEUPANE 98570</t>
  </si>
  <si>
    <t>ANFA [BUDDI VENA]</t>
  </si>
  <si>
    <t>9857027218</t>
  </si>
  <si>
    <t>ANIL NARAYAN BOHARA</t>
  </si>
  <si>
    <t>ASHOK SHRESTHA[TIKA-LAHURA] 1397</t>
  </si>
  <si>
    <t>BAWARI CONSTRUCTION</t>
  </si>
  <si>
    <t>bhattrai TYRE SUPPLIERS PALPA</t>
  </si>
  <si>
    <t>BIKRAM KUNWAR</t>
  </si>
  <si>
    <t>BISHNU GHIMIRE RAMESH CHETRI</t>
  </si>
  <si>
    <t>BISHNU GHIMIRE SWASTICA</t>
  </si>
  <si>
    <t>DAJUBHAI DHUWANI SEWA</t>
  </si>
  <si>
    <t>DIPAK KRISHANA SHRESTHA</t>
  </si>
  <si>
    <t>FOREEVER CONS</t>
  </si>
  <si>
    <t>GARMJA NIRMAN SEWA / TESLA CON.</t>
  </si>
  <si>
    <t>9857062223</t>
  </si>
  <si>
    <t>GBC HEART HOSPITAL</t>
  </si>
  <si>
    <t>GOPAL GAIRE PALPA</t>
  </si>
  <si>
    <t>HIMAL TRADERS DANG</t>
  </si>
  <si>
    <t>ISHWOR SHRESTHA BISHNU BK</t>
  </si>
  <si>
    <t>ISHWOR SHRESTHA DOL BDR THAPA  9748800844</t>
  </si>
  <si>
    <t>ISHWOR SHRESTHA RAM BDR BASNET</t>
  </si>
  <si>
    <t>JANA SEWACONS</t>
  </si>
  <si>
    <t>KABIRAJ GAWALI</t>
  </si>
  <si>
    <t>9847047644</t>
  </si>
  <si>
    <t>KAMAL JEE GBC</t>
  </si>
  <si>
    <t>KARKI BROTHERS</t>
  </si>
  <si>
    <t>KESHAV ARYAL/SAHAYAATRA MULTI PURPOSE</t>
  </si>
  <si>
    <t>KINGSMAN BRIDGE FACTORY</t>
  </si>
  <si>
    <t>KRISHANA DAI CENETARY</t>
  </si>
  <si>
    <t>KRISHNA BASHYAL [JUMSA]</t>
  </si>
  <si>
    <t>LALU KANDEL/ SHIVA SAPKOTA (9816453381)</t>
  </si>
  <si>
    <t>9846955477</t>
  </si>
  <si>
    <t>LUMBINI MEDICAL COLLAGE</t>
  </si>
  <si>
    <t>MADHAV LAMSAL MB AUTO</t>
  </si>
  <si>
    <t>MANAKAMNA ETTA UDYOG [TANKA ADIKARI]</t>
  </si>
  <si>
    <t>MANI GANGA DHUWANI SEWA</t>
  </si>
  <si>
    <t>MANOJ NEPAL[8296]-9857028222</t>
  </si>
  <si>
    <t xml:space="preserve">MILIJULI SPARE PARTS </t>
  </si>
  <si>
    <t>NARAYAN CHETRI</t>
  </si>
  <si>
    <t>NIM CONS</t>
  </si>
  <si>
    <t>OSIAN AUTO</t>
  </si>
  <si>
    <t xml:space="preserve">PANCHA TARA PYPE </t>
  </si>
  <si>
    <t>PRAKASH KUNWAR BURTIBANG</t>
  </si>
  <si>
    <t>S AND R CONSTRUCTION</t>
  </si>
  <si>
    <t>S.S MULTIBUSINESS PVT.LTD</t>
  </si>
  <si>
    <t>9857037156</t>
  </si>
  <si>
    <t>SAROJ SARMA [GUDDU] 2486</t>
  </si>
  <si>
    <t>SHREE NEW DEURALI DARSAN DHUWANI</t>
  </si>
  <si>
    <t>SWABHIMAN CONSTRUCTION P.LTD</t>
  </si>
  <si>
    <t>TAMANNA [TOYA LAMSAL]</t>
  </si>
  <si>
    <t>SHINING STAR BOARDING SCHOOL 9857021735</t>
  </si>
  <si>
    <t>KAMDHENU DHUWANI SEWA 9857022973</t>
  </si>
  <si>
    <t>LAHURE TYRE PASAL</t>
  </si>
  <si>
    <t>LAXMAN JHAPENDRA BALAL</t>
  </si>
  <si>
    <t>RISTRIYA PARIKSHYA BORD</t>
  </si>
  <si>
    <t xml:space="preserve">3 D MD </t>
  </si>
  <si>
    <t>B.S CONSTRUCTION ,PALPA</t>
  </si>
  <si>
    <t>9857060537</t>
  </si>
  <si>
    <t>DOVAN SUPPLIERS PVT.LTD</t>
  </si>
  <si>
    <t>GARAUN KALIKA TYRE STORE</t>
  </si>
  <si>
    <t>KRISH DAI</t>
  </si>
  <si>
    <t>KRISHANA KARKI PALPA 9857060669</t>
  </si>
  <si>
    <t>KRISHANAUPADHAYA POKHREL [SANJAY]</t>
  </si>
  <si>
    <t>LALU KANDEL SEMLAR</t>
  </si>
  <si>
    <t>MANISH [PUTTA]</t>
  </si>
  <si>
    <t>R.N CONSTRUCTION -PALPA</t>
  </si>
  <si>
    <t>RAJKUMAR CHOUDARI NIRMAN</t>
  </si>
  <si>
    <t>S KUMARI DHUWANI SEWA</t>
  </si>
  <si>
    <t>SURYA THAPA 9857083829/</t>
  </si>
  <si>
    <t>VISION GULMI CONSTRUCTION  AND SUPPLIERS</t>
  </si>
  <si>
    <t>9867753015</t>
  </si>
  <si>
    <t>DIPAK KHATRI GULMI</t>
  </si>
  <si>
    <t>BHAWANA CONS</t>
  </si>
  <si>
    <t>BIKASH REGMI [9314]</t>
  </si>
  <si>
    <t>9857060057</t>
  </si>
  <si>
    <t>BISHNU POUDEL</t>
  </si>
  <si>
    <t>CHARCHARAY CONS.TRANSPORT</t>
  </si>
  <si>
    <t>DEVI THAN SATAYAWATI SUPPLIERS</t>
  </si>
  <si>
    <t>DIPAK CHAPAGAI,SUNWAL</t>
  </si>
  <si>
    <t>dipak fom</t>
  </si>
  <si>
    <t>G.M AUTO MOBILES[ SUNWAL]</t>
  </si>
  <si>
    <t>9857028806</t>
  </si>
  <si>
    <t>GC HARDWEAR PALPA</t>
  </si>
  <si>
    <t xml:space="preserve">GHANASHYAM SAPKOTA </t>
  </si>
  <si>
    <t>KASISH AUTO,KAWASOTI</t>
  </si>
  <si>
    <t>LAXMI NIRMAN SEWA</t>
  </si>
  <si>
    <t>MEGA MULTIPURPOSE P.LTD</t>
  </si>
  <si>
    <t>NEPAL BIDDUT SI NA PA 9843186640</t>
  </si>
  <si>
    <t>SHREE RAM TOBAKO UDHYOK [BHART]</t>
  </si>
  <si>
    <t>9857030387</t>
  </si>
  <si>
    <t>TEJENDRA KRISHANA SHRESTHA</t>
  </si>
  <si>
    <t xml:space="preserve">ANJILA AUTO MOBILES </t>
  </si>
  <si>
    <t>APECHYA HARDWEAR</t>
  </si>
  <si>
    <t>BISHNU GYAWALI PALPA</t>
  </si>
  <si>
    <t>BUTWAL ELIGHT SCHOOL</t>
  </si>
  <si>
    <t>ELIGHT CONS</t>
  </si>
  <si>
    <t>ISHWOR SHRESTHA BALKRISHANA ACHARYA</t>
  </si>
  <si>
    <t>ISHWOR SHRESTHA SURYA BAGELE</t>
  </si>
  <si>
    <t>LIVE PHARMATUCALS</t>
  </si>
  <si>
    <t>LOVE KUMAR THAPA</t>
  </si>
  <si>
    <t>LUMBINI SHIKSHA NIKETAN</t>
  </si>
  <si>
    <t>SMRITI MONTESORI</t>
  </si>
  <si>
    <t>SANDIP BHAI</t>
  </si>
  <si>
    <t>SAFAL MOTERPARTS</t>
  </si>
  <si>
    <t>SHIIVA SHAKTI PET IND</t>
  </si>
  <si>
    <t>SUBEDI HARDWEAR NAYA MILL</t>
  </si>
  <si>
    <t>KHADKA BAHADUR CHHETRI [BATTERY]</t>
  </si>
  <si>
    <t>KAMAL JEE ABC</t>
  </si>
  <si>
    <t xml:space="preserve">PANDEY WORKS </t>
  </si>
  <si>
    <t>BISHNU ARYAL, KHARBANG</t>
  </si>
  <si>
    <t>NATIONAL AUTO MOBILES</t>
  </si>
  <si>
    <t>SANTA CONSTRUCTION</t>
  </si>
  <si>
    <t>THUL DAI PALPA</t>
  </si>
  <si>
    <t>FIROJ MIYA ARGHAKHANCHI</t>
  </si>
  <si>
    <t>SUNIL JEE PASHUPATI TR  9857011085</t>
  </si>
  <si>
    <t>AASHIS KARKI BURTIBANG</t>
  </si>
  <si>
    <t>ISHWOR SHRESTHA DIN BDR BK</t>
  </si>
  <si>
    <t>MUSTANG JAL IND</t>
  </si>
  <si>
    <t>PANDEY WORKS</t>
  </si>
  <si>
    <t>RAJESH PANTHA</t>
  </si>
  <si>
    <t>SHREE SAJHA TRANSPORT</t>
  </si>
  <si>
    <t>SUBEDI HARDWEAR BURTIBANG  9857058108</t>
  </si>
  <si>
    <t>STR 083-02</t>
  </si>
  <si>
    <t>BOLBOM CONS 9857031217</t>
  </si>
  <si>
    <t>CHANDRA SURYA HARDWEAR  9867148508</t>
  </si>
  <si>
    <t>DELUNGA BHAIRAB DHUWANI SEWA 9847098959</t>
  </si>
  <si>
    <t>GHARANA FOODS</t>
  </si>
  <si>
    <t>HARI POKHREL 9857016337</t>
  </si>
  <si>
    <t>HIMALI DHUWANI SEWA</t>
  </si>
  <si>
    <t>KINS MAN BRIDGE FACTORY 98570346156</t>
  </si>
  <si>
    <t>LITTLE FLAWAR BOARDING  9857030867</t>
  </si>
  <si>
    <t>MALVIN SUPPLIERS</t>
  </si>
  <si>
    <t>Mohit Bhattrai-4569-9841355552</t>
  </si>
  <si>
    <t>RK CONSTRUCTION KESHAV 9847459832</t>
  </si>
  <si>
    <t>rubi yatayat pvt ltd 9857035812</t>
  </si>
  <si>
    <t>SHINING STAR BOARDING 9857032735</t>
  </si>
  <si>
    <t>SHREE DAUNNE FITS 9857016835</t>
  </si>
  <si>
    <t>SR FOODS 9857015152</t>
  </si>
  <si>
    <t>[M] GRASS BIKARS[SAROJ] 9817414348</t>
  </si>
  <si>
    <t>[M]ASHOK KUMAR GUPTA/9843222264</t>
  </si>
  <si>
    <t>ASHOK YADAVE [9179] 9807562316</t>
  </si>
  <si>
    <t>6 GATE</t>
  </si>
  <si>
    <t>BABURAM PARIYAR[1196]9857010913</t>
  </si>
  <si>
    <t>BALIRAM HARIJAN[9805448842]</t>
  </si>
  <si>
    <t>BAUNNKOTI CONSTRUCTION/9857021291</t>
  </si>
  <si>
    <t>BISHNU ARYAL  9867610624</t>
  </si>
  <si>
    <t>BL-ARYALBROTHERS[7612] 98570181229857016239</t>
  </si>
  <si>
    <t>BL-LAXMAN POUDEL/DILLI BDR.OLI 9847022927</t>
  </si>
  <si>
    <t>BL-MAHESH BHAAT [9752] 9857022781/</t>
  </si>
  <si>
    <t>BL-MILAN CHAUDARY [5913] 9811507245/9846282446</t>
  </si>
  <si>
    <t>BL-OM OIL [9857023031]</t>
  </si>
  <si>
    <t>BL-PARDIP THAPA [173] 9857010479</t>
  </si>
  <si>
    <t>BL-PARSURAM YADAB [3733] 9857046481</t>
  </si>
  <si>
    <t>BNS DHUWANI SEWA 9811544296</t>
  </si>
  <si>
    <t>BRIJESH YADAV-BETHARI-9807503884-9582</t>
  </si>
  <si>
    <t>CHAITENYA READY MIX PVT LTD 9802784354</t>
  </si>
  <si>
    <t>CHHINI LAL YADAV 9800751523</t>
  </si>
  <si>
    <t>DHAKREY TRANS(BIKRAM PANTHI)9847534690</t>
  </si>
  <si>
    <t>DHAN BIR NEPALI[4544]9864382746</t>
  </si>
  <si>
    <t>DHURBA KOIRALA 9856067868</t>
  </si>
  <si>
    <t>G AND G TRADE 9847427094</t>
  </si>
  <si>
    <t>GANESH RIJAL[0065]9857060030</t>
  </si>
  <si>
    <t>GOPAL DAHAL [5287] [9857022327]</t>
  </si>
  <si>
    <t>GOPAL GAIRE[9481]9841784572</t>
  </si>
  <si>
    <t>GURUNG DAP PALPA 9847067470</t>
  </si>
  <si>
    <t>HIMALAYAN TRANSPORT[3611] 9857022258</t>
  </si>
  <si>
    <t>INDRA B.K[9829254790]</t>
  </si>
  <si>
    <t>KAARKA BDR DHUWANI SEWA 9805443334</t>
  </si>
  <si>
    <t>KHARKA BDR DHUWANI SEWA  9857042335</t>
  </si>
  <si>
    <t>KHEM BRD. THARU[9867241876 JAHADA</t>
  </si>
  <si>
    <t>KRISHNA DHUNGANA DHUWANI SEWA[9857030533]</t>
  </si>
  <si>
    <t>KUBER RANA BIJAY DAI 9847123986</t>
  </si>
  <si>
    <t>MADAN LAMSAL [7338] [9857012114]</t>
  </si>
  <si>
    <t>MADHAV CHAPAGAIN  9857065900</t>
  </si>
  <si>
    <t>MAHESH KALWAR(8369)9807509208</t>
  </si>
  <si>
    <t>MAILA DAI,SYANJA[9806684216] 9826660379</t>
  </si>
  <si>
    <t>Mandrika mauriya 9820691555</t>
  </si>
  <si>
    <t>MILAN BASNET PALPA  9857065367</t>
  </si>
  <si>
    <t>NAAJ ANSARI [9807412181)</t>
  </si>
  <si>
    <t>NARAYAN SHAHI  9847007976</t>
  </si>
  <si>
    <t>PADAM KHAMCHA 9856052361</t>
  </si>
  <si>
    <t>PRAKASH DUMRE3612] 9857036676</t>
  </si>
  <si>
    <t>RAJ TRANSPORT,BELAHIYA[1265]9811962498/9857015248</t>
  </si>
  <si>
    <t>RAJAN PATHAK 9857025690</t>
  </si>
  <si>
    <t>RAM BDR TAMANG  9827414431</t>
  </si>
  <si>
    <t>S.T.T  A.R.M RAM B.THAPA[9857026116]</t>
  </si>
  <si>
    <t>S.T.T - RAMESH KARMACHARYA [3480] 9857025241</t>
  </si>
  <si>
    <t>S.T.T BABRI CONSTRUCTION/9857057328</t>
  </si>
  <si>
    <t>S.T.T KANUN DHUWANI SEWA  9804402531</t>
  </si>
  <si>
    <t>S.T.T KEDARNATH CON.[PRABIN] 9847297307</t>
  </si>
  <si>
    <t>S.T.T MAHENDRA KARKI [8602] 9802638595</t>
  </si>
  <si>
    <t>S.T.T MANKAMANA ETTA SUNIL KARKI 9857057604</t>
  </si>
  <si>
    <t xml:space="preserve">S.T.T MANOKAMANA ETTA -9847039400/ </t>
  </si>
  <si>
    <t>S.T.T MOHAN [SURKHAT DHUWANI] 8176 -9857038767</t>
  </si>
  <si>
    <t>S.T.T NARAYAN BHATTARI[3941] 9857080109/9857080110</t>
  </si>
  <si>
    <t>S.T.T PANDAY[SHREE LAXMI DHUWANI SEWA] 9857020135</t>
  </si>
  <si>
    <t>S.T.T SANTOSH BHANDARY[9440] 9857035810</t>
  </si>
  <si>
    <t>S.T.T SAROJ SARMA[GUDDU] 2486-9852029539</t>
  </si>
  <si>
    <t>S.T.T SHYAM KAJI ADIKARI [5735] 9856020211</t>
  </si>
  <si>
    <t>S.T.T SUN BRICK INDUSTRIS [5073] 9847044079</t>
  </si>
  <si>
    <t>S.T.T SUPA DAURALI PET [MAHESH] 9847077256</t>
  </si>
  <si>
    <t>S.T.T TANKA ADIKARI [ 9857020745 ]</t>
  </si>
  <si>
    <t>S.T.T -TIKA K.C.[9857026958]</t>
  </si>
  <si>
    <t>S.T.T TIRUPATI NIRMAN SEWA [SUNWAL ] 9857029440</t>
  </si>
  <si>
    <t>S.T.T TOYA LAMSHAL[9312] 9857024115</t>
  </si>
  <si>
    <t>S.T.T. ANIL SHRESTHA [3310] 9857026710</t>
  </si>
  <si>
    <t>S.T.TGOKUL SUNAR[70] 9855043150</t>
  </si>
  <si>
    <t>SALU BHAR[342]9824451648/9847471249</t>
  </si>
  <si>
    <t>SANDEEP [PALPALI] 8964 -9847009655/10 MIN INQUERY</t>
  </si>
  <si>
    <t>SANDIP TYRE GALYANG  9846070116</t>
  </si>
  <si>
    <t xml:space="preserve">shree new deurali darsan dhuwani sewa </t>
  </si>
  <si>
    <t>SHRESTHA CONSTRUCTION  9857023390</t>
  </si>
  <si>
    <t>STT BUDDHA JYOTI CONTRACTOR-HANSI-9813286344</t>
  </si>
  <si>
    <t>STT THUL DAI PALPA 9847596015</t>
  </si>
  <si>
    <t>SUBASH SAHANI/9847211213/9806943174</t>
  </si>
  <si>
    <t>SUDEEP KHANAL[272] 9847301871</t>
  </si>
  <si>
    <t>SULAV FOODS  9857016913</t>
  </si>
  <si>
    <t>SUNIL KUNWAR  9857048683</t>
  </si>
  <si>
    <t>SURENDRA BHATTRAI 9847532785</t>
  </si>
  <si>
    <t>T-HUSAN TYRE WALA -9804483878</t>
  </si>
  <si>
    <t>TRIBHUWAN ACDEMY  9857038444</t>
  </si>
  <si>
    <t>T-S.T.T KALE TYRE[9847255325]</t>
  </si>
  <si>
    <t>RAMECHHAP SERPA CONC GULMI TYRE/9847038203</t>
  </si>
  <si>
    <t>RAMECHHAPM HEMU ARJUN BUILDERS 9847038203</t>
  </si>
  <si>
    <t>[M] NEW MANOJ MOTERCYCLE [MANOJ] 9804405761</t>
  </si>
  <si>
    <t>[M] SIKANDER SAHANI 9804420913</t>
  </si>
  <si>
    <t>[M]DARMENDRA MOTER CYCLE-9857024323</t>
  </si>
  <si>
    <t>[M]SAMIR MADINA SERVICE CENTER/9821446894</t>
  </si>
  <si>
    <t>AKHTAR ALI 6123-9804448184  9806944255</t>
  </si>
  <si>
    <t>AMAR BAHADUR CHAUDARY[5604]9819120353</t>
  </si>
  <si>
    <t>ARJUN YADAV-SNP DHUWANI-9807548572</t>
  </si>
  <si>
    <t>ASHOK MALLA [5781] 9847282932</t>
  </si>
  <si>
    <t>ASRAF ALI BHALWARI 9800718988</t>
  </si>
  <si>
    <t>BABU KARKI-RAJKUMAR THARU-9806916180</t>
  </si>
  <si>
    <t>BAL KRISHNA BHATTERY[781] 9827432961</t>
  </si>
  <si>
    <t>BHAGIRATHI CHAUDARY[4391]9867006791</t>
  </si>
  <si>
    <t>BHIM MAHATO [6057] 9867586550</t>
  </si>
  <si>
    <t>BHIM MAHOT/SABIN LAMA[9865383957]</t>
  </si>
  <si>
    <t>BHOTE BAI/9814791550</t>
  </si>
  <si>
    <t>BINOD CHAHI [BADNATH CAHI] 344-9827581389</t>
  </si>
  <si>
    <t>BINOD DHUWANI SEWA[9847592415]</t>
  </si>
  <si>
    <t>BIRENDRA GATANAY[2886] 9857016277</t>
  </si>
  <si>
    <t>BL.ANSARI SUPLIERS[9587] 9857010651</t>
  </si>
  <si>
    <t>BL.SHATRUGHAN YADAV[3344] 9857012217</t>
  </si>
  <si>
    <t>BL.SURAJ SILWAL[5566]/MAHALAXMI DHUWANI SEWA</t>
  </si>
  <si>
    <t>BL-[M]NEW R.K WORK[RAHIM]  9817411915</t>
  </si>
  <si>
    <t>BL-[M]SARMA MOTERCYCL[BHUMAI] 9811521058</t>
  </si>
  <si>
    <t>BL-BASU BISHOWKARMA/PRADIP]411]9840952236</t>
  </si>
  <si>
    <t>BL-BHART BUDATHOKI[5096] 9808543905</t>
  </si>
  <si>
    <t>BL-BHIM KHADKA [596] 9847421628</t>
  </si>
  <si>
    <t>BL-BIKASH CHATRY [8685] 9804196829 CONTACT</t>
  </si>
  <si>
    <t>BL-BIMAL ADIKARI [9909] 9857015097 FOLLOW</t>
  </si>
  <si>
    <t>BL-BISHNU KAREL [7477] .9869937935</t>
  </si>
  <si>
    <t>BL-BISHNU MARASINI [9] 9857021914</t>
  </si>
  <si>
    <t>BL-BOLA KADE [3550] 9847278699</t>
  </si>
  <si>
    <t>BL-DAMER RANA BHATT[2131] 9856090072</t>
  </si>
  <si>
    <t>BL-DEEPAK MALLA[679] 9821527285</t>
  </si>
  <si>
    <t>BL-GAJANANDA PATEL 9717 [9857023531]</t>
  </si>
  <si>
    <t>BL-GANENDRA PANDAY [7628] 9857045744</t>
  </si>
  <si>
    <t>BL-GANESH YADAV[9762] 9812904822//WR NO</t>
  </si>
  <si>
    <t>BL-GANPATI OIL STORE[7350] 9857080027</t>
  </si>
  <si>
    <t>BL-GORAKH NISAD[8472] 9847032002</t>
  </si>
  <si>
    <t>BL-GRILL/DOKA[GUNAIA] SAR BDR.THAPA</t>
  </si>
  <si>
    <t>BL-GYASUDIN PATHAN [6017] 9811494565</t>
  </si>
  <si>
    <t>BL-INDRA KAMAL YADAV[3602] 9807545337</t>
  </si>
  <si>
    <t>BL-JAFARI TRADERS [BALWADI] 9857025341</t>
  </si>
  <si>
    <t>BL-JITU THAPA [7569] 9812983714</t>
  </si>
  <si>
    <t>BL-KIRHNA POHKREL [7116] 9857020261 TIRDAINA</t>
  </si>
  <si>
    <t xml:space="preserve">BL-LAL CHAND MALHAR [2033] 9807406587 </t>
  </si>
  <si>
    <t>BL-MADHU SHRESTHA [RAMPUR] 9807476818 WR NO</t>
  </si>
  <si>
    <t>BL-MAGRA POUDEL [8718] 9817576342</t>
  </si>
  <si>
    <t>BL-MAHESH CHATRY [3483] 9819455035</t>
  </si>
  <si>
    <t>BL-MOHAN JEE [SIDDBABA GRILL] [119] 9864576698 DASAIN</t>
  </si>
  <si>
    <t>BL-MOHAN KAFLAY[7419] 9857012557  TIRDAINA</t>
  </si>
  <si>
    <t>BL-MOHAN MALL[2777] 9860802278</t>
  </si>
  <si>
    <t>BL-NETRA PANTHI [GULMI] 3018-9857021273</t>
  </si>
  <si>
    <t>Bl-PRAKESH SHRESTHA[9448] 9857020668 SHAMBU DAI</t>
  </si>
  <si>
    <t>BL-RAJESORI TRANS[NARAYAN PANDAY]8538-9806941711</t>
  </si>
  <si>
    <t xml:space="preserve">BL-RAJU KAHAR[2227] 9806911977 </t>
  </si>
  <si>
    <t>BL-RAM KUNDAL YADAV[OM OIL] 9857022231</t>
  </si>
  <si>
    <t>BL-RAM NISAD[MOHAN DAI R.K]7817-9807492229</t>
  </si>
  <si>
    <t>BL-RAMESH CHAUDARI[3943] 9804415978</t>
  </si>
  <si>
    <t>BL-RAMU NEUPANE [7670] 9857016438</t>
  </si>
  <si>
    <t>BL-SANTU PANDAY [8139] -9857015584</t>
  </si>
  <si>
    <t>BL-SAROJ YADAV [3384] 9857015738</t>
  </si>
  <si>
    <t>BL-SATYAWOTI TRANSPORT -9861295554</t>
  </si>
  <si>
    <t>BL-SHER B.THAPA[5594] 9807520421</t>
  </si>
  <si>
    <t>BL-SONY SUPLIERS[2750] 9847041070</t>
  </si>
  <si>
    <t>BL-SUNIL K. BISTA[7963]9867045081</t>
  </si>
  <si>
    <t>BL-SUNIL SHING MOHOT[88]9857022569</t>
  </si>
  <si>
    <t>BL-SURENDRA PATAL[9182] 9857045596</t>
  </si>
  <si>
    <t>CHANDAN CHAUDARY[8687]9869048876</t>
  </si>
  <si>
    <t>CHOPNARAYAN SHRESTH [7617] [9847213041]</t>
  </si>
  <si>
    <t>DANESOR PARIWAN SEWA [SIYARAM YADAB] 9857022161</t>
  </si>
  <si>
    <t>DEEP BORDING SCHOOL</t>
  </si>
  <si>
    <t>DHURBA SUBEDI 9857058108</t>
  </si>
  <si>
    <t xml:space="preserve">dinesh bhushal </t>
  </si>
  <si>
    <t>DIPAK NEPAL[87]9849152376</t>
  </si>
  <si>
    <t>DIPENDRA YADAV[8148]9821422711</t>
  </si>
  <si>
    <t>DIPENDRE SHRESTHA [633]9857015510/CLEARED VANXA</t>
  </si>
  <si>
    <t>DOL BDR GIRE 9867279328</t>
  </si>
  <si>
    <t>FAIJ  KHAN[343]981415720</t>
  </si>
  <si>
    <t>GANGA SAGER MALI [4069] 9867001274</t>
  </si>
  <si>
    <t>GARAUN KALIKA TYRE 9846407398</t>
  </si>
  <si>
    <t>GC HARDWEAR PALPA  9857065418</t>
  </si>
  <si>
    <t>GOBINDA SAHANI[93]9863507362</t>
  </si>
  <si>
    <t>GURU PARSAD HARIJAN [9154] 9807597846/9807509393</t>
  </si>
  <si>
    <t>HARERAM YADAV/RAJMAN KURMI/9824478809</t>
  </si>
  <si>
    <t>HOM KAJI GURUNG-8038-9821501952/WR NO(RUPULIYA BARGHAT)</t>
  </si>
  <si>
    <t>ILTAG TYRE  9826462271</t>
  </si>
  <si>
    <t>INDRA BDR. KHATI-9847067241/TIRDAINA</t>
  </si>
  <si>
    <t>JAFARI [GANESH SUNAR] 7893 -9800776888 parsauni</t>
  </si>
  <si>
    <t>JAKAHULLA KHAN 9805475879</t>
  </si>
  <si>
    <t>JHINAK MALLA[8641] 9806911060</t>
  </si>
  <si>
    <t>JIT BAHADUR KURMI[152]9747011146</t>
  </si>
  <si>
    <t>JITU YADAV/RAM HARAK PASI-9805455336 6000 BAKI VANXA</t>
  </si>
  <si>
    <t>JYOTI JOSHI[9821577379]6661</t>
  </si>
  <si>
    <t>KAMAL GHIMIRE SWASTICA 9857021274</t>
  </si>
  <si>
    <t>KAMAL SUBEDHI [7275] [9847111157]</t>
  </si>
  <si>
    <t>KESHAV ARYAL[7837]9867344629</t>
  </si>
  <si>
    <t>KESHAV SRYAL</t>
  </si>
  <si>
    <t>KHADKA BDR GURUNG 9847421551 9806991477</t>
  </si>
  <si>
    <t>KRISHNA BASHYAL[1154]9857057328</t>
  </si>
  <si>
    <t>KRISHNA PRD.HARIJAN[9716]9811403130</t>
  </si>
  <si>
    <t>KUMODINI BOARDING /satik kala9811674170</t>
  </si>
  <si>
    <t>LAXMAN MAHARA[8793]9811480596</t>
  </si>
  <si>
    <t>LAXMAN POUDEL[5231]9847589292</t>
  </si>
  <si>
    <t>LAXMAN THAPA[330] 9857030553</t>
  </si>
  <si>
    <t>LILA SHRESTHA [3610]9857020757</t>
  </si>
  <si>
    <t>M.B THAPA 182 / 8604</t>
  </si>
  <si>
    <t>madan thapa 9857011105</t>
  </si>
  <si>
    <t>MADHU PATHAK/ GURU PRD.HARIJAN[9807597846]</t>
  </si>
  <si>
    <t>MADHU PATHAK[3923]9847296510</t>
  </si>
  <si>
    <t>MADHUKAR SHAKYA 9846052619</t>
  </si>
  <si>
    <t>MAHENDER JOSHI [2555] 522206(CLAIM) SAMBU DAI</t>
  </si>
  <si>
    <t>MALIKA TRASPORT [8109] [9857021366]</t>
  </si>
  <si>
    <t>MANGESH YADAV[282]9857045964</t>
  </si>
  <si>
    <t>MANIGANGA DHUWANI SEWA  9857029320</t>
  </si>
  <si>
    <t>MANISH PANGENI 9707769410</t>
  </si>
  <si>
    <t>MEHBOOB  HASN AANSARI[9788]9807416101/ SAJALOMANXE</t>
  </si>
  <si>
    <t>MOHAN BHAT [8883] 9857038058/9857049214</t>
  </si>
  <si>
    <t>NAR BDR KHAM HONSI</t>
  </si>
  <si>
    <t>NARAYAN CHETRI BHAIRAB KALIKA 9857030778</t>
  </si>
  <si>
    <t>NETRA BRD.GAUTAM[MAILA DAI] 9810165517</t>
  </si>
  <si>
    <t>NEW LAXMI ELECTRICAL &amp;ENGINEERING</t>
  </si>
  <si>
    <t>NIL BAHADUR THAPA[5667]9847030743</t>
  </si>
  <si>
    <t>NIM CONS 9813274660</t>
  </si>
  <si>
    <t>NORTH EAST PVT.LTD [JEEVAN] 9857058963</t>
  </si>
  <si>
    <t>OM KANT TIMILSINA [4133] 9857030394 TIKA RAM KO PHN</t>
  </si>
  <si>
    <t>PASHUPATI TR JP JEE 9857023635 NO CAL</t>
  </si>
  <si>
    <t xml:space="preserve">PASUPATI YADAV[9182]9826462271 </t>
  </si>
  <si>
    <t>PRADIP YADAV/9807415915</t>
  </si>
  <si>
    <t>PRAKASH YADAV[6287]9806947396</t>
  </si>
  <si>
    <t>PREM CHAUDARY[3398]984455751 NO INCOMPLTE</t>
  </si>
  <si>
    <t>PREM RAJ BHUSHAL[9851198109]/ HOTEL</t>
  </si>
  <si>
    <t>PURAN CHAUDARY[4094]981544369 NO INCOMPLTE</t>
  </si>
  <si>
    <t>RAJENDRA CHOUDARY[871],9847003033</t>
  </si>
  <si>
    <t>RAJESH RANABHAAT[687]9857037394</t>
  </si>
  <si>
    <t>RAJKUMAR PANDEY GALYANG 9846147728</t>
  </si>
  <si>
    <t>RAKESH YADAV[6015]9867378480</t>
  </si>
  <si>
    <t>RAM CHANDRA KUNWAR 9857035326</t>
  </si>
  <si>
    <t>RAM CHANDRA TIWARI[784]9857011044</t>
  </si>
  <si>
    <t>RAM KUMAR YADAV[3978]9817540660 BHAI CONTACT</t>
  </si>
  <si>
    <t>RAMESH BHUSHAL[S.B.COLD]6167-9867462760</t>
  </si>
  <si>
    <t>RAMKISAN KOIRI/SADANAND CHAUDHARY-9825494999</t>
  </si>
  <si>
    <t>RANJET SING [9974] 9815411543</t>
  </si>
  <si>
    <t>ROSHAN SHRESTHA [8239] [9807512971]</t>
  </si>
  <si>
    <t>ROSHAN -SIDDBABA GRIL[119] 9841603905</t>
  </si>
  <si>
    <t>S.T.T - DURBA FOUJDAR [8383]9857029882</t>
  </si>
  <si>
    <t>S.T.T BHOJRAJ SUBADI[3996] 9847502215</t>
  </si>
  <si>
    <t>S.T.T BIRU KOIRALA[8207]9856050320</t>
  </si>
  <si>
    <t>S.T.T DHOBHAN SUPLIERS[BHUWAN]9867380668</t>
  </si>
  <si>
    <t>S.T.T JAY MATA DE TRANSPORT 9857037250</t>
  </si>
  <si>
    <t>S.T.T NILRAJ NEPAL[4738]  9857026163</t>
  </si>
  <si>
    <t>S.T.T OM PRAKASH KHANAL[9856011017]</t>
  </si>
  <si>
    <t>S.T.T RAMU GAHA (531)9847374405</t>
  </si>
  <si>
    <t>S.T.T SER BHADUR ARJALE -9844795821</t>
  </si>
  <si>
    <t>S.T.T SHANKER ACHARYA[5332] 9847147987</t>
  </si>
  <si>
    <t>S.T.T SHYAM DHAKAL [TANKA DAI]</t>
  </si>
  <si>
    <t>S.T.T TARA P.KHANAL[6829] 9857035163</t>
  </si>
  <si>
    <t>SAGAR BHATTERY [643] 9855065285</t>
  </si>
  <si>
    <t>SAGAR GURUNG KHADKA 9847421551</t>
  </si>
  <si>
    <t>SAJID ALI [425] 9821445129/9817403140 FOLLOW</t>
  </si>
  <si>
    <t>SAKIL CHOUDHARI SAMIR BHAI 9811589477</t>
  </si>
  <si>
    <t>SAMBHU THAPA [7949] 9857045477</t>
  </si>
  <si>
    <t>SANAM THAPA [9362] 9847542176</t>
  </si>
  <si>
    <t>SANDEEP KAFLAY [4029] 9857011129</t>
  </si>
  <si>
    <t>SANJU BABA[4977] 9804213082</t>
  </si>
  <si>
    <t>SARFUDIN BANIYA[9806974770]</t>
  </si>
  <si>
    <t>SATNAM SING [874] 9816413777</t>
  </si>
  <si>
    <t>SHANKAR TIMISINA [226]9857020425/9809234922</t>
  </si>
  <si>
    <t>SHIVA CHAUDARY[3587]9867520817</t>
  </si>
  <si>
    <t>shiva KUMAR 9819405516</t>
  </si>
  <si>
    <t>SHIVA SHAKTI LUBRECANT  9857058752</t>
  </si>
  <si>
    <t>SHIVA SHAKTI PRINT  9801019540</t>
  </si>
  <si>
    <t>SHIVA TARA SUPPLIERS 9857083033</t>
  </si>
  <si>
    <t>SITA GURUNG</t>
  </si>
  <si>
    <t>STT 3D MD ART-9857039484</t>
  </si>
  <si>
    <t>STT SANTARAM THAPA/PRABHU DHUWANI-9857012113</t>
  </si>
  <si>
    <t>SUBHA KAMANA HARDWARE-9857023314/ STATEMENT</t>
  </si>
  <si>
    <t>SUNDER THAPA[SUNAULI] 223 [9857023642]</t>
  </si>
  <si>
    <t>SUNIL SHAHI[3611]9827432562</t>
  </si>
  <si>
    <t>SURAJ CHAUDARY[2811]9814467644</t>
  </si>
  <si>
    <t>SURAJ DHUWANI SEWA[3036] 9857017552</t>
  </si>
  <si>
    <t>SURAJ PRD.KEWAT[1747]9806932612</t>
  </si>
  <si>
    <t>SURENDRA YADAV[676]9857017114</t>
  </si>
  <si>
    <t>SURESH KUWAR[4648]9847304276</t>
  </si>
  <si>
    <t>SURESH YADAV[7904]9867712926</t>
  </si>
  <si>
    <t>T -  ABDUL TYRE [9727142819]</t>
  </si>
  <si>
    <t>T - BHALBARI TYRE/9800718988</t>
  </si>
  <si>
    <t>T- BL-GANESH TYRE/HEMANT BANIYA [ 9815484625]</t>
  </si>
  <si>
    <t>T PINKU KALAM,BUSPARK/9821527024</t>
  </si>
  <si>
    <t xml:space="preserve">T SONU TYRE BASANTA PUR </t>
  </si>
  <si>
    <t>T SONU TYRE SAKHUWANI</t>
  </si>
  <si>
    <t>T-CHAD TYRE WALA 9814457786</t>
  </si>
  <si>
    <t>T-GANESH TYRE [PARASI]9807562716</t>
  </si>
  <si>
    <t>T-GURBENIYA TYRE/9807597886</t>
  </si>
  <si>
    <t>T-HIRA TYRE[9812957574]</t>
  </si>
  <si>
    <t>TINKU KALAM BAIJYANATH CHOUDHARI 9857039540</t>
  </si>
  <si>
    <t>TINKU KALAM BISHNU ARYAL 9857072811</t>
  </si>
  <si>
    <t>TINKU KALAM DURGA RANABHAT  9846194810</t>
  </si>
  <si>
    <t>TINKU KALAM KRISHANA NEUPANI 9857077345</t>
  </si>
  <si>
    <t xml:space="preserve">tinku kalam puran sahani </t>
  </si>
  <si>
    <t>T-KALAM TYRE 9811945210</t>
  </si>
  <si>
    <t>T-MOHIT OIL TYRE[4648]9819473794/WR NO</t>
  </si>
  <si>
    <t>T-MUNNA TYRE [LUMBINI ROAD]9817495817</t>
  </si>
  <si>
    <t>T-NASIB TYRE WALA/9821431378</t>
  </si>
  <si>
    <t>TRIMURTI PUMP[818]9802628768/071530759</t>
  </si>
  <si>
    <t>T-RINKU/WALING TYRE RESOL,9847245330</t>
  </si>
  <si>
    <t>TRIVENI YADAB DHUWANI SEWA 9811409340</t>
  </si>
  <si>
    <t>T-RIYAZ TYRE [LUMBINY ROAD]/9807462733</t>
  </si>
  <si>
    <t>T-S.T.T BHAIRAB TYRE [PALPA]9867841917</t>
  </si>
  <si>
    <t>T-S.T.T PANDAY JEE [HUSAN TYRE] 9857020135</t>
  </si>
  <si>
    <t>T-SAMIN TYRE WALA [ 9800764165]</t>
  </si>
  <si>
    <t>T-SAMSAD TYRE[9806976130</t>
  </si>
  <si>
    <t>T-STT METRO TYRE[BASNET]9856031670</t>
  </si>
  <si>
    <t>BISHNU POUDEL SAINAMAINA   9867845062</t>
  </si>
  <si>
    <t>BISHOKARMA DHUWANI SEWA</t>
  </si>
  <si>
    <t>BL-LAXMAN GIRI [5159]9857023283/DISCOUNT SHAMBU DAI</t>
  </si>
  <si>
    <t>BL-POUDEL DHUWANI[PADSARI] 9696-9857012045</t>
  </si>
  <si>
    <t>BL-RAGUNANDAN PANDAY [123] 9857024544</t>
  </si>
  <si>
    <t>CANNON HIGHIER SCHOOL</t>
  </si>
  <si>
    <t>GOBINDA YADAV</t>
  </si>
  <si>
    <t>LUMBINI SHIKSHA NIKETAN  9857022369</t>
  </si>
  <si>
    <t>NEPAL BIDDUT BHAIRAHAWA 9857046950</t>
  </si>
  <si>
    <t>OM MAHARUDRA TRADING STTPL</t>
  </si>
  <si>
    <t>PADAM GAIRE  9857060203</t>
  </si>
  <si>
    <t>RAJAN DUNGANA [SWASTICK]9397-9847089418</t>
  </si>
  <si>
    <t>RK SUPPLIERS 9766741197</t>
  </si>
  <si>
    <t>S KUMARI DHUWANI SEWA 9857058791</t>
  </si>
  <si>
    <t>S.T.T BHABI KOIRALA[4037] 9856050689</t>
  </si>
  <si>
    <t>S.T.T BHAWANA CONSTRUCTION/9847038032</t>
  </si>
  <si>
    <t>S.T.T DEEP BORDING SCHOOL</t>
  </si>
  <si>
    <t>S.T.T GOPAL LAMSHAL [8523] 9857020023</t>
  </si>
  <si>
    <t>S.T.T HARI BASHYAL [PALPA]</t>
  </si>
  <si>
    <t>S.T.T MINA BHAT -9847087412</t>
  </si>
  <si>
    <t>S.T.T SHAMBHU SHRESTHA[66]9857833299</t>
  </si>
  <si>
    <t>S.T.T SHUBHA POKHREL SUPPLIERS/9857075707</t>
  </si>
  <si>
    <t>S.T.T-ADVANCE SUPLIERS [SUNWAL]-9803175772</t>
  </si>
  <si>
    <t>SAMPARK NIRMAN SEWA 9867232185</t>
  </si>
  <si>
    <t xml:space="preserve">SHREE MECINARY STORE </t>
  </si>
  <si>
    <t>SIDDHARTHA GAS  9857030780</t>
  </si>
  <si>
    <t>STT SHINE CONSTRUCTION</t>
  </si>
  <si>
    <t>CHOUDARI BHAI  9847428826</t>
  </si>
  <si>
    <t>MOON LIGHT SCHOOL-9806918221  9847023003</t>
  </si>
  <si>
    <t>MOHAN K.C [7302] 9857070130</t>
  </si>
  <si>
    <t>PRATIVA NIRMAN SEWA 9801098017</t>
  </si>
  <si>
    <t>RAMU KUNWAR THARU 9849992809</t>
  </si>
  <si>
    <t>RAJAN DAI BASA NRN 9816453107</t>
  </si>
  <si>
    <t>BISHNU JEE GULMI KAMAL GBC 9861883122</t>
  </si>
  <si>
    <t>DIPAK SURENDRA AARYA 9846874683</t>
  </si>
  <si>
    <t>DURGA BDR THATTRAI 9847546551</t>
  </si>
  <si>
    <t>GYANI POLIMARS  9857029771</t>
  </si>
  <si>
    <t>JANAK DHAKAL  9869456194</t>
  </si>
  <si>
    <t>STT KAMAL THAPA PALPA 9847497127</t>
  </si>
  <si>
    <t xml:space="preserve">KUL PRASAD GAIRE  </t>
  </si>
  <si>
    <t>kushal multipurpose</t>
  </si>
  <si>
    <t>KASHYAP NIRMAN SEWA</t>
  </si>
  <si>
    <t>KRISHANA DHUWANI SEWA 9867116357</t>
  </si>
  <si>
    <t>RUBI YATAYAT PVT LTD 9867030539</t>
  </si>
  <si>
    <t>DINESH ACHARYA RAMPUR  9867148508</t>
  </si>
  <si>
    <t>KRISHANA SHRESTHA 9805411960</t>
  </si>
  <si>
    <t>MADANE CONS 9857630619</t>
  </si>
  <si>
    <t>PRAKRITIK NIRMAN  9857024042</t>
  </si>
  <si>
    <t>SHIVA SHAKTI HEAVY EQUIPMENT  9857058752</t>
  </si>
  <si>
    <t>TILOTTAMA DHUWANI SEWA 9812324162</t>
  </si>
  <si>
    <t>ARUN AGRO INDUSTRIES 9802609003</t>
  </si>
  <si>
    <t>ABISHIK PAL 9812940326</t>
  </si>
  <si>
    <t>HARI RANA BHAT[5672]9847177363</t>
  </si>
  <si>
    <t xml:space="preserve">KUL PRASAD GAIRE </t>
  </si>
  <si>
    <t>SALIKRAM ARYAL  9808865843</t>
  </si>
  <si>
    <t>anil gc durga thattrai 9847551953</t>
  </si>
  <si>
    <t xml:space="preserve">BALRAM TIMILSINA </t>
  </si>
  <si>
    <t>DWARIKA POKHREL 9847170197</t>
  </si>
  <si>
    <t>DIPAK GYAWALI 9857027184</t>
  </si>
  <si>
    <t>DIPAK SUBEDI 9857014592</t>
  </si>
  <si>
    <t>HUGI SWASTYA CHOUKI  9841126941</t>
  </si>
  <si>
    <t>JIWAN BK 9848638336/9768852440</t>
  </si>
  <si>
    <t>JIN MATA LOJISTIC  JP JEE 9857023635</t>
  </si>
  <si>
    <t>LAXMAN KAKI COUNTER 9847039973</t>
  </si>
  <si>
    <t>S.T.T NATIONAL MULTIPURPOSE AND CONS.[9857029719]</t>
  </si>
  <si>
    <t>OUR PEACE LAND ACDEMY 9857026788</t>
  </si>
  <si>
    <t>RAJU SHRESTHA RAMPUR 9847221537</t>
  </si>
  <si>
    <t>[B] BINOD BATTERY [9847054616]</t>
  </si>
  <si>
    <t>ANIL GC DINESH ACHARYA 9857062198/9867148508</t>
  </si>
  <si>
    <t>ANIL GC UTTAM SHRESTHA 9857062198/9867148508</t>
  </si>
  <si>
    <t>ASMI MAYERA CONS</t>
  </si>
  <si>
    <t>B AND B CONS 9846831661</t>
  </si>
  <si>
    <t>BABLU KHAN 9816465973</t>
  </si>
  <si>
    <t>BAL BDR THAPA SYNGJA 9856050522</t>
  </si>
  <si>
    <t>BISHNU ARYAL[7951]9867610624</t>
  </si>
  <si>
    <t xml:space="preserve">BISHNU THAPA 9764353995/ 9863770171                                               S </t>
  </si>
  <si>
    <t>BISHOKARMA DHUWANI SEWA  9847038825</t>
  </si>
  <si>
    <t>BL-GOBINDA POKHREL [9857040585]</t>
  </si>
  <si>
    <t>BL-LAL BAHADUR THAPA [1321] 9847350607</t>
  </si>
  <si>
    <t>BL-PANCHAM YADAV [32] 9811599975</t>
  </si>
  <si>
    <t>DHOL BDR GIRI  9867279328</t>
  </si>
  <si>
    <t>DIKSHYANT BHANDARI PALPA 9857033525</t>
  </si>
  <si>
    <t>DIL BRD.THARU[616]9812974326</t>
  </si>
  <si>
    <t>DIPAK SARU BIJAY BK 9863124515</t>
  </si>
  <si>
    <t>DIPAK SARU PURAN BISOKARMA 9766297455/9745442877</t>
  </si>
  <si>
    <t xml:space="preserve">doctor pr yadav </t>
  </si>
  <si>
    <t>DURGA RANA[5813]9856039830</t>
  </si>
  <si>
    <t>ELITE CONSTRUCTION [9860251939]</t>
  </si>
  <si>
    <t>G AND G TRADE 9867427099</t>
  </si>
  <si>
    <t>G C HARDWEAR PALPA 9857065418</t>
  </si>
  <si>
    <t xml:space="preserve">GANESH BHAT </t>
  </si>
  <si>
    <t>GANESH GYAWALI   9851158217</t>
  </si>
  <si>
    <t>GANGARAM YADAV 9817515292</t>
  </si>
  <si>
    <t>GIRI RAJ RANA[4679]986694572</t>
  </si>
  <si>
    <t>GIRIRAJ LAMSAL[1868]9857059451</t>
  </si>
  <si>
    <t>INUSH MIYA 9848926985</t>
  </si>
  <si>
    <t>JAL TATHA MAUSAM VIGYAN VIBHAG,BHAIRHAWA</t>
  </si>
  <si>
    <t>JIWAN BK 9848638336</t>
  </si>
  <si>
    <t>KANCHHA RAMPUR</t>
  </si>
  <si>
    <t>KHADKA DHUWANI SEWA  9805443334</t>
  </si>
  <si>
    <t>KRISHANA DHUNGANA DHUWANI PADAM SHRIS9867896838</t>
  </si>
  <si>
    <t xml:space="preserve">MAA AMBE HEAVY MESINARY  G AND G </t>
  </si>
  <si>
    <t>MADAV CHAPAGAI/9857065900</t>
  </si>
  <si>
    <t>MADH KAR SHAKYA 9846052673</t>
  </si>
  <si>
    <t>NAHARPUR NIRMAN SEWA</t>
  </si>
  <si>
    <t>NAMASTE WALING INTERPRISES  9856054840</t>
  </si>
  <si>
    <t>NARAYAN JHEDI MAGAR 9856052361</t>
  </si>
  <si>
    <t>NEPAL BIDHUT PRADHIKARAN , BHAIRAHWA.9865716040</t>
  </si>
  <si>
    <t>OFFICE STAFF[RAMESH TIMALSINA]</t>
  </si>
  <si>
    <t>OFFICE STAFF[ROSHNI TIMILSINA]</t>
  </si>
  <si>
    <t>PAL PUMP  9812640326</t>
  </si>
  <si>
    <t>panchakanya BHOJRAJ BINDU SHRESTHAC 9802630141</t>
  </si>
  <si>
    <t>PANCHAKANYA STEEL 9802630141</t>
  </si>
  <si>
    <t>PANCHAM YADAV 9814495745</t>
  </si>
  <si>
    <t>PASCHIM POUDI MA BI 9846927608</t>
  </si>
  <si>
    <t>PINKU KALAM SANJAY BHUSAL 9847534124</t>
  </si>
  <si>
    <t>PIPALU CHHAYA CONS 9864395543</t>
  </si>
  <si>
    <t>PRIYA DHUWANI SEWA 9847024478</t>
  </si>
  <si>
    <t>RAJ LAXMI BIBIDH SEWA 9857021007</t>
  </si>
  <si>
    <t>RAJU GAUTAM NARAYAN  9857062128</t>
  </si>
  <si>
    <t>RAM BRD.TAMANG[9847135374]8469</t>
  </si>
  <si>
    <t>RAM KISUN YADAV[3425]9867371551 CLAIM</t>
  </si>
  <si>
    <t>RAM KRISHNA YADAV[9572]9802670779</t>
  </si>
  <si>
    <t>RAM NARESH GUPTA 9815406458</t>
  </si>
  <si>
    <t>RAM NARESH GUPTA[5775]9811405036</t>
  </si>
  <si>
    <t>RAMESH SHARMA JEEN MATA 9802630181</t>
  </si>
  <si>
    <t xml:space="preserve">RESUNGA MUSI KOT </t>
  </si>
  <si>
    <t>S.T.T DARLUNG BHAIRAV DHUWANI SEWA9847098959</t>
  </si>
  <si>
    <t>S.T.T DHURBA KOIRALA[5911]9846167868</t>
  </si>
  <si>
    <t>S.T.T JEEVAN SUNAR [5937] 9847347487</t>
  </si>
  <si>
    <t>S.T.T PADAM THAPA/SAROJ[985605234]</t>
  </si>
  <si>
    <t>S.T.T S.K MOTER PARTS[ROLPA]</t>
  </si>
  <si>
    <t>S.T.T SANTOSH SHRESTHA[7325]9846052085</t>
  </si>
  <si>
    <t>S.T.T SHYAM THAPA[2781]</t>
  </si>
  <si>
    <t>S.T.T YAG PRASHAD PANDEY- 9867233191</t>
  </si>
  <si>
    <t>SANDIP TYRE 9846070116</t>
  </si>
  <si>
    <t>SANTOSH CHOUDHARI 9806904593</t>
  </si>
  <si>
    <t xml:space="preserve">SARU THAPA OSIAN </t>
  </si>
  <si>
    <t>SHREE RAM TRADERS 9857634945</t>
  </si>
  <si>
    <t>SHRYAM GUPTA  9805407754</t>
  </si>
  <si>
    <t>Siddartha Unick[Kusiram] [9847023683]</t>
  </si>
  <si>
    <t xml:space="preserve">SIDDHARTHA GALEXY SCHOOL </t>
  </si>
  <si>
    <t>SIMIRTI SUPPLIERS[1604]9857022422</t>
  </si>
  <si>
    <t>STT G.C HARDWARE-1171-9857065418</t>
  </si>
  <si>
    <t>SUNIL BASHYAL  9748210928</t>
  </si>
  <si>
    <t>SURAJ RAWAT 9821400245</t>
  </si>
  <si>
    <t>SURENDRA BHATTERY[RAMPUR]9847532785</t>
  </si>
  <si>
    <t>THULDAI PALPA 9847596015</t>
  </si>
  <si>
    <t>TINKU KALAM MOHIT BHATTRAI 9841355552</t>
  </si>
  <si>
    <t>T-MUSTAFA TYRE (9811914383)</t>
  </si>
  <si>
    <t>T-S.T.T D AND B TYRE , BATTERY HOUSE/9857045529</t>
  </si>
  <si>
    <t>T-TINKU KALAM KRISHANA NEUPANI 9857077345</t>
  </si>
  <si>
    <t>UNIVERSAL FURMULANCE P.LTT/9802011751</t>
  </si>
  <si>
    <t>UPERATI DHUWANI SEWA  9847035188</t>
  </si>
  <si>
    <t xml:space="preserve">UPPALLO TAMGHASH MA BI </t>
  </si>
  <si>
    <t>OP BALANCE</t>
  </si>
  <si>
    <t>1+2+3+4+5</t>
  </si>
  <si>
    <t>CL BLNS</t>
  </si>
  <si>
    <t xml:space="preserve"> STT 01-04-2083</t>
  </si>
  <si>
    <t>SURAJ KHAREL</t>
  </si>
  <si>
    <t>KAMAL NEPAL</t>
  </si>
  <si>
    <t>12 GATE</t>
  </si>
  <si>
    <t>2 GATE</t>
  </si>
  <si>
    <t>4 GATE</t>
  </si>
  <si>
    <t>8 GATE</t>
  </si>
  <si>
    <t>3 GATE</t>
  </si>
  <si>
    <t>SAMBHU</t>
  </si>
  <si>
    <t>TIRDINA</t>
  </si>
  <si>
    <t>7 GATE</t>
  </si>
  <si>
    <t>RAJ TRACTOR PARTS</t>
  </si>
  <si>
    <t>15 GATE</t>
  </si>
  <si>
    <t>SO</t>
  </si>
  <si>
    <t>NRN</t>
  </si>
  <si>
    <t>NR</t>
  </si>
  <si>
    <t>NC</t>
  </si>
  <si>
    <t>NSO</t>
  </si>
  <si>
    <t>MILAN</t>
  </si>
  <si>
    <t>TYRE</t>
  </si>
  <si>
    <t>CHQ</t>
  </si>
  <si>
    <t>JINN MATA LOGISTIC</t>
  </si>
  <si>
    <t>BL=KUMAR K.C [ANFA] [S.R RAPTI]</t>
  </si>
  <si>
    <t>TIRUPATI NIRMAN SEWA [SWARGA DWARI MULTI]</t>
  </si>
  <si>
    <t>nr</t>
  </si>
  <si>
    <t>BG</t>
  </si>
  <si>
    <t>BATTERY RETURN</t>
  </si>
  <si>
    <t>10 GATE</t>
  </si>
  <si>
    <t>JANEE</t>
  </si>
  <si>
    <t>5PM</t>
  </si>
  <si>
    <t>SAMBHU DAI</t>
  </si>
  <si>
    <t>FF</t>
  </si>
  <si>
    <t>M.OFF</t>
  </si>
  <si>
    <t>4 PM FF</t>
  </si>
  <si>
    <t>WN</t>
  </si>
  <si>
    <t>LIUMBINI BOARDING</t>
  </si>
  <si>
    <t>16 GATE</t>
  </si>
  <si>
    <t>6+7+8</t>
  </si>
  <si>
    <t>so</t>
  </si>
  <si>
    <t>3PM</t>
  </si>
  <si>
    <t>8 gate</t>
  </si>
  <si>
    <t>fix</t>
  </si>
  <si>
    <t>7 gate</t>
  </si>
  <si>
    <t>10 gate</t>
  </si>
  <si>
    <t>12 gate</t>
  </si>
  <si>
    <t>9 GATE</t>
  </si>
  <si>
    <t>8 GAET</t>
  </si>
  <si>
    <t>11 GATE</t>
  </si>
  <si>
    <t>OS</t>
  </si>
  <si>
    <t>14 GATE</t>
  </si>
  <si>
    <t>4PM</t>
  </si>
  <si>
    <t>NE</t>
  </si>
  <si>
    <t>DAI</t>
  </si>
  <si>
    <t>SUDEEP</t>
  </si>
  <si>
    <t>BL=JALIN TYRE [TINKUNAE MILAN CHOWK] RAJU HUSAN</t>
  </si>
  <si>
    <t>YAM BDR. MAMA [NEPAL LIGHT HOUSE] [SAMI THAPA]</t>
  </si>
  <si>
    <t>GUANU MOTER PARTS</t>
  </si>
  <si>
    <t>nill</t>
  </si>
  <si>
    <t>BC</t>
  </si>
  <si>
    <t>BR</t>
  </si>
  <si>
    <t>13 GATE</t>
  </si>
  <si>
    <t>20 GATE</t>
  </si>
  <si>
    <t>STR-O</t>
  </si>
  <si>
    <t>COM</t>
  </si>
  <si>
    <t>9+10+11+12</t>
  </si>
  <si>
    <t>NILL</t>
  </si>
  <si>
    <t>15 gate</t>
  </si>
  <si>
    <t>18 GATE</t>
  </si>
  <si>
    <t>17 GATE</t>
  </si>
  <si>
    <t>VISIT</t>
  </si>
  <si>
    <t>PURWANCHA DHUWANI [BIKASH]</t>
  </si>
  <si>
    <t>HEMANT TRACTOR</t>
  </si>
  <si>
    <t>SANJIBANI SHIKSHA SADAN</t>
  </si>
  <si>
    <t>SC</t>
  </si>
  <si>
    <t>HIMAL BHANDARI YOUBA SANJAL</t>
  </si>
  <si>
    <t>19 GATE</t>
  </si>
  <si>
    <t>22 GATE</t>
  </si>
  <si>
    <t>HISAB</t>
  </si>
  <si>
    <t>DISCOUNT</t>
  </si>
  <si>
    <t>MANXEY MAREKO</t>
  </si>
  <si>
    <t>NF</t>
  </si>
  <si>
    <t>13+14+15</t>
  </si>
  <si>
    <t>RAJU PANDEY</t>
  </si>
  <si>
    <t>LUMBINI HOSPITAL NARSING HOME</t>
  </si>
  <si>
    <t>SHIVA SHAKTI SOAP IND</t>
  </si>
  <si>
    <t>DWARIKA POKHREL</t>
  </si>
  <si>
    <t>BATTERY</t>
  </si>
  <si>
    <t>24 GAT</t>
  </si>
  <si>
    <t xml:space="preserve">PARIBARTAN SAMAJ </t>
  </si>
  <si>
    <t>JANEEE</t>
  </si>
  <si>
    <t>BANK</t>
  </si>
  <si>
    <t>DIS</t>
  </si>
  <si>
    <t>21 GATE</t>
  </si>
  <si>
    <t>16+17+18+19</t>
  </si>
  <si>
    <t>N</t>
  </si>
  <si>
    <t>SC /STR-N</t>
  </si>
  <si>
    <t>MAN BRD.KUWAR</t>
  </si>
  <si>
    <t>B.N MOON LIGHT SCHOOL-9806918221  9847023003</t>
  </si>
  <si>
    <t>STR-N</t>
  </si>
  <si>
    <t>24 GATE</t>
  </si>
  <si>
    <t>30 GATE</t>
  </si>
  <si>
    <t>25 GATE</t>
  </si>
  <si>
    <t>nc</t>
  </si>
  <si>
    <t>20+21+22</t>
  </si>
  <si>
    <t>28 Ggate</t>
  </si>
  <si>
    <t>23 GATE</t>
  </si>
  <si>
    <t>27 GATE</t>
  </si>
  <si>
    <t>24GATE</t>
  </si>
  <si>
    <t>26 GATE</t>
  </si>
  <si>
    <t>KHARKA BHADUR CHATRI [MIRMI]</t>
  </si>
  <si>
    <t>HEMANT TRACTOR / RAJ BARING</t>
  </si>
  <si>
    <t>RAMESH KUNWAR</t>
  </si>
  <si>
    <t>NEPAL ELECTRICALS</t>
  </si>
  <si>
    <t>KAMAL JI ABC</t>
  </si>
  <si>
    <t>29 GATE</t>
  </si>
  <si>
    <t>TRIBHUWAN UNITED ACDEMY</t>
  </si>
  <si>
    <t>BIJAY KUMAR SINGH 9847123986</t>
  </si>
  <si>
    <t>TEJENDRA POUDEL 9857057337</t>
  </si>
  <si>
    <t>28 GATE</t>
  </si>
  <si>
    <t>23+24+25+26</t>
  </si>
  <si>
    <t>LUMBINY SHISHYA NIKETAN [9857022369]</t>
  </si>
  <si>
    <t>STR</t>
  </si>
  <si>
    <t>31 GATE</t>
  </si>
  <si>
    <t>BL=MAHESH POKHAREL , BUTWAL[CHABI]</t>
  </si>
  <si>
    <t>OUR MOTHER ACDEMY</t>
  </si>
  <si>
    <t>SAGAR DISTRILARY</t>
  </si>
  <si>
    <t>31GATE</t>
  </si>
  <si>
    <t>7PM</t>
  </si>
  <si>
    <t>VOUCHER</t>
  </si>
  <si>
    <t>SUN MODEL ENGLISH SCHOOL</t>
  </si>
  <si>
    <t>27+28+29+30+31</t>
  </si>
  <si>
    <t>BX</t>
  </si>
  <si>
    <t>JANASEWA BATABARAN SARSAFAI</t>
  </si>
  <si>
    <t>JANE</t>
  </si>
  <si>
    <t xml:space="preserve">RAPPON </t>
  </si>
  <si>
    <t>15W40 CI4 1 LTR</t>
  </si>
  <si>
    <t>15W40 CI4 6 LTR</t>
  </si>
  <si>
    <t>15W40 CI4 8 LTR</t>
  </si>
  <si>
    <t>15W40 CI4 10 LTR</t>
  </si>
  <si>
    <t>15W40 CI4 15 LTR</t>
  </si>
  <si>
    <t>15W40 CF4 1 LTR</t>
  </si>
  <si>
    <t>15W40 CF4 6 LTR</t>
  </si>
  <si>
    <t>15W40 CF4 8 LTR</t>
  </si>
  <si>
    <t>15W40 CF4 10 LTR</t>
  </si>
  <si>
    <t>15W40 CF4 15 LTR</t>
  </si>
  <si>
    <t>20W50 CI4 1 LTR</t>
  </si>
  <si>
    <t>20W50 CI4 8 LTR</t>
  </si>
  <si>
    <t>20W50 CI4 10 LTR</t>
  </si>
  <si>
    <t>20W50 CF4 1 LTR</t>
  </si>
  <si>
    <t>20W50 CF4 8 LTR</t>
  </si>
  <si>
    <t>20W50 CF4 10 LTR</t>
  </si>
  <si>
    <t>HYD 68 ECO 1 LTR</t>
  </si>
  <si>
    <t>HYD 68 ECO 10 LTR</t>
  </si>
  <si>
    <t>HYD 68 ECO 20 LTR</t>
  </si>
  <si>
    <t>UTTO 10 LTR</t>
  </si>
  <si>
    <t>UTTO 20 LTR</t>
  </si>
  <si>
    <t>EP 90 GL3 ECO 1 LTR</t>
  </si>
  <si>
    <t>EP 90 GL3 ECO 10 LTR</t>
  </si>
  <si>
    <t>EP 90 GL3 ECO 20 LTR</t>
  </si>
  <si>
    <t>EP 140 GL3 ECO 1 LTR</t>
  </si>
  <si>
    <t>EP 140 GL3 ECO 10 LTR</t>
  </si>
  <si>
    <t>EP 140 GL3 ECO 20 LTR</t>
  </si>
  <si>
    <t>20W40 4T SL ECO 1 LTR</t>
  </si>
  <si>
    <t>CH GREAS 18</t>
  </si>
  <si>
    <t>MP3 GREAS 500 GM</t>
  </si>
  <si>
    <t>MP3 GREAS 1 KG</t>
  </si>
  <si>
    <t>MP3 GREAS 2 KG</t>
  </si>
  <si>
    <t>MP3 GREAS 3 KG</t>
  </si>
  <si>
    <t>MP3 GREAS 10 KG</t>
  </si>
  <si>
    <t>MP3 GREAS 18 KG</t>
  </si>
  <si>
    <t>COLENT RTU 1 LTR</t>
  </si>
  <si>
    <t>EP 90 GL5 1 LTR</t>
  </si>
  <si>
    <t>EP 90 GL5 10 LTR</t>
  </si>
  <si>
    <t>EP 90 GL5 20 LTR</t>
  </si>
  <si>
    <t>EP 140 GL5 1 LTR</t>
  </si>
  <si>
    <t>EP 140 GL5 10 LTR</t>
  </si>
  <si>
    <t>EP 140 GL5 20 LTR</t>
  </si>
  <si>
    <t>ATF TQ ECO 1 LTR</t>
  </si>
  <si>
    <t>2CHQ</t>
  </si>
  <si>
    <t>TYEW</t>
  </si>
  <si>
    <t>NEW RAPTI DHUWANI</t>
  </si>
  <si>
    <t>083/05/01</t>
  </si>
  <si>
    <t>4 chq</t>
  </si>
  <si>
    <t>01.05.02083</t>
  </si>
  <si>
    <t>32.03.2083</t>
  </si>
  <si>
    <t>SUBEDI HARDWEAR 9857032050</t>
  </si>
  <si>
    <t>05-1+2</t>
  </si>
  <si>
    <t>SUMAN SAPKOTA 9857037656</t>
  </si>
  <si>
    <t>sc</t>
  </si>
  <si>
    <t xml:space="preserve">NIRMAL KUWAR </t>
  </si>
  <si>
    <t>STR/SC</t>
  </si>
  <si>
    <t>2GATE</t>
  </si>
  <si>
    <t>CLAIM</t>
  </si>
  <si>
    <t>6PM</t>
  </si>
  <si>
    <t>SHIVA SHAKTI PRINT AND PACK</t>
  </si>
  <si>
    <t>SHUBHA JYOTI SUPPLIERS</t>
  </si>
  <si>
    <t>BUDDHI SAPKOTA</t>
  </si>
  <si>
    <t>6GATE</t>
  </si>
  <si>
    <t>3+4+5</t>
  </si>
  <si>
    <t>KORIAN UPVC  9846161639</t>
  </si>
  <si>
    <t>SHIVA GYAWALI</t>
  </si>
  <si>
    <t>CHQE</t>
  </si>
  <si>
    <t>KESHAV NEUPANE[217]9847131426,9847511306</t>
  </si>
  <si>
    <t>SHAUBHA R.N SUPPLIERS</t>
  </si>
  <si>
    <t>ANIL / NARAYAN BOHARA</t>
  </si>
  <si>
    <t>DIPAK RAJAN ADHIKARI</t>
  </si>
  <si>
    <t>25  GATE</t>
  </si>
  <si>
    <t>15GATE</t>
  </si>
  <si>
    <t>6+7+8+9</t>
  </si>
  <si>
    <t xml:space="preserve">LAXMI MULTI PACKING </t>
  </si>
  <si>
    <t>FOLLLOW UP</t>
  </si>
  <si>
    <t>DIPAK SURAJ PRADHAN</t>
  </si>
  <si>
    <t xml:space="preserve">OFC AAUXU </t>
  </si>
  <si>
    <t>10+11+12</t>
  </si>
  <si>
    <t>LITTLE FLAWAR BOARDING</t>
  </si>
  <si>
    <t>ARUN RAYAMAJHI</t>
  </si>
  <si>
    <t>HP</t>
  </si>
  <si>
    <t>JEEN MATA LOGISTIC  9802630181</t>
  </si>
  <si>
    <t>BISHNU JEE MURGIYA  9857034441</t>
  </si>
  <si>
    <t>13+14+15+16</t>
  </si>
  <si>
    <t>TEJ BDR KHAMCHA PALPA</t>
  </si>
  <si>
    <t>SANJBANI SIKSHYA SADAN [H.P]</t>
  </si>
  <si>
    <t>5 PM FF</t>
  </si>
  <si>
    <t>STR O</t>
  </si>
  <si>
    <t xml:space="preserve">KRISHNA SHRESTHA /DIPAK 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</si>
</sst>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FF00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1" xfId="0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7" borderId="1" xfId="0" applyFont="1" applyFill="1" applyBorder="1"/>
    <xf numFmtId="0" fontId="1" fillId="2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1" fillId="6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2" borderId="1" xfId="0" applyFont="1" applyFill="1" applyBorder="1" applyAlignment="1">
      <alignment horizont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7" fillId="13" borderId="1" xfId="0" applyFont="1" applyFill="1" applyBorder="1"/>
    <xf numFmtId="0" fontId="7" fillId="13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3" fillId="0" borderId="1" xfId="0" applyFont="1" applyBorder="1"/>
    <xf numFmtId="0" fontId="0" fillId="6" borderId="1" xfId="0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3" fillId="2" borderId="1" xfId="0" applyFont="1" applyFill="1" applyBorder="1"/>
    <xf numFmtId="0" fontId="3" fillId="11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3" borderId="1" xfId="0" applyFont="1" applyFill="1" applyBorder="1"/>
    <xf numFmtId="0" fontId="8" fillId="0" borderId="1" xfId="0" applyFont="1" applyBorder="1"/>
    <xf numFmtId="0" fontId="8" fillId="2" borderId="1" xfId="0" applyFont="1" applyFill="1" applyBorder="1"/>
    <xf numFmtId="0" fontId="0" fillId="11" borderId="1" xfId="0" applyFill="1" applyBorder="1"/>
    <xf numFmtId="0" fontId="8" fillId="14" borderId="1" xfId="0" applyFont="1" applyFill="1" applyBorder="1"/>
    <xf numFmtId="0" fontId="3" fillId="2" borderId="1" xfId="0" applyFont="1" applyFill="1" applyBorder="1" applyAlignment="1">
      <alignment horizontal="center"/>
    </xf>
    <xf numFmtId="0" fontId="9" fillId="6" borderId="1" xfId="0" applyFont="1" applyFill="1" applyBorder="1"/>
    <xf numFmtId="0" fontId="9" fillId="0" borderId="1" xfId="0" applyFont="1" applyBorder="1"/>
    <xf numFmtId="18" fontId="1" fillId="2" borderId="1" xfId="0" applyNumberFormat="1" applyFont="1" applyFill="1" applyBorder="1"/>
    <xf numFmtId="18" fontId="0" fillId="2" borderId="1" xfId="0" applyNumberFormat="1" applyFill="1" applyBorder="1"/>
    <xf numFmtId="18" fontId="1" fillId="3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8" fontId="0" fillId="11" borderId="1" xfId="0" applyNumberFormat="1" applyFill="1" applyBorder="1"/>
    <xf numFmtId="0" fontId="0" fillId="7" borderId="1" xfId="0" applyFill="1" applyBorder="1"/>
    <xf numFmtId="0" fontId="0" fillId="10" borderId="1" xfId="0" applyFill="1" applyBorder="1"/>
    <xf numFmtId="0" fontId="1" fillId="15" borderId="1" xfId="0" applyFont="1" applyFill="1" applyBorder="1"/>
    <xf numFmtId="0" fontId="0" fillId="15" borderId="1" xfId="0" applyFill="1" applyBorder="1"/>
    <xf numFmtId="18" fontId="0" fillId="3" borderId="1" xfId="0" applyNumberFormat="1" applyFill="1" applyBorder="1"/>
    <xf numFmtId="0" fontId="4" fillId="6" borderId="1" xfId="0" applyFont="1" applyFill="1" applyBorder="1"/>
    <xf numFmtId="18" fontId="0" fillId="6" borderId="1" xfId="0" applyNumberFormat="1" applyFill="1" applyBorder="1"/>
    <xf numFmtId="0" fontId="8" fillId="15" borderId="1" xfId="0" applyFont="1" applyFill="1" applyBorder="1"/>
    <xf numFmtId="16" fontId="0" fillId="3" borderId="1" xfId="0" applyNumberFormat="1" applyFill="1" applyBorder="1"/>
    <xf numFmtId="0" fontId="0" fillId="15" borderId="0" xfId="0" applyFill="1"/>
    <xf numFmtId="0" fontId="8" fillId="6" borderId="1" xfId="0" applyFont="1" applyFill="1" applyBorder="1"/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4" fillId="1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17" borderId="1" xfId="0" applyFont="1" applyFill="1" applyBorder="1"/>
    <xf numFmtId="0" fontId="5" fillId="17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9" fillId="5" borderId="1" xfId="0" applyFont="1" applyFill="1" applyBorder="1"/>
    <xf numFmtId="14" fontId="2" fillId="18" borderId="1" xfId="0" applyNumberFormat="1" applyFont="1" applyFill="1" applyBorder="1" applyAlignment="1">
      <alignment horizontal="center"/>
    </xf>
    <xf numFmtId="0" fontId="2" fillId="18" borderId="1" xfId="0" applyFont="1" applyFill="1" applyBorder="1"/>
    <xf numFmtId="0" fontId="5" fillId="8" borderId="1" xfId="0" applyFont="1" applyFill="1" applyBorder="1" applyAlignment="1">
      <alignment horizontal="left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17" borderId="1" xfId="0" applyFont="1" applyFill="1" applyBorder="1"/>
    <xf numFmtId="0" fontId="10" fillId="17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1" fillId="17" borderId="1" xfId="0" applyFont="1" applyFill="1" applyBorder="1"/>
    <xf numFmtId="0" fontId="11" fillId="17" borderId="1" xfId="0" applyFont="1" applyFill="1" applyBorder="1" applyAlignment="1">
      <alignment horizontal="center"/>
    </xf>
    <xf numFmtId="0" fontId="0" fillId="19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mruColors>
      <color rgb="FF00FF00"/>
      <color rgb="FF00FF99"/>
      <color rgb="FFCC66FF"/>
      <color rgb="FFB51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854"/>
  <sheetViews>
    <sheetView tabSelected="1" zoomScale="80" zoomScaleNormal="80" workbookViewId="0">
      <pane xSplit="51" ySplit="2" topLeftCell="BL828" activePane="bottomRight" state="frozen"/>
      <selection pane="topRight" activeCell="AW1" sqref="AW1"/>
      <selection pane="bottomLeft" activeCell="A3" sqref="A3"/>
      <selection pane="bottomRight" activeCell="BL356" sqref="BL356"/>
    </sheetView>
  </sheetViews>
  <sheetFormatPr defaultColWidth="9.140625" defaultRowHeight="15"/>
  <cols>
    <col min="1" max="1" width="51.85546875" style="21" customWidth="1"/>
    <col min="2" max="2" width="10.28515625" style="57" bestFit="1" customWidth="1"/>
    <col min="3" max="3" width="15.85546875" style="21" bestFit="1" customWidth="1"/>
    <col min="4" max="4" width="12.140625" style="21" customWidth="1"/>
    <col min="5" max="6" width="10.85546875" style="21" hidden="1" customWidth="1"/>
    <col min="7" max="7" width="12" style="21" hidden="1" customWidth="1"/>
    <col min="8" max="8" width="10.85546875" style="21" hidden="1" customWidth="1"/>
    <col min="9" max="9" width="13" style="21" hidden="1" customWidth="1"/>
    <col min="10" max="10" width="9.85546875" style="21" hidden="1" customWidth="1"/>
    <col min="11" max="11" width="13" style="21" hidden="1" customWidth="1"/>
    <col min="12" max="12" width="16.42578125" style="21" hidden="1" customWidth="1"/>
    <col min="13" max="13" width="7.7109375" style="21" hidden="1" customWidth="1"/>
    <col min="14" max="14" width="10.85546875" style="21" bestFit="1" customWidth="1"/>
    <col min="15" max="15" width="8.7109375" style="21" bestFit="1" customWidth="1"/>
    <col min="16" max="17" width="8.7109375" style="21" customWidth="1"/>
    <col min="18" max="18" width="12" style="21" bestFit="1" customWidth="1"/>
    <col min="19" max="19" width="9.85546875" style="21" bestFit="1" customWidth="1"/>
    <col min="20" max="20" width="11.5703125" style="21" customWidth="1"/>
    <col min="21" max="21" width="9.85546875" style="21" hidden="1" customWidth="1"/>
    <col min="22" max="22" width="8.7109375" style="21" hidden="1" customWidth="1"/>
    <col min="23" max="23" width="9.85546875" style="21" hidden="1" customWidth="1"/>
    <col min="24" max="27" width="17.42578125" style="21" hidden="1" customWidth="1"/>
    <col min="28" max="28" width="8.7109375" style="21" hidden="1" customWidth="1"/>
    <col min="29" max="29" width="9.42578125" style="21" hidden="1" customWidth="1"/>
    <col min="30" max="30" width="8.7109375" style="21" hidden="1" customWidth="1"/>
    <col min="31" max="31" width="10.5703125" style="21" hidden="1" customWidth="1"/>
    <col min="32" max="32" width="9.85546875" style="21" hidden="1" customWidth="1"/>
    <col min="33" max="33" width="17.42578125" style="21" hidden="1" customWidth="1"/>
    <col min="34" max="34" width="9.85546875" style="21" hidden="1" customWidth="1"/>
    <col min="35" max="35" width="10.5703125" style="21" hidden="1" customWidth="1"/>
    <col min="36" max="36" width="10.85546875" style="21" hidden="1" customWidth="1"/>
    <col min="37" max="37" width="11.5703125" style="21" hidden="1" customWidth="1"/>
    <col min="38" max="38" width="10.85546875" style="21" hidden="1" customWidth="1"/>
    <col min="39" max="39" width="11.5703125" style="21" hidden="1" customWidth="1"/>
    <col min="40" max="40" width="12" style="21" hidden="1" customWidth="1"/>
    <col min="41" max="41" width="12.7109375" style="21" hidden="1" customWidth="1"/>
    <col min="42" max="42" width="12" style="21" hidden="1" customWidth="1"/>
    <col min="43" max="43" width="12.7109375" style="21" hidden="1" customWidth="1"/>
    <col min="44" max="44" width="12" style="21" hidden="1" customWidth="1"/>
    <col min="45" max="45" width="12.7109375" style="21" hidden="1" customWidth="1"/>
    <col min="46" max="46" width="13" style="21" hidden="1" customWidth="1"/>
    <col min="47" max="47" width="10.140625" style="21" hidden="1" customWidth="1"/>
    <col min="48" max="49" width="9.28515625" style="21" hidden="1" customWidth="1"/>
    <col min="50" max="50" width="3.42578125" style="21" hidden="1" customWidth="1"/>
    <col min="51" max="51" width="10.85546875" style="21" hidden="1" customWidth="1"/>
    <col min="52" max="52" width="10.5703125" style="21" hidden="1" customWidth="1"/>
    <col min="53" max="53" width="7.7109375" style="21" hidden="1" customWidth="1"/>
    <col min="54" max="54" width="10.85546875" style="21" hidden="1" customWidth="1"/>
    <col min="55" max="55" width="8.42578125" style="21" hidden="1" customWidth="1"/>
    <col min="56" max="56" width="7.28515625" style="21" hidden="1" customWidth="1"/>
    <col min="57" max="57" width="4.140625" style="21" hidden="1" customWidth="1"/>
    <col min="58" max="58" width="8.42578125" style="21" hidden="1" customWidth="1"/>
    <col min="59" max="59" width="12.85546875" style="21" hidden="1" customWidth="1"/>
    <col min="60" max="60" width="8.7109375" style="21" hidden="1" customWidth="1"/>
    <col min="61" max="61" width="12.140625" style="21" customWidth="1"/>
    <col min="62" max="62" width="6.5703125" style="21" bestFit="1" customWidth="1"/>
    <col min="63" max="63" width="8.7109375" style="21" bestFit="1" customWidth="1"/>
    <col min="64" max="64" width="3.42578125" style="21" bestFit="1" customWidth="1"/>
    <col min="65" max="65" width="8.7109375" style="21" bestFit="1" customWidth="1"/>
    <col min="66" max="66" width="4.140625" style="21" bestFit="1" customWidth="1"/>
    <col min="67" max="82" width="3.42578125" style="21" bestFit="1" customWidth="1"/>
    <col min="83" max="16384" width="9.140625" style="21"/>
  </cols>
  <sheetData>
    <row r="1" spans="1:82">
      <c r="D1" s="21" t="s">
        <v>964</v>
      </c>
      <c r="T1" s="21" t="s">
        <v>963</v>
      </c>
      <c r="AZ1" s="34" t="s">
        <v>961</v>
      </c>
    </row>
    <row r="2" spans="1:82">
      <c r="A2" s="82" t="s">
        <v>780</v>
      </c>
      <c r="B2" s="82" t="s">
        <v>843</v>
      </c>
      <c r="C2" s="83" t="s">
        <v>0</v>
      </c>
      <c r="D2" s="83" t="s">
        <v>777</v>
      </c>
      <c r="E2" s="83" t="s">
        <v>778</v>
      </c>
      <c r="F2" s="83" t="s">
        <v>817</v>
      </c>
      <c r="G2" s="83" t="s">
        <v>844</v>
      </c>
      <c r="H2" s="83" t="s">
        <v>861</v>
      </c>
      <c r="I2" s="83" t="s">
        <v>873</v>
      </c>
      <c r="J2" s="83" t="s">
        <v>883</v>
      </c>
      <c r="K2" s="83" t="s">
        <v>899</v>
      </c>
      <c r="L2" s="83" t="s">
        <v>910</v>
      </c>
      <c r="M2" s="83" t="s">
        <v>966</v>
      </c>
      <c r="N2" s="83" t="s">
        <v>978</v>
      </c>
      <c r="O2" s="83" t="s">
        <v>988</v>
      </c>
      <c r="P2" s="83" t="s">
        <v>993</v>
      </c>
      <c r="Q2" s="83" t="s">
        <v>999</v>
      </c>
      <c r="R2" s="83" t="s">
        <v>1</v>
      </c>
      <c r="S2" s="83" t="s">
        <v>2</v>
      </c>
      <c r="T2" s="83" t="s">
        <v>779</v>
      </c>
      <c r="U2" s="21">
        <v>1</v>
      </c>
      <c r="V2" s="6">
        <v>2</v>
      </c>
      <c r="W2" s="21">
        <v>3</v>
      </c>
      <c r="X2" s="21">
        <v>4</v>
      </c>
      <c r="Y2" s="21">
        <v>5</v>
      </c>
      <c r="Z2" s="21">
        <v>6</v>
      </c>
      <c r="AA2" s="21">
        <v>7</v>
      </c>
      <c r="AB2" s="21">
        <v>8</v>
      </c>
      <c r="AC2" s="21">
        <v>9</v>
      </c>
      <c r="AD2" s="21">
        <v>10</v>
      </c>
      <c r="AE2" s="21">
        <v>11</v>
      </c>
      <c r="AF2" s="21">
        <v>12</v>
      </c>
      <c r="AG2" s="21">
        <v>13</v>
      </c>
      <c r="AH2" s="21">
        <v>14</v>
      </c>
      <c r="AI2" s="21">
        <v>15</v>
      </c>
      <c r="AJ2" s="21">
        <v>16</v>
      </c>
      <c r="AK2" s="21">
        <v>17</v>
      </c>
      <c r="AL2" s="21">
        <v>18</v>
      </c>
      <c r="AM2" s="21">
        <v>19</v>
      </c>
      <c r="AN2" s="21">
        <v>20</v>
      </c>
      <c r="AO2" s="21">
        <v>21</v>
      </c>
      <c r="AP2" s="21">
        <v>22</v>
      </c>
      <c r="AQ2" s="21">
        <v>23</v>
      </c>
      <c r="AR2" s="21">
        <v>24</v>
      </c>
      <c r="AS2" s="21">
        <v>25</v>
      </c>
      <c r="AT2" s="21">
        <v>26</v>
      </c>
      <c r="AU2" s="21">
        <v>27</v>
      </c>
      <c r="AV2" s="21">
        <v>28</v>
      </c>
      <c r="AW2" s="21">
        <v>29</v>
      </c>
      <c r="AX2" s="21">
        <v>30</v>
      </c>
      <c r="AY2" s="21">
        <v>31</v>
      </c>
      <c r="AZ2" s="21">
        <v>1</v>
      </c>
      <c r="BA2" s="21">
        <v>2</v>
      </c>
      <c r="BB2" s="21">
        <v>3</v>
      </c>
      <c r="BC2" s="21">
        <v>4</v>
      </c>
      <c r="BD2" s="21">
        <v>5</v>
      </c>
      <c r="BE2" s="21">
        <v>6</v>
      </c>
      <c r="BF2" s="21">
        <v>7</v>
      </c>
      <c r="BG2" s="21">
        <v>8</v>
      </c>
      <c r="BH2" s="21">
        <v>9</v>
      </c>
      <c r="BI2" s="21">
        <v>10</v>
      </c>
      <c r="BJ2" s="21">
        <v>11</v>
      </c>
      <c r="BK2" s="21">
        <v>12</v>
      </c>
      <c r="BL2" s="21">
        <v>13</v>
      </c>
      <c r="BM2" s="21">
        <v>14</v>
      </c>
      <c r="BN2" s="21">
        <v>15</v>
      </c>
      <c r="BO2" s="21">
        <v>16</v>
      </c>
      <c r="BP2" s="21">
        <v>17</v>
      </c>
      <c r="BQ2" s="21">
        <v>18</v>
      </c>
      <c r="BR2" s="21">
        <v>19</v>
      </c>
      <c r="BS2" s="21">
        <v>20</v>
      </c>
      <c r="BT2" s="21">
        <v>21</v>
      </c>
      <c r="BU2" s="21">
        <v>22</v>
      </c>
      <c r="BV2" s="21">
        <v>23</v>
      </c>
      <c r="BW2" s="21">
        <v>24</v>
      </c>
      <c r="BX2" s="21">
        <v>25</v>
      </c>
      <c r="BY2" s="21">
        <v>26</v>
      </c>
      <c r="BZ2" s="21">
        <v>27</v>
      </c>
      <c r="CA2" s="21">
        <v>28</v>
      </c>
      <c r="CB2" s="21">
        <v>29</v>
      </c>
      <c r="CC2" s="21">
        <v>30</v>
      </c>
      <c r="CD2" s="21">
        <v>31</v>
      </c>
    </row>
    <row r="3" spans="1:82">
      <c r="A3" s="23" t="s">
        <v>43</v>
      </c>
      <c r="B3" s="29"/>
      <c r="C3" s="29">
        <v>9857039969</v>
      </c>
      <c r="D3" s="23">
        <v>1000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>
        <f>SUM(D3:Q3)</f>
        <v>1000</v>
      </c>
      <c r="S3" s="23"/>
      <c r="T3" s="23">
        <f t="shared" ref="T3:T51" si="0">R3-S3</f>
        <v>1000</v>
      </c>
      <c r="U3" s="62"/>
      <c r="V3" s="62"/>
      <c r="W3" s="62"/>
      <c r="X3" s="62"/>
      <c r="Y3" s="62"/>
      <c r="Z3" s="62" t="s">
        <v>796</v>
      </c>
      <c r="AA3" s="62" t="s">
        <v>796</v>
      </c>
      <c r="AB3" s="62" t="s">
        <v>795</v>
      </c>
      <c r="AC3" s="62"/>
      <c r="AD3" s="62" t="s">
        <v>837</v>
      </c>
      <c r="AE3" s="62" t="s">
        <v>845</v>
      </c>
      <c r="AF3" s="62" t="s">
        <v>845</v>
      </c>
      <c r="AG3" s="62"/>
      <c r="AH3" s="62" t="s">
        <v>845</v>
      </c>
      <c r="AI3" s="62" t="s">
        <v>845</v>
      </c>
      <c r="AJ3" s="62"/>
      <c r="AK3" s="62" t="s">
        <v>845</v>
      </c>
      <c r="AL3" s="62" t="s">
        <v>845</v>
      </c>
      <c r="AM3" s="62" t="s">
        <v>845</v>
      </c>
      <c r="AN3" s="62" t="s">
        <v>845</v>
      </c>
      <c r="AO3" s="62" t="s">
        <v>845</v>
      </c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35"/>
    </row>
    <row r="4" spans="1:82" ht="18.75">
      <c r="A4" s="79" t="s">
        <v>7</v>
      </c>
      <c r="B4" s="80"/>
      <c r="C4" s="80">
        <v>9858061302</v>
      </c>
      <c r="D4" s="79">
        <v>944814.1</v>
      </c>
      <c r="E4" s="2">
        <f>103252.94+164051.72</f>
        <v>267304.66000000003</v>
      </c>
      <c r="F4" s="12"/>
      <c r="G4" s="12"/>
      <c r="H4" s="2">
        <f>338855.26+322339.51</f>
        <v>661194.77</v>
      </c>
      <c r="I4" s="12"/>
      <c r="J4" s="12"/>
      <c r="K4" s="2">
        <f>384766.8+265346.4</f>
        <v>650113.19999999995</v>
      </c>
      <c r="L4" s="2">
        <f>90342.55+72152.7</f>
        <v>162495.25</v>
      </c>
      <c r="M4" s="12"/>
      <c r="N4" s="2">
        <f>93600.67+69255.17</f>
        <v>162855.84</v>
      </c>
      <c r="O4" s="12"/>
      <c r="P4" s="2">
        <f>69932+73045.41</f>
        <v>142977.41</v>
      </c>
      <c r="Q4" s="12"/>
      <c r="R4" s="23">
        <f t="shared" ref="R4:R67" si="1">SUM(D4:Q4)</f>
        <v>2991755.23</v>
      </c>
      <c r="S4" s="12">
        <f>150000+200000+300000+290000+596000+162494+200000</f>
        <v>1898494</v>
      </c>
      <c r="T4" s="23">
        <f t="shared" si="0"/>
        <v>1093261.23</v>
      </c>
      <c r="U4" s="1">
        <v>150000</v>
      </c>
      <c r="V4" s="34">
        <f>SUM(V3)</f>
        <v>0</v>
      </c>
      <c r="W4" s="34"/>
      <c r="X4" s="34"/>
      <c r="Y4" s="33"/>
      <c r="Z4" s="33"/>
      <c r="AA4" s="31" t="s">
        <v>795</v>
      </c>
      <c r="AB4" s="34">
        <v>14</v>
      </c>
      <c r="AC4" s="34"/>
      <c r="AD4" s="34"/>
      <c r="AE4" s="34"/>
      <c r="AF4" s="34"/>
      <c r="AG4" s="34"/>
      <c r="AH4" s="62">
        <v>200000</v>
      </c>
      <c r="AI4" s="34"/>
      <c r="AJ4" s="34"/>
      <c r="AK4" s="62">
        <f>290000+300000</f>
        <v>590000</v>
      </c>
      <c r="AL4" s="1">
        <f>290000+300000</f>
        <v>590000</v>
      </c>
      <c r="AM4" s="34"/>
      <c r="AN4" s="34"/>
      <c r="AO4" s="34">
        <v>28</v>
      </c>
      <c r="AP4" s="34"/>
      <c r="AQ4" s="34"/>
      <c r="AR4" s="34"/>
      <c r="AS4" s="34"/>
      <c r="AT4" s="34"/>
      <c r="AU4" s="34"/>
      <c r="AV4" s="62">
        <f>296000+300000</f>
        <v>596000</v>
      </c>
      <c r="AW4" s="31"/>
      <c r="AX4" s="31"/>
      <c r="AY4" s="31"/>
      <c r="AZ4" s="34">
        <v>3</v>
      </c>
      <c r="BA4" s="34"/>
      <c r="BB4" s="1">
        <f>130000+32494.25</f>
        <v>162494.25</v>
      </c>
      <c r="BC4" s="34"/>
      <c r="BD4" s="34"/>
      <c r="BE4" s="34"/>
      <c r="BF4" s="34"/>
      <c r="BG4" s="1">
        <v>200000</v>
      </c>
      <c r="BH4" s="34"/>
      <c r="BI4" s="31" t="s">
        <v>4</v>
      </c>
      <c r="BJ4" s="34">
        <v>15</v>
      </c>
      <c r="BK4" s="34"/>
      <c r="BL4" s="34"/>
      <c r="BM4" s="34"/>
      <c r="BN4" s="31" t="s">
        <v>4</v>
      </c>
    </row>
    <row r="5" spans="1:82" ht="18.75">
      <c r="A5" s="79" t="s">
        <v>984</v>
      </c>
      <c r="B5" s="80"/>
      <c r="C5" s="80"/>
      <c r="D5" s="84">
        <v>3000</v>
      </c>
      <c r="E5" s="2"/>
      <c r="F5" s="12"/>
      <c r="G5" s="12"/>
      <c r="H5" s="2"/>
      <c r="I5" s="12"/>
      <c r="J5" s="12"/>
      <c r="K5" s="2"/>
      <c r="L5" s="2"/>
      <c r="M5" s="12"/>
      <c r="N5" s="12"/>
      <c r="O5" s="12"/>
      <c r="P5" s="12"/>
      <c r="Q5" s="12"/>
      <c r="R5" s="23">
        <f t="shared" si="1"/>
        <v>3000</v>
      </c>
      <c r="S5" s="12"/>
      <c r="T5" s="23"/>
      <c r="U5" s="1"/>
      <c r="V5" s="34"/>
      <c r="W5" s="34"/>
      <c r="X5" s="34"/>
      <c r="Y5" s="33"/>
      <c r="Z5" s="33"/>
      <c r="AA5" s="31"/>
      <c r="AB5" s="34"/>
      <c r="AC5" s="34"/>
      <c r="AD5" s="34"/>
      <c r="AE5" s="34"/>
      <c r="AF5" s="34"/>
      <c r="AG5" s="34"/>
      <c r="AH5" s="62"/>
      <c r="AI5" s="34"/>
      <c r="AJ5" s="34"/>
      <c r="AK5" s="62"/>
      <c r="AL5" s="1"/>
      <c r="AM5" s="34"/>
      <c r="AN5" s="34"/>
      <c r="AO5" s="34"/>
      <c r="AP5" s="34"/>
      <c r="AQ5" s="34"/>
      <c r="AR5" s="34"/>
      <c r="AS5" s="34"/>
      <c r="AT5" s="34"/>
      <c r="AU5" s="34"/>
      <c r="AV5" s="62"/>
      <c r="AW5" s="31"/>
      <c r="AX5" s="31"/>
      <c r="AY5" s="31"/>
      <c r="AZ5" s="34"/>
      <c r="BA5" s="34"/>
      <c r="BB5" s="1"/>
      <c r="BC5" s="34"/>
      <c r="BD5" s="34"/>
      <c r="BE5" s="34"/>
      <c r="BF5" s="34"/>
      <c r="BG5" s="34"/>
      <c r="BH5" s="34"/>
      <c r="BI5" s="31"/>
      <c r="BJ5" s="31" t="s">
        <v>972</v>
      </c>
      <c r="BK5" s="31" t="s">
        <v>972</v>
      </c>
      <c r="BL5" s="31" t="s">
        <v>972</v>
      </c>
      <c r="BM5" s="31" t="s">
        <v>972</v>
      </c>
      <c r="BN5" s="31"/>
    </row>
    <row r="6" spans="1:82">
      <c r="A6" s="19" t="s">
        <v>8</v>
      </c>
      <c r="B6" s="5"/>
      <c r="C6" s="48" t="s">
        <v>9</v>
      </c>
      <c r="D6" s="8">
        <v>41500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23">
        <f t="shared" si="1"/>
        <v>41500</v>
      </c>
      <c r="S6" s="12"/>
      <c r="T6" s="23">
        <f t="shared" si="0"/>
        <v>41500</v>
      </c>
      <c r="U6" s="31"/>
      <c r="V6" s="31"/>
      <c r="W6" s="31" t="s">
        <v>793</v>
      </c>
      <c r="X6" s="31" t="s">
        <v>793</v>
      </c>
      <c r="Y6" s="31" t="s">
        <v>793</v>
      </c>
      <c r="Z6" s="31" t="s">
        <v>793</v>
      </c>
      <c r="AA6" s="31" t="s">
        <v>793</v>
      </c>
      <c r="AB6" s="31" t="s">
        <v>795</v>
      </c>
      <c r="AC6" s="31"/>
      <c r="AD6" s="31" t="s">
        <v>796</v>
      </c>
      <c r="AE6" s="31" t="s">
        <v>796</v>
      </c>
      <c r="AF6" s="31" t="s">
        <v>796</v>
      </c>
      <c r="AG6" s="31" t="s">
        <v>795</v>
      </c>
      <c r="AH6" s="31" t="s">
        <v>795</v>
      </c>
      <c r="AI6" s="31" t="s">
        <v>795</v>
      </c>
      <c r="AJ6" s="31"/>
      <c r="AK6" s="31" t="s">
        <v>795</v>
      </c>
      <c r="AL6" s="31" t="s">
        <v>795</v>
      </c>
      <c r="AM6" s="31" t="s">
        <v>795</v>
      </c>
      <c r="AN6" s="31" t="s">
        <v>795</v>
      </c>
      <c r="AO6" s="31" t="s">
        <v>795</v>
      </c>
      <c r="AP6" s="31" t="s">
        <v>795</v>
      </c>
      <c r="AQ6" s="31"/>
      <c r="AR6" s="31" t="s">
        <v>795</v>
      </c>
      <c r="AS6" s="31" t="s">
        <v>804</v>
      </c>
      <c r="AT6" s="31" t="s">
        <v>804</v>
      </c>
      <c r="AU6" s="31" t="s">
        <v>795</v>
      </c>
      <c r="AV6" s="31" t="s">
        <v>795</v>
      </c>
      <c r="AW6" s="31" t="s">
        <v>795</v>
      </c>
      <c r="AX6" s="31"/>
      <c r="AY6" s="31" t="s">
        <v>795</v>
      </c>
      <c r="AZ6" s="31"/>
      <c r="BA6" s="31" t="s">
        <v>795</v>
      </c>
      <c r="BB6" s="31" t="s">
        <v>795</v>
      </c>
      <c r="BC6" s="31" t="s">
        <v>795</v>
      </c>
      <c r="BD6" s="31" t="s">
        <v>795</v>
      </c>
      <c r="BE6" s="31"/>
      <c r="BF6" s="31" t="s">
        <v>795</v>
      </c>
      <c r="BG6" s="31" t="s">
        <v>795</v>
      </c>
      <c r="BH6" s="31" t="s">
        <v>795</v>
      </c>
      <c r="BI6" s="31" t="s">
        <v>795</v>
      </c>
      <c r="BJ6" s="31" t="s">
        <v>793</v>
      </c>
      <c r="BK6" s="31" t="s">
        <v>795</v>
      </c>
      <c r="BL6" s="31"/>
      <c r="BM6" s="31" t="s">
        <v>795</v>
      </c>
      <c r="BN6" s="31"/>
    </row>
    <row r="7" spans="1:82">
      <c r="A7" s="12" t="s">
        <v>10</v>
      </c>
      <c r="B7" s="3"/>
      <c r="C7" s="24">
        <v>9857031325</v>
      </c>
      <c r="D7" s="8">
        <v>9500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23">
        <f t="shared" si="1"/>
        <v>9500</v>
      </c>
      <c r="S7" s="12"/>
      <c r="T7" s="23">
        <f t="shared" si="0"/>
        <v>9500</v>
      </c>
      <c r="U7" s="32">
        <v>5</v>
      </c>
      <c r="V7" s="33"/>
      <c r="W7" s="33"/>
      <c r="X7" s="33"/>
      <c r="Y7" s="33">
        <v>10</v>
      </c>
      <c r="Z7" s="33"/>
      <c r="AA7" s="33"/>
      <c r="AB7" s="33"/>
      <c r="AC7" s="33"/>
      <c r="AD7" s="34">
        <v>14</v>
      </c>
      <c r="AE7" s="34"/>
      <c r="AF7" s="34"/>
      <c r="AG7" s="34"/>
      <c r="AH7" s="34">
        <v>21</v>
      </c>
      <c r="AI7" s="34"/>
      <c r="AJ7" s="34"/>
      <c r="AK7" s="34"/>
      <c r="AL7" s="34"/>
      <c r="AM7" s="34"/>
      <c r="AN7" s="34">
        <v>26</v>
      </c>
      <c r="AO7" s="34"/>
      <c r="AP7" s="34"/>
      <c r="AQ7" s="34"/>
      <c r="AR7" s="34"/>
      <c r="AS7" s="34"/>
      <c r="AT7" s="34"/>
      <c r="AU7" s="34"/>
      <c r="AV7" s="34"/>
      <c r="AW7" s="31"/>
      <c r="AX7" s="31"/>
      <c r="AY7" s="31"/>
      <c r="AZ7" s="34">
        <v>10</v>
      </c>
      <c r="BA7" s="34"/>
      <c r="BB7" s="34"/>
      <c r="BC7" s="34"/>
      <c r="BD7" s="34"/>
      <c r="BE7" s="34"/>
      <c r="BF7" s="34"/>
      <c r="BG7" s="34"/>
      <c r="BH7" s="34"/>
      <c r="BI7" s="34">
        <v>17</v>
      </c>
      <c r="BJ7" s="34"/>
      <c r="BK7" s="34"/>
      <c r="BL7" s="34"/>
      <c r="BM7" s="34"/>
      <c r="BN7" s="34"/>
      <c r="BO7" s="34"/>
      <c r="BP7" s="31" t="s">
        <v>4</v>
      </c>
    </row>
    <row r="8" spans="1:82">
      <c r="A8" s="12" t="s">
        <v>11</v>
      </c>
      <c r="B8" s="3"/>
      <c r="C8" s="24" t="s">
        <v>12</v>
      </c>
      <c r="D8" s="8">
        <v>324065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23">
        <f t="shared" si="1"/>
        <v>324065</v>
      </c>
      <c r="S8" s="12">
        <f>BD8</f>
        <v>50000</v>
      </c>
      <c r="T8" s="23">
        <f t="shared" si="0"/>
        <v>274065</v>
      </c>
      <c r="U8" s="32">
        <v>15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4">
        <v>20</v>
      </c>
      <c r="AJ8" s="34"/>
      <c r="AK8" s="34"/>
      <c r="AL8" s="34"/>
      <c r="AM8" s="34"/>
      <c r="AN8" s="34" t="s">
        <v>4</v>
      </c>
      <c r="AO8" s="34">
        <v>25</v>
      </c>
      <c r="AP8" s="34"/>
      <c r="AQ8" s="34"/>
      <c r="AR8" s="34"/>
      <c r="AS8" s="31"/>
      <c r="AT8" s="31"/>
      <c r="AU8" s="34">
        <v>30</v>
      </c>
      <c r="AV8" s="34"/>
      <c r="AW8" s="34"/>
      <c r="AX8" s="34"/>
      <c r="AY8" s="31">
        <v>5</v>
      </c>
      <c r="AZ8" s="34">
        <v>5</v>
      </c>
      <c r="BA8" s="34"/>
      <c r="BB8" s="34"/>
      <c r="BC8" s="34"/>
      <c r="BD8" s="1">
        <v>50000</v>
      </c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1" t="s">
        <v>4</v>
      </c>
    </row>
    <row r="9" spans="1:82">
      <c r="A9" s="19" t="s">
        <v>57</v>
      </c>
      <c r="B9" s="5"/>
      <c r="C9" s="48">
        <v>9857059348</v>
      </c>
      <c r="D9" s="8">
        <v>19700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3">
        <f t="shared" si="1"/>
        <v>19700</v>
      </c>
      <c r="S9" s="19"/>
      <c r="T9" s="19">
        <f t="shared" si="0"/>
        <v>19700</v>
      </c>
      <c r="U9" s="49"/>
      <c r="V9" s="49"/>
      <c r="W9" s="49" t="s">
        <v>796</v>
      </c>
      <c r="X9" s="49" t="s">
        <v>793</v>
      </c>
      <c r="Y9" s="49" t="s">
        <v>796</v>
      </c>
      <c r="Z9" s="49" t="s">
        <v>796</v>
      </c>
      <c r="AA9" s="49" t="s">
        <v>796</v>
      </c>
      <c r="AB9" s="49" t="s">
        <v>795</v>
      </c>
      <c r="AC9" s="49"/>
      <c r="AD9" s="49" t="s">
        <v>796</v>
      </c>
      <c r="AE9" s="49" t="s">
        <v>793</v>
      </c>
      <c r="AF9" s="49" t="s">
        <v>793</v>
      </c>
      <c r="AG9" s="49" t="s">
        <v>793</v>
      </c>
      <c r="AH9" s="49" t="s">
        <v>793</v>
      </c>
      <c r="AI9" s="49" t="s">
        <v>793</v>
      </c>
      <c r="AJ9" s="49"/>
      <c r="AK9" s="49" t="s">
        <v>793</v>
      </c>
      <c r="AL9" s="49" t="s">
        <v>793</v>
      </c>
      <c r="AM9" s="49" t="s">
        <v>793</v>
      </c>
      <c r="AN9" s="49" t="s">
        <v>793</v>
      </c>
      <c r="AO9" s="49" t="s">
        <v>793</v>
      </c>
      <c r="AP9" s="49" t="s">
        <v>793</v>
      </c>
      <c r="AQ9" s="49"/>
      <c r="AR9" s="49" t="s">
        <v>793</v>
      </c>
      <c r="AS9" s="49" t="s">
        <v>793</v>
      </c>
      <c r="AT9" s="49" t="s">
        <v>793</v>
      </c>
      <c r="AU9" s="49" t="s">
        <v>793</v>
      </c>
      <c r="AV9" s="49" t="s">
        <v>793</v>
      </c>
      <c r="AW9" s="49" t="s">
        <v>793</v>
      </c>
      <c r="AX9" s="49"/>
      <c r="AY9" s="49" t="s">
        <v>793</v>
      </c>
      <c r="AZ9" s="31"/>
      <c r="BA9" s="31" t="s">
        <v>795</v>
      </c>
      <c r="BB9" s="31" t="s">
        <v>795</v>
      </c>
      <c r="BC9" s="31" t="s">
        <v>795</v>
      </c>
      <c r="BD9" s="31" t="s">
        <v>795</v>
      </c>
      <c r="BE9" s="31"/>
      <c r="BF9" s="31" t="s">
        <v>795</v>
      </c>
      <c r="BG9" s="31" t="s">
        <v>795</v>
      </c>
      <c r="BH9" s="31" t="s">
        <v>795</v>
      </c>
      <c r="BI9" s="31" t="s">
        <v>795</v>
      </c>
      <c r="BJ9" s="31" t="s">
        <v>795</v>
      </c>
      <c r="BK9" s="31" t="s">
        <v>795</v>
      </c>
      <c r="BL9" s="31"/>
      <c r="BM9" s="31" t="s">
        <v>795</v>
      </c>
      <c r="BN9" s="31"/>
    </row>
    <row r="10" spans="1:82">
      <c r="A10" s="19" t="s">
        <v>73</v>
      </c>
      <c r="B10" s="5"/>
      <c r="C10" s="48">
        <v>9857632392</v>
      </c>
      <c r="D10" s="36">
        <v>10000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3">
        <f t="shared" si="1"/>
        <v>10000</v>
      </c>
      <c r="S10" s="19"/>
      <c r="T10" s="19">
        <f t="shared" si="0"/>
        <v>10000</v>
      </c>
      <c r="U10" s="49"/>
      <c r="V10" s="49"/>
      <c r="W10" s="49" t="s">
        <v>795</v>
      </c>
      <c r="X10" s="49"/>
      <c r="Y10" s="49" t="s">
        <v>795</v>
      </c>
      <c r="Z10" s="49" t="s">
        <v>795</v>
      </c>
      <c r="AA10" s="49" t="s">
        <v>795</v>
      </c>
      <c r="AB10" s="49" t="s">
        <v>795</v>
      </c>
      <c r="AC10" s="49"/>
      <c r="AD10" s="49" t="s">
        <v>795</v>
      </c>
      <c r="AE10" s="49" t="s">
        <v>794</v>
      </c>
      <c r="AF10" s="49" t="s">
        <v>794</v>
      </c>
      <c r="AG10" s="49" t="s">
        <v>795</v>
      </c>
      <c r="AH10" s="49" t="s">
        <v>795</v>
      </c>
      <c r="AI10" s="49" t="s">
        <v>795</v>
      </c>
      <c r="AJ10" s="49"/>
      <c r="AK10" s="49" t="s">
        <v>795</v>
      </c>
      <c r="AL10" s="49" t="s">
        <v>795</v>
      </c>
      <c r="AM10" s="49" t="s">
        <v>795</v>
      </c>
      <c r="AN10" s="49" t="s">
        <v>795</v>
      </c>
      <c r="AO10" s="49" t="s">
        <v>795</v>
      </c>
      <c r="AP10" s="49" t="s">
        <v>795</v>
      </c>
      <c r="AQ10" s="49"/>
      <c r="AR10" s="49" t="s">
        <v>795</v>
      </c>
      <c r="AS10" s="49" t="s">
        <v>795</v>
      </c>
      <c r="AT10" s="49" t="s">
        <v>795</v>
      </c>
      <c r="AU10" s="49" t="s">
        <v>795</v>
      </c>
      <c r="AV10" s="49" t="s">
        <v>795</v>
      </c>
      <c r="AW10" s="49" t="s">
        <v>795</v>
      </c>
      <c r="AX10" s="49"/>
      <c r="AY10" s="49" t="s">
        <v>795</v>
      </c>
      <c r="AZ10" s="31"/>
      <c r="BA10" s="31" t="s">
        <v>796</v>
      </c>
      <c r="BB10" s="31" t="s">
        <v>796</v>
      </c>
      <c r="BC10" s="31" t="s">
        <v>796</v>
      </c>
      <c r="BD10" s="31" t="s">
        <v>796</v>
      </c>
      <c r="BE10" s="31"/>
      <c r="BF10" s="31" t="s">
        <v>796</v>
      </c>
      <c r="BG10" s="31" t="s">
        <v>796</v>
      </c>
      <c r="BH10" s="31" t="s">
        <v>796</v>
      </c>
      <c r="BI10" s="31" t="s">
        <v>796</v>
      </c>
      <c r="BJ10" s="31" t="s">
        <v>796</v>
      </c>
      <c r="BK10" s="31" t="s">
        <v>796</v>
      </c>
      <c r="BL10" s="31"/>
      <c r="BM10" s="31" t="s">
        <v>796</v>
      </c>
      <c r="BN10" s="31"/>
    </row>
    <row r="11" spans="1:82">
      <c r="A11" s="19" t="s">
        <v>80</v>
      </c>
      <c r="B11" s="5"/>
      <c r="C11" s="48" t="s">
        <v>81</v>
      </c>
      <c r="D11" s="36">
        <v>12000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3">
        <f t="shared" si="1"/>
        <v>12000</v>
      </c>
      <c r="S11" s="19"/>
      <c r="T11" s="19">
        <f t="shared" si="0"/>
        <v>12000</v>
      </c>
      <c r="U11" s="49"/>
      <c r="V11" s="49"/>
      <c r="W11" s="49" t="s">
        <v>795</v>
      </c>
      <c r="X11" s="49"/>
      <c r="Y11" s="49" t="s">
        <v>795</v>
      </c>
      <c r="Z11" s="49" t="s">
        <v>795</v>
      </c>
      <c r="AA11" s="49" t="s">
        <v>795</v>
      </c>
      <c r="AB11" s="49" t="s">
        <v>795</v>
      </c>
      <c r="AC11" s="49"/>
      <c r="AD11" s="49" t="s">
        <v>795</v>
      </c>
      <c r="AE11" s="49" t="s">
        <v>796</v>
      </c>
      <c r="AF11" s="49" t="s">
        <v>796</v>
      </c>
      <c r="AG11" s="49" t="s">
        <v>795</v>
      </c>
      <c r="AH11" s="49" t="s">
        <v>795</v>
      </c>
      <c r="AI11" s="49" t="s">
        <v>795</v>
      </c>
      <c r="AJ11" s="49"/>
      <c r="AK11" s="49" t="s">
        <v>795</v>
      </c>
      <c r="AL11" s="49" t="s">
        <v>795</v>
      </c>
      <c r="AM11" s="49" t="s">
        <v>795</v>
      </c>
      <c r="AN11" s="49" t="s">
        <v>795</v>
      </c>
      <c r="AO11" s="49" t="s">
        <v>795</v>
      </c>
      <c r="AP11" s="49" t="s">
        <v>795</v>
      </c>
      <c r="AQ11" s="49"/>
      <c r="AR11" s="49" t="s">
        <v>795</v>
      </c>
      <c r="AS11" s="49" t="s">
        <v>795</v>
      </c>
      <c r="AT11" s="49" t="s">
        <v>795</v>
      </c>
      <c r="AU11" s="49" t="s">
        <v>796</v>
      </c>
      <c r="AV11" s="49" t="s">
        <v>796</v>
      </c>
      <c r="AW11" s="49" t="s">
        <v>796</v>
      </c>
      <c r="AX11" s="49"/>
      <c r="AY11" s="49" t="s">
        <v>796</v>
      </c>
      <c r="AZ11" s="31"/>
      <c r="BA11" s="31" t="s">
        <v>795</v>
      </c>
      <c r="BB11" s="31" t="s">
        <v>795</v>
      </c>
      <c r="BC11" s="31" t="s">
        <v>795</v>
      </c>
      <c r="BD11" s="31" t="s">
        <v>795</v>
      </c>
      <c r="BE11" s="31"/>
      <c r="BF11" s="31" t="s">
        <v>795</v>
      </c>
      <c r="BG11" s="31" t="s">
        <v>795</v>
      </c>
      <c r="BH11" s="31" t="s">
        <v>795</v>
      </c>
      <c r="BI11" s="31" t="s">
        <v>795</v>
      </c>
      <c r="BJ11" s="31" t="s">
        <v>795</v>
      </c>
      <c r="BK11" s="31" t="s">
        <v>795</v>
      </c>
      <c r="BL11" s="31"/>
      <c r="BM11" s="31" t="s">
        <v>795</v>
      </c>
      <c r="BN11" s="31"/>
    </row>
    <row r="12" spans="1:82">
      <c r="A12" s="19" t="s">
        <v>903</v>
      </c>
      <c r="B12" s="20"/>
      <c r="C12" s="48" t="s">
        <v>86</v>
      </c>
      <c r="D12" s="36">
        <v>19248.53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3">
        <f t="shared" si="1"/>
        <v>19248.53</v>
      </c>
      <c r="S12" s="19"/>
      <c r="T12" s="19">
        <f t="shared" si="0"/>
        <v>19248.53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4" t="s">
        <v>792</v>
      </c>
      <c r="AG12" s="34"/>
      <c r="AH12" s="34"/>
      <c r="AI12" s="31"/>
      <c r="AJ12" s="31"/>
      <c r="AK12" s="31"/>
      <c r="AL12" s="31"/>
      <c r="AM12" s="34">
        <v>23</v>
      </c>
      <c r="AN12" s="34"/>
      <c r="AO12" s="34"/>
      <c r="AP12" s="34"/>
      <c r="AQ12" s="31"/>
      <c r="AR12" s="34"/>
      <c r="AS12" s="34" t="s">
        <v>796</v>
      </c>
      <c r="AT12" s="31" t="s">
        <v>796</v>
      </c>
      <c r="AU12" s="31" t="s">
        <v>796</v>
      </c>
      <c r="AV12" s="31" t="s">
        <v>796</v>
      </c>
      <c r="AW12" s="31" t="s">
        <v>796</v>
      </c>
      <c r="AX12" s="31"/>
      <c r="AY12" s="31" t="s">
        <v>796</v>
      </c>
      <c r="AZ12" s="31"/>
      <c r="BA12" s="31" t="s">
        <v>796</v>
      </c>
      <c r="BB12" s="31" t="s">
        <v>796</v>
      </c>
      <c r="BC12" s="31" t="s">
        <v>796</v>
      </c>
      <c r="BD12" s="31" t="s">
        <v>796</v>
      </c>
      <c r="BE12" s="31"/>
      <c r="BF12" s="31" t="s">
        <v>796</v>
      </c>
      <c r="BG12" s="31" t="s">
        <v>796</v>
      </c>
      <c r="BH12" s="31" t="s">
        <v>796</v>
      </c>
      <c r="BI12" s="31" t="s">
        <v>796</v>
      </c>
      <c r="BJ12" s="31" t="s">
        <v>796</v>
      </c>
      <c r="BK12" s="31"/>
      <c r="BL12" s="31"/>
      <c r="BM12" s="31"/>
      <c r="BN12" s="31"/>
    </row>
    <row r="13" spans="1:82">
      <c r="A13" s="19" t="s">
        <v>95</v>
      </c>
      <c r="B13" s="5"/>
      <c r="C13" s="48">
        <v>9807576104</v>
      </c>
      <c r="D13" s="36">
        <v>31500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3">
        <f t="shared" si="1"/>
        <v>31500</v>
      </c>
      <c r="S13" s="19"/>
      <c r="T13" s="19">
        <f t="shared" si="0"/>
        <v>31500</v>
      </c>
      <c r="U13" s="49"/>
      <c r="V13" s="49"/>
      <c r="W13" s="49" t="s">
        <v>795</v>
      </c>
      <c r="X13" s="49"/>
      <c r="Y13" s="49" t="s">
        <v>795</v>
      </c>
      <c r="Z13" s="49" t="s">
        <v>795</v>
      </c>
      <c r="AA13" s="49" t="s">
        <v>795</v>
      </c>
      <c r="AB13" s="49" t="s">
        <v>795</v>
      </c>
      <c r="AC13" s="49"/>
      <c r="AD13" s="49" t="s">
        <v>796</v>
      </c>
      <c r="AE13" s="49" t="s">
        <v>794</v>
      </c>
      <c r="AF13" s="49" t="s">
        <v>794</v>
      </c>
      <c r="AG13" s="49" t="s">
        <v>794</v>
      </c>
      <c r="AH13" s="49" t="s">
        <v>794</v>
      </c>
      <c r="AI13" s="49" t="s">
        <v>804</v>
      </c>
      <c r="AJ13" s="49"/>
      <c r="AK13" s="49" t="s">
        <v>804</v>
      </c>
      <c r="AL13" s="49" t="s">
        <v>804</v>
      </c>
      <c r="AM13" s="49" t="s">
        <v>804</v>
      </c>
      <c r="AN13" s="49" t="s">
        <v>804</v>
      </c>
      <c r="AO13" s="49" t="s">
        <v>795</v>
      </c>
      <c r="AP13" s="49" t="s">
        <v>795</v>
      </c>
      <c r="AQ13" s="49"/>
      <c r="AR13" s="49" t="s">
        <v>795</v>
      </c>
      <c r="AS13" s="49" t="s">
        <v>795</v>
      </c>
      <c r="AT13" s="49" t="s">
        <v>795</v>
      </c>
      <c r="AU13" s="49" t="s">
        <v>795</v>
      </c>
      <c r="AV13" s="49" t="s">
        <v>795</v>
      </c>
      <c r="AW13" s="49" t="s">
        <v>795</v>
      </c>
      <c r="AX13" s="49"/>
      <c r="AY13" s="49" t="s">
        <v>795</v>
      </c>
      <c r="AZ13" s="31"/>
      <c r="BA13" s="31" t="s">
        <v>796</v>
      </c>
      <c r="BB13" s="31" t="s">
        <v>796</v>
      </c>
      <c r="BC13" s="31" t="s">
        <v>796</v>
      </c>
      <c r="BD13" s="31" t="s">
        <v>795</v>
      </c>
      <c r="BE13" s="31"/>
      <c r="BF13" s="31" t="s">
        <v>795</v>
      </c>
      <c r="BG13" s="31" t="s">
        <v>795</v>
      </c>
      <c r="BH13" s="31" t="s">
        <v>795</v>
      </c>
      <c r="BI13" s="31" t="s">
        <v>795</v>
      </c>
      <c r="BJ13" s="31" t="s">
        <v>795</v>
      </c>
      <c r="BK13" s="31" t="s">
        <v>795</v>
      </c>
      <c r="BL13" s="31"/>
      <c r="BM13" s="31" t="s">
        <v>795</v>
      </c>
      <c r="BN13" s="31"/>
    </row>
    <row r="14" spans="1:82">
      <c r="A14" s="12" t="s">
        <v>13</v>
      </c>
      <c r="B14" s="3"/>
      <c r="C14" s="24" t="s">
        <v>14</v>
      </c>
      <c r="D14" s="8">
        <v>11500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23">
        <f t="shared" si="1"/>
        <v>11500</v>
      </c>
      <c r="S14" s="12"/>
      <c r="T14" s="23">
        <f t="shared" si="0"/>
        <v>11500</v>
      </c>
      <c r="U14" s="34">
        <v>6</v>
      </c>
      <c r="V14" s="34"/>
      <c r="W14" s="34"/>
      <c r="X14" s="34"/>
      <c r="Y14" s="34"/>
      <c r="Z14" s="33">
        <v>9</v>
      </c>
      <c r="AA14" s="33"/>
      <c r="AB14" s="34"/>
      <c r="AC14" s="34" t="s">
        <v>4</v>
      </c>
      <c r="AD14" s="31" t="s">
        <v>795</v>
      </c>
      <c r="AE14" s="34">
        <v>15</v>
      </c>
      <c r="AF14" s="34"/>
      <c r="AG14" s="34"/>
      <c r="AH14" s="34">
        <v>19</v>
      </c>
      <c r="AI14" s="34"/>
      <c r="AJ14" s="34"/>
      <c r="AK14" s="34"/>
      <c r="AL14" s="34">
        <v>25</v>
      </c>
      <c r="AM14" s="34"/>
      <c r="AN14" s="34"/>
      <c r="AO14" s="34"/>
      <c r="AP14" s="34"/>
      <c r="AQ14" s="34"/>
      <c r="AR14" s="34"/>
      <c r="AS14" s="34">
        <v>30</v>
      </c>
      <c r="AT14" s="34"/>
      <c r="AU14" s="34"/>
      <c r="AV14" s="34"/>
      <c r="AW14" s="34">
        <v>5</v>
      </c>
      <c r="AX14" s="34"/>
      <c r="AY14" s="31"/>
      <c r="AZ14" s="34">
        <v>5</v>
      </c>
      <c r="BA14" s="34"/>
      <c r="BB14" s="34"/>
      <c r="BC14" s="34"/>
      <c r="BD14" s="31" t="s">
        <v>796</v>
      </c>
      <c r="BE14" s="31"/>
      <c r="BF14" s="31" t="s">
        <v>796</v>
      </c>
      <c r="BG14" s="31" t="s">
        <v>796</v>
      </c>
      <c r="BH14" s="31" t="s">
        <v>796</v>
      </c>
      <c r="BI14" s="31" t="s">
        <v>796</v>
      </c>
      <c r="BJ14" s="31" t="s">
        <v>796</v>
      </c>
      <c r="BK14" s="31" t="s">
        <v>796</v>
      </c>
      <c r="BL14" s="31"/>
      <c r="BM14" s="31" t="s">
        <v>796</v>
      </c>
      <c r="BN14" s="31"/>
    </row>
    <row r="15" spans="1:82">
      <c r="A15" s="12" t="s">
        <v>15</v>
      </c>
      <c r="B15" s="3"/>
      <c r="C15" s="24">
        <v>9847025697</v>
      </c>
      <c r="D15" s="8">
        <v>13500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23">
        <f t="shared" si="1"/>
        <v>13500</v>
      </c>
      <c r="S15" s="12"/>
      <c r="T15" s="23">
        <f t="shared" si="0"/>
        <v>13500</v>
      </c>
      <c r="U15" s="32">
        <v>10</v>
      </c>
      <c r="V15" s="33"/>
      <c r="W15" s="33"/>
      <c r="X15" s="33"/>
      <c r="Y15" s="33"/>
      <c r="Z15" s="33"/>
      <c r="AA15" s="33"/>
      <c r="AB15" s="34"/>
      <c r="AC15" s="34"/>
      <c r="AD15" s="34">
        <v>13</v>
      </c>
      <c r="AE15" s="34"/>
      <c r="AF15" s="34"/>
      <c r="AG15" s="34">
        <v>19</v>
      </c>
      <c r="AH15" s="34"/>
      <c r="AI15" s="34"/>
      <c r="AJ15" s="34"/>
      <c r="AK15" s="34"/>
      <c r="AL15" s="34"/>
      <c r="AM15" s="31">
        <v>22</v>
      </c>
      <c r="AN15" s="31"/>
      <c r="AO15" s="31"/>
      <c r="AP15" s="31">
        <v>26</v>
      </c>
      <c r="AQ15" s="31"/>
      <c r="AR15" s="31"/>
      <c r="AS15" s="34">
        <v>30</v>
      </c>
      <c r="AT15" s="34"/>
      <c r="AU15" s="34"/>
      <c r="AV15" s="34"/>
      <c r="AW15" s="34"/>
      <c r="AX15" s="34"/>
      <c r="AY15" s="34"/>
      <c r="AZ15" s="34">
        <v>5</v>
      </c>
      <c r="BA15" s="34"/>
      <c r="BB15" s="34"/>
      <c r="BC15" s="34"/>
      <c r="BD15" s="34">
        <v>10</v>
      </c>
      <c r="BE15" s="34"/>
      <c r="BF15" s="34"/>
      <c r="BG15" s="34"/>
      <c r="BH15" s="34"/>
      <c r="BI15" s="34">
        <v>14</v>
      </c>
      <c r="BJ15" s="34"/>
      <c r="BK15" s="34"/>
      <c r="BL15" s="34"/>
      <c r="BM15" s="34">
        <v>19</v>
      </c>
      <c r="BN15" s="34"/>
      <c r="BO15" s="34"/>
      <c r="BP15" s="34"/>
      <c r="BQ15" s="34"/>
      <c r="BR15" s="31"/>
    </row>
    <row r="16" spans="1:82">
      <c r="A16" s="12" t="s">
        <v>16</v>
      </c>
      <c r="B16" s="3"/>
      <c r="C16" s="24">
        <v>9857023662</v>
      </c>
      <c r="D16" s="8">
        <v>58863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23">
        <f t="shared" si="1"/>
        <v>58863</v>
      </c>
      <c r="S16" s="12"/>
      <c r="T16" s="23">
        <f t="shared" si="0"/>
        <v>58863</v>
      </c>
      <c r="U16" s="31"/>
      <c r="V16" s="31"/>
      <c r="W16" s="31">
        <v>5</v>
      </c>
      <c r="X16" s="33"/>
      <c r="Y16" s="31" t="s">
        <v>795</v>
      </c>
      <c r="Z16" s="31" t="s">
        <v>795</v>
      </c>
      <c r="AA16" s="31" t="s">
        <v>795</v>
      </c>
      <c r="AB16" s="34" t="s">
        <v>827</v>
      </c>
      <c r="AC16" s="34"/>
      <c r="AD16" s="34"/>
      <c r="AE16" s="31" t="s">
        <v>4</v>
      </c>
      <c r="AF16" s="34">
        <v>15</v>
      </c>
      <c r="AG16" s="34"/>
      <c r="AH16" s="34"/>
      <c r="AI16" s="31" t="s">
        <v>794</v>
      </c>
      <c r="AJ16" s="31"/>
      <c r="AK16" s="31" t="s">
        <v>794</v>
      </c>
      <c r="AL16" s="31" t="s">
        <v>794</v>
      </c>
      <c r="AM16" s="31" t="s">
        <v>794</v>
      </c>
      <c r="AN16" s="31" t="s">
        <v>794</v>
      </c>
      <c r="AO16" s="31" t="s">
        <v>794</v>
      </c>
      <c r="AP16" s="31" t="s">
        <v>794</v>
      </c>
      <c r="AQ16" s="31"/>
      <c r="AR16" s="31" t="s">
        <v>794</v>
      </c>
      <c r="AS16" s="31" t="s">
        <v>794</v>
      </c>
      <c r="AT16" s="31" t="s">
        <v>794</v>
      </c>
      <c r="AU16" s="31" t="s">
        <v>794</v>
      </c>
      <c r="AV16" s="31" t="s">
        <v>794</v>
      </c>
      <c r="AW16" s="31" t="s">
        <v>794</v>
      </c>
      <c r="AX16" s="31"/>
      <c r="AY16" s="31" t="s">
        <v>794</v>
      </c>
      <c r="AZ16" s="31"/>
      <c r="BA16" s="34"/>
      <c r="BB16" s="34"/>
      <c r="BC16" s="34"/>
      <c r="BD16" s="34"/>
      <c r="BE16" s="31" t="s">
        <v>4</v>
      </c>
      <c r="BF16" s="31" t="s">
        <v>794</v>
      </c>
      <c r="BG16" s="31" t="s">
        <v>794</v>
      </c>
      <c r="BH16" s="31"/>
      <c r="BI16" s="31" t="s">
        <v>794</v>
      </c>
      <c r="BJ16" s="31" t="s">
        <v>794</v>
      </c>
      <c r="BK16" s="34" t="s">
        <v>816</v>
      </c>
      <c r="BL16" s="34"/>
      <c r="BM16" s="34"/>
      <c r="BN16" s="34"/>
      <c r="BO16" s="34" t="s">
        <v>4</v>
      </c>
    </row>
    <row r="17" spans="1:81">
      <c r="A17" s="12" t="s">
        <v>17</v>
      </c>
      <c r="B17" s="3"/>
      <c r="C17" s="24">
        <v>9867755100</v>
      </c>
      <c r="D17" s="8">
        <v>6000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23">
        <f t="shared" si="1"/>
        <v>6000</v>
      </c>
      <c r="S17" s="12"/>
      <c r="T17" s="23">
        <f t="shared" si="0"/>
        <v>6000</v>
      </c>
      <c r="U17" s="31"/>
      <c r="V17" s="31"/>
      <c r="W17" s="31">
        <v>10</v>
      </c>
      <c r="X17" s="34"/>
      <c r="Y17" s="33"/>
      <c r="Z17" s="33"/>
      <c r="AA17" s="33"/>
      <c r="AB17" s="34"/>
      <c r="AC17" s="34"/>
      <c r="AD17" s="34">
        <v>12</v>
      </c>
      <c r="AE17" s="34"/>
      <c r="AF17" s="34">
        <v>14</v>
      </c>
      <c r="AG17" s="34"/>
      <c r="AH17" s="34">
        <v>17</v>
      </c>
      <c r="AI17" s="34"/>
      <c r="AJ17" s="34"/>
      <c r="AK17" s="31" t="s">
        <v>4</v>
      </c>
      <c r="AL17" s="34">
        <v>23</v>
      </c>
      <c r="AM17" s="34"/>
      <c r="AN17" s="34"/>
      <c r="AO17" s="34"/>
      <c r="AP17" s="34"/>
      <c r="AQ17" s="31"/>
      <c r="AR17" s="34"/>
      <c r="AS17" s="34" t="s">
        <v>795</v>
      </c>
      <c r="AT17" s="31" t="s">
        <v>795</v>
      </c>
      <c r="AU17" s="34">
        <v>29</v>
      </c>
      <c r="AV17" s="34"/>
      <c r="AW17" s="31">
        <v>31</v>
      </c>
      <c r="AX17" s="31"/>
      <c r="AY17" s="31" t="s">
        <v>795</v>
      </c>
      <c r="AZ17" s="31" t="s">
        <v>795</v>
      </c>
      <c r="BA17" s="34" t="s">
        <v>795</v>
      </c>
      <c r="BB17" s="31" t="s">
        <v>795</v>
      </c>
      <c r="BC17" s="31" t="s">
        <v>795</v>
      </c>
      <c r="BD17" s="31" t="s">
        <v>795</v>
      </c>
      <c r="BE17" s="31"/>
      <c r="BF17" s="31" t="s">
        <v>795</v>
      </c>
      <c r="BG17" s="31" t="s">
        <v>795</v>
      </c>
      <c r="BH17" s="31" t="s">
        <v>795</v>
      </c>
      <c r="BI17" s="31" t="s">
        <v>795</v>
      </c>
      <c r="BJ17" s="31" t="s">
        <v>795</v>
      </c>
      <c r="BK17" s="31" t="s">
        <v>831</v>
      </c>
      <c r="BL17" s="31"/>
      <c r="BM17" s="31" t="s">
        <v>795</v>
      </c>
      <c r="BN17" s="31"/>
    </row>
    <row r="18" spans="1:81">
      <c r="A18" s="12" t="s">
        <v>18</v>
      </c>
      <c r="B18" s="3"/>
      <c r="C18" s="18"/>
      <c r="D18" s="8">
        <v>34317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23">
        <f t="shared" si="1"/>
        <v>34317</v>
      </c>
      <c r="S18" s="12">
        <f>Y18+8000</f>
        <v>16000</v>
      </c>
      <c r="T18" s="23">
        <f t="shared" si="0"/>
        <v>18317</v>
      </c>
      <c r="U18" s="31"/>
      <c r="V18" s="31"/>
      <c r="W18" s="31" t="s">
        <v>785</v>
      </c>
      <c r="X18" s="31" t="s">
        <v>794</v>
      </c>
      <c r="Y18" s="1">
        <v>8000</v>
      </c>
      <c r="Z18" s="33"/>
      <c r="AA18" s="33"/>
      <c r="AB18" s="34" t="s">
        <v>807</v>
      </c>
      <c r="AC18" s="34"/>
      <c r="AD18" s="34">
        <v>13</v>
      </c>
      <c r="AE18" s="34"/>
      <c r="AF18" s="34"/>
      <c r="AG18" s="34" t="s">
        <v>794</v>
      </c>
      <c r="AH18" s="34">
        <v>15</v>
      </c>
      <c r="AI18" s="31" t="s">
        <v>794</v>
      </c>
      <c r="AJ18" s="31"/>
      <c r="AK18" s="31" t="s">
        <v>794</v>
      </c>
      <c r="AL18" s="31" t="s">
        <v>794</v>
      </c>
      <c r="AM18" s="31" t="s">
        <v>794</v>
      </c>
      <c r="AN18" s="31" t="s">
        <v>794</v>
      </c>
      <c r="AO18" s="31" t="s">
        <v>794</v>
      </c>
      <c r="AP18" s="31" t="s">
        <v>794</v>
      </c>
      <c r="AQ18" s="31"/>
      <c r="AR18" s="34" t="s">
        <v>794</v>
      </c>
      <c r="AS18" s="34" t="s">
        <v>794</v>
      </c>
      <c r="AT18" s="31" t="s">
        <v>794</v>
      </c>
      <c r="AU18" s="31" t="s">
        <v>794</v>
      </c>
      <c r="AV18" s="31" t="s">
        <v>794</v>
      </c>
      <c r="AW18" s="31" t="s">
        <v>794</v>
      </c>
      <c r="AX18" s="31"/>
      <c r="AY18" s="31">
        <v>1</v>
      </c>
      <c r="AZ18" s="31" t="s">
        <v>4</v>
      </c>
      <c r="BA18" s="31">
        <v>3</v>
      </c>
      <c r="BB18" s="31" t="s">
        <v>794</v>
      </c>
      <c r="BC18" s="31" t="s">
        <v>794</v>
      </c>
      <c r="BD18" s="1">
        <v>8000</v>
      </c>
      <c r="BE18" s="31"/>
      <c r="BF18" s="65" t="s">
        <v>794</v>
      </c>
      <c r="BG18" s="65" t="s">
        <v>794</v>
      </c>
      <c r="BH18" s="65" t="s">
        <v>794</v>
      </c>
      <c r="BI18" s="65" t="s">
        <v>794</v>
      </c>
      <c r="BJ18" s="65" t="s">
        <v>794</v>
      </c>
      <c r="BK18" s="34" t="s">
        <v>841</v>
      </c>
      <c r="BL18" s="34"/>
      <c r="BM18" s="34"/>
      <c r="BN18" s="34"/>
      <c r="BO18" s="34"/>
      <c r="BP18" s="34"/>
      <c r="BQ18" s="34"/>
      <c r="BR18" s="34"/>
      <c r="BS18" s="34" t="s">
        <v>4</v>
      </c>
    </row>
    <row r="19" spans="1:81">
      <c r="A19" s="12" t="s">
        <v>19</v>
      </c>
      <c r="B19" s="3"/>
      <c r="C19" s="18" t="s">
        <v>20</v>
      </c>
      <c r="D19" s="8">
        <v>87625.05</v>
      </c>
      <c r="E19" s="2">
        <f>23700.17+38551.5</f>
        <v>62251.67</v>
      </c>
      <c r="F19" s="12"/>
      <c r="G19" s="12"/>
      <c r="H19" s="12"/>
      <c r="I19" s="12"/>
      <c r="J19" s="2">
        <f>5671.06+67191.97</f>
        <v>72863.03</v>
      </c>
      <c r="K19" s="12"/>
      <c r="L19" s="2">
        <f>15800.11+15800.11</f>
        <v>31600.22</v>
      </c>
      <c r="M19" s="2">
        <v>20320</v>
      </c>
      <c r="N19" s="12"/>
      <c r="O19" s="2">
        <f>5685.03+10647.27</f>
        <v>16332.3</v>
      </c>
      <c r="P19" s="12"/>
      <c r="Q19" s="12"/>
      <c r="R19" s="23">
        <f t="shared" si="1"/>
        <v>290992.26999999996</v>
      </c>
      <c r="S19" s="12"/>
      <c r="T19" s="23">
        <f t="shared" si="0"/>
        <v>290992.26999999996</v>
      </c>
      <c r="U19" s="31"/>
      <c r="V19" s="31"/>
      <c r="W19" s="31"/>
      <c r="X19" s="34">
        <v>12</v>
      </c>
      <c r="Y19" s="33"/>
      <c r="Z19" s="33"/>
      <c r="AA19" s="33"/>
      <c r="AB19" s="34"/>
      <c r="AC19" s="34"/>
      <c r="AD19" s="34"/>
      <c r="AE19" s="34"/>
      <c r="AF19" s="31" t="s">
        <v>4</v>
      </c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 t="s">
        <v>796</v>
      </c>
      <c r="AZ19" s="34"/>
      <c r="BA19" s="34"/>
      <c r="BB19" s="34"/>
      <c r="BC19" s="34"/>
      <c r="BD19" s="34">
        <v>10</v>
      </c>
      <c r="BE19" s="34"/>
      <c r="BF19" s="34"/>
      <c r="BG19" s="34"/>
      <c r="BH19" s="34"/>
      <c r="BI19" s="34"/>
      <c r="BJ19" s="34"/>
      <c r="BK19" s="34"/>
      <c r="BL19" s="34"/>
      <c r="BM19" s="34"/>
      <c r="BN19" s="31"/>
    </row>
    <row r="20" spans="1:81">
      <c r="A20" s="12" t="s">
        <v>21</v>
      </c>
      <c r="B20" s="3"/>
      <c r="C20" s="24">
        <v>9857071707</v>
      </c>
      <c r="D20" s="8">
        <v>33107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3">
        <f t="shared" si="1"/>
        <v>33107</v>
      </c>
      <c r="S20" s="12"/>
      <c r="T20" s="23">
        <f t="shared" si="0"/>
        <v>33107</v>
      </c>
      <c r="U20" s="31"/>
      <c r="V20" s="31"/>
      <c r="W20" s="31" t="s">
        <v>795</v>
      </c>
      <c r="X20" s="31" t="s">
        <v>794</v>
      </c>
      <c r="Y20" s="31" t="s">
        <v>794</v>
      </c>
      <c r="Z20" s="31" t="s">
        <v>795</v>
      </c>
      <c r="AA20" s="31" t="s">
        <v>795</v>
      </c>
      <c r="AB20" s="31" t="s">
        <v>811</v>
      </c>
      <c r="AC20" s="34"/>
      <c r="AD20" s="31" t="s">
        <v>794</v>
      </c>
      <c r="AE20" s="31" t="s">
        <v>794</v>
      </c>
      <c r="AF20" s="31" t="s">
        <v>795</v>
      </c>
      <c r="AG20" s="31" t="s">
        <v>795</v>
      </c>
      <c r="AH20" s="31" t="s">
        <v>795</v>
      </c>
      <c r="AI20" s="31" t="s">
        <v>795</v>
      </c>
      <c r="AJ20" s="31"/>
      <c r="AK20" s="31" t="s">
        <v>795</v>
      </c>
      <c r="AL20" s="31" t="s">
        <v>795</v>
      </c>
      <c r="AM20" s="31" t="s">
        <v>795</v>
      </c>
      <c r="AN20" s="31" t="s">
        <v>795</v>
      </c>
      <c r="AO20" s="31" t="s">
        <v>795</v>
      </c>
      <c r="AP20" s="31" t="s">
        <v>795</v>
      </c>
      <c r="AQ20" s="31"/>
      <c r="AR20" s="31" t="s">
        <v>795</v>
      </c>
      <c r="AS20" s="31" t="s">
        <v>795</v>
      </c>
      <c r="AT20" s="31" t="s">
        <v>795</v>
      </c>
      <c r="AU20" s="31" t="s">
        <v>795</v>
      </c>
      <c r="AV20" s="31" t="s">
        <v>795</v>
      </c>
      <c r="AW20" s="31" t="s">
        <v>794</v>
      </c>
      <c r="AX20" s="31"/>
      <c r="AY20" s="31" t="s">
        <v>794</v>
      </c>
      <c r="AZ20" s="31"/>
      <c r="BA20" s="31" t="s">
        <v>795</v>
      </c>
      <c r="BB20" s="31" t="s">
        <v>795</v>
      </c>
      <c r="BC20" s="31" t="s">
        <v>795</v>
      </c>
      <c r="BD20" s="31" t="s">
        <v>794</v>
      </c>
      <c r="BE20" s="31"/>
      <c r="BF20" s="31" t="s">
        <v>794</v>
      </c>
      <c r="BG20" s="31" t="s">
        <v>794</v>
      </c>
      <c r="BH20" s="31" t="s">
        <v>794</v>
      </c>
      <c r="BI20" s="31" t="s">
        <v>794</v>
      </c>
      <c r="BJ20" s="31" t="s">
        <v>794</v>
      </c>
      <c r="BK20" s="31" t="s">
        <v>811</v>
      </c>
      <c r="BL20" s="31"/>
      <c r="BM20" s="31" t="s">
        <v>795</v>
      </c>
      <c r="BN20" s="31"/>
    </row>
    <row r="21" spans="1:81">
      <c r="A21" s="12" t="s">
        <v>22</v>
      </c>
      <c r="B21" s="18"/>
      <c r="C21" s="18" t="s">
        <v>23</v>
      </c>
      <c r="D21" s="12">
        <v>-24506</v>
      </c>
      <c r="E21" s="12"/>
      <c r="F21" s="12"/>
      <c r="G21" s="2">
        <f>114067.69+43833</f>
        <v>157900.69</v>
      </c>
      <c r="H21" s="12"/>
      <c r="I21" s="12"/>
      <c r="J21" s="12"/>
      <c r="K21" s="2">
        <v>114068.42</v>
      </c>
      <c r="L21" s="12"/>
      <c r="M21" s="12"/>
      <c r="N21" s="12"/>
      <c r="O21" s="12"/>
      <c r="P21" s="2">
        <f>166869.2+21917</f>
        <v>188786.2</v>
      </c>
      <c r="Q21" s="12"/>
      <c r="R21" s="23">
        <f t="shared" si="1"/>
        <v>436249.31</v>
      </c>
      <c r="S21" s="12">
        <f>5000+AU21+100000</f>
        <v>252000</v>
      </c>
      <c r="T21" s="12">
        <f t="shared" si="0"/>
        <v>184249.31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2"/>
      <c r="AI21" s="12"/>
      <c r="AJ21" s="12"/>
      <c r="AK21" s="12"/>
      <c r="AL21" s="8">
        <v>5000</v>
      </c>
      <c r="AM21" s="34"/>
      <c r="AN21" s="34"/>
      <c r="AO21" s="34"/>
      <c r="AP21" s="34"/>
      <c r="AQ21" s="31"/>
      <c r="AR21" s="34"/>
      <c r="AS21" s="34"/>
      <c r="AT21" s="34"/>
      <c r="AU21" s="1">
        <f>100000+47000</f>
        <v>147000</v>
      </c>
      <c r="AV21" s="31"/>
      <c r="AW21" s="31"/>
      <c r="AX21" s="31"/>
      <c r="AY21" s="31" t="s">
        <v>796</v>
      </c>
      <c r="AZ21" s="31"/>
      <c r="BA21" s="31" t="s">
        <v>796</v>
      </c>
      <c r="BB21" s="31" t="s">
        <v>796</v>
      </c>
      <c r="BC21" s="31" t="s">
        <v>796</v>
      </c>
      <c r="BD21" s="31" t="s">
        <v>796</v>
      </c>
      <c r="BE21" s="31"/>
      <c r="BF21" s="31" t="s">
        <v>796</v>
      </c>
      <c r="BG21" s="31" t="s">
        <v>796</v>
      </c>
      <c r="BH21" s="31" t="s">
        <v>796</v>
      </c>
      <c r="BI21" s="62">
        <v>100000</v>
      </c>
    </row>
    <row r="22" spans="1:81">
      <c r="A22" s="12" t="s">
        <v>24</v>
      </c>
      <c r="B22" s="3"/>
      <c r="C22" s="18">
        <v>9857037525</v>
      </c>
      <c r="D22" s="8">
        <v>4668.72</v>
      </c>
      <c r="E22" s="12"/>
      <c r="F22" s="2">
        <f>7878.13+132239.64</f>
        <v>140117.77000000002</v>
      </c>
      <c r="G22" s="12"/>
      <c r="H22" s="2">
        <v>7820.23</v>
      </c>
      <c r="I22" s="2">
        <f>23119.57+7200.36</f>
        <v>30319.93</v>
      </c>
      <c r="J22" s="2">
        <v>70176.39</v>
      </c>
      <c r="K22" s="12"/>
      <c r="L22" s="2">
        <f>1184.97+3032.02</f>
        <v>4216.99</v>
      </c>
      <c r="M22" s="12"/>
      <c r="N22" s="2">
        <v>7302.29</v>
      </c>
      <c r="O22" s="12"/>
      <c r="P22" s="12"/>
      <c r="Q22" s="12"/>
      <c r="R22" s="23">
        <f t="shared" si="1"/>
        <v>264622.32</v>
      </c>
      <c r="S22" s="12">
        <v>201000</v>
      </c>
      <c r="T22" s="23">
        <f t="shared" si="0"/>
        <v>63622.320000000007</v>
      </c>
      <c r="U22" s="31"/>
      <c r="V22" s="31"/>
      <c r="W22" s="31"/>
      <c r="X22" s="31"/>
      <c r="Y22" s="31"/>
      <c r="Z22" s="31"/>
      <c r="AA22" s="31"/>
      <c r="AB22" s="31"/>
      <c r="AC22" s="34"/>
      <c r="AD22" s="31" t="s">
        <v>4</v>
      </c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 t="s">
        <v>794</v>
      </c>
      <c r="AP22" s="31" t="s">
        <v>794</v>
      </c>
      <c r="AQ22" s="31"/>
      <c r="AR22" s="31" t="s">
        <v>794</v>
      </c>
      <c r="AS22" s="34">
        <v>29</v>
      </c>
      <c r="AT22" s="34"/>
      <c r="AU22" s="34"/>
      <c r="AV22" s="34"/>
      <c r="AW22" s="31"/>
      <c r="AX22" s="31"/>
      <c r="AY22" s="31"/>
      <c r="AZ22" s="31" t="s">
        <v>800</v>
      </c>
      <c r="BA22" s="31" t="s">
        <v>800</v>
      </c>
      <c r="BB22" s="31" t="s">
        <v>800</v>
      </c>
      <c r="BC22" s="31" t="s">
        <v>800</v>
      </c>
      <c r="BD22" s="31" t="s">
        <v>800</v>
      </c>
      <c r="BE22" s="31"/>
      <c r="BF22" s="1">
        <v>201000</v>
      </c>
      <c r="BG22" s="34"/>
      <c r="BH22" s="34"/>
      <c r="BI22" s="34"/>
      <c r="BJ22" s="34"/>
      <c r="BK22" s="34"/>
      <c r="BL22" s="34"/>
      <c r="BM22" s="31"/>
      <c r="BN22" s="31"/>
    </row>
    <row r="23" spans="1:81">
      <c r="A23" s="12" t="s">
        <v>25</v>
      </c>
      <c r="B23" s="3"/>
      <c r="C23" s="24">
        <v>9847067470</v>
      </c>
      <c r="D23" s="8">
        <v>7600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23">
        <f t="shared" si="1"/>
        <v>7600</v>
      </c>
      <c r="S23" s="12">
        <f>AE23</f>
        <v>5000</v>
      </c>
      <c r="T23" s="23">
        <f t="shared" si="0"/>
        <v>2600</v>
      </c>
      <c r="U23" s="31"/>
      <c r="V23" s="31"/>
      <c r="W23" s="31" t="s">
        <v>795</v>
      </c>
      <c r="X23" s="31" t="s">
        <v>793</v>
      </c>
      <c r="Y23" s="31"/>
      <c r="Z23" s="33">
        <v>8</v>
      </c>
      <c r="AA23" s="33"/>
      <c r="AB23" s="34" t="s">
        <v>827</v>
      </c>
      <c r="AC23" s="34"/>
      <c r="AD23" s="34"/>
      <c r="AE23" s="62">
        <v>5000</v>
      </c>
      <c r="AF23" s="34"/>
      <c r="AG23" s="34"/>
      <c r="AH23" s="34"/>
      <c r="AI23" s="34"/>
      <c r="AJ23" s="34"/>
      <c r="AK23" s="34"/>
      <c r="AL23" s="34">
        <v>22</v>
      </c>
      <c r="AM23" s="34"/>
      <c r="AN23" s="34"/>
      <c r="AO23" s="34"/>
      <c r="AP23" s="31" t="s">
        <v>794</v>
      </c>
      <c r="AQ23" s="31"/>
      <c r="AR23" s="31" t="s">
        <v>794</v>
      </c>
      <c r="AS23" s="31" t="s">
        <v>794</v>
      </c>
      <c r="AT23" s="31" t="s">
        <v>794</v>
      </c>
      <c r="AU23" s="31" t="s">
        <v>794</v>
      </c>
      <c r="AV23" s="31" t="s">
        <v>794</v>
      </c>
      <c r="AW23" s="31" t="s">
        <v>794</v>
      </c>
      <c r="AX23" s="31"/>
      <c r="AY23" s="31">
        <v>5</v>
      </c>
      <c r="AZ23" s="34">
        <v>5</v>
      </c>
      <c r="BA23" s="34"/>
      <c r="BB23" s="34"/>
      <c r="BC23" s="34"/>
      <c r="BD23" s="31" t="s">
        <v>794</v>
      </c>
      <c r="BE23" s="31"/>
      <c r="BF23" s="31" t="s">
        <v>794</v>
      </c>
      <c r="BG23" s="31" t="s">
        <v>794</v>
      </c>
      <c r="BH23" s="31" t="s">
        <v>794</v>
      </c>
      <c r="BI23" s="31" t="s">
        <v>794</v>
      </c>
      <c r="BJ23" s="31" t="s">
        <v>794</v>
      </c>
      <c r="BK23" s="31"/>
      <c r="BL23" s="31"/>
      <c r="BM23" s="31" t="s">
        <v>794</v>
      </c>
      <c r="BN23" s="31"/>
    </row>
    <row r="24" spans="1:81">
      <c r="A24" s="12" t="s">
        <v>851</v>
      </c>
      <c r="B24" s="3"/>
      <c r="C24" s="3">
        <v>9847055372</v>
      </c>
      <c r="D24" s="2"/>
      <c r="E24" s="12"/>
      <c r="F24" s="12"/>
      <c r="G24" s="2">
        <v>2599.9</v>
      </c>
      <c r="H24" s="12"/>
      <c r="I24" s="12"/>
      <c r="J24" s="2">
        <v>35379.449999999997</v>
      </c>
      <c r="K24" s="12"/>
      <c r="L24" s="12"/>
      <c r="M24" s="12"/>
      <c r="N24" s="12"/>
      <c r="O24" s="12"/>
      <c r="P24" s="12"/>
      <c r="Q24" s="12"/>
      <c r="R24" s="23">
        <f t="shared" si="1"/>
        <v>37979.35</v>
      </c>
      <c r="S24" s="12"/>
      <c r="T24" s="23">
        <f t="shared" si="0"/>
        <v>37979.35</v>
      </c>
      <c r="U24" s="31"/>
      <c r="V24" s="31"/>
      <c r="W24" s="31"/>
      <c r="X24" s="31"/>
      <c r="Y24" s="31"/>
      <c r="Z24" s="33"/>
      <c r="AA24" s="33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1" t="s">
        <v>794</v>
      </c>
      <c r="AN24" s="34" t="s">
        <v>794</v>
      </c>
      <c r="AO24" s="34" t="s">
        <v>795</v>
      </c>
      <c r="AP24" s="34">
        <v>30</v>
      </c>
      <c r="AQ24" s="34"/>
      <c r="AR24" s="34"/>
      <c r="AS24" s="34"/>
      <c r="AT24" s="34"/>
      <c r="AU24" s="34"/>
      <c r="AV24" s="34"/>
      <c r="AW24" s="34"/>
      <c r="AX24" s="34"/>
      <c r="AY24" s="31" t="s">
        <v>794</v>
      </c>
      <c r="AZ24" s="31" t="s">
        <v>794</v>
      </c>
      <c r="BA24" s="31" t="s">
        <v>794</v>
      </c>
      <c r="BB24" s="31" t="s">
        <v>794</v>
      </c>
      <c r="BC24" s="31" t="s">
        <v>794</v>
      </c>
      <c r="BD24" s="31" t="s">
        <v>794</v>
      </c>
      <c r="BE24" s="31"/>
      <c r="BF24" s="31" t="s">
        <v>794</v>
      </c>
      <c r="BG24" s="34" t="s">
        <v>880</v>
      </c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1" t="s">
        <v>4</v>
      </c>
    </row>
    <row r="25" spans="1:81">
      <c r="A25" s="12" t="s">
        <v>890</v>
      </c>
      <c r="B25" s="3"/>
      <c r="C25" s="3">
        <v>9847055372</v>
      </c>
      <c r="D25" s="2"/>
      <c r="E25" s="12"/>
      <c r="F25" s="12"/>
      <c r="G25" s="12"/>
      <c r="H25" s="12"/>
      <c r="I25" s="12"/>
      <c r="J25" s="2">
        <v>32011.77</v>
      </c>
      <c r="K25" s="12"/>
      <c r="L25" s="12"/>
      <c r="M25" s="12"/>
      <c r="N25" s="12"/>
      <c r="O25" s="12"/>
      <c r="P25" s="12"/>
      <c r="Q25" s="12"/>
      <c r="R25" s="23">
        <f t="shared" si="1"/>
        <v>32011.77</v>
      </c>
      <c r="S25" s="12"/>
      <c r="T25" s="23">
        <f t="shared" si="0"/>
        <v>32011.77</v>
      </c>
      <c r="U25" s="31"/>
      <c r="V25" s="31"/>
      <c r="W25" s="31"/>
      <c r="X25" s="31"/>
      <c r="Y25" s="31"/>
      <c r="Z25" s="33"/>
      <c r="AA25" s="33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1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1" t="s">
        <v>794</v>
      </c>
      <c r="AZ25" s="31" t="s">
        <v>794</v>
      </c>
      <c r="BA25" s="31" t="s">
        <v>794</v>
      </c>
      <c r="BB25" s="31" t="s">
        <v>794</v>
      </c>
      <c r="BC25" s="31" t="s">
        <v>794</v>
      </c>
      <c r="BD25" s="31" t="s">
        <v>794</v>
      </c>
      <c r="BE25" s="31"/>
      <c r="BF25" s="31" t="s">
        <v>794</v>
      </c>
      <c r="BG25" s="34" t="s">
        <v>880</v>
      </c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1" t="s">
        <v>4</v>
      </c>
    </row>
    <row r="26" spans="1:81" ht="18.75">
      <c r="A26" s="79" t="s">
        <v>203</v>
      </c>
      <c r="B26" s="80"/>
      <c r="C26" s="80"/>
      <c r="D26" s="79">
        <v>-3759.69</v>
      </c>
      <c r="E26" s="12"/>
      <c r="F26" s="12"/>
      <c r="G26" s="12"/>
      <c r="H26" s="12"/>
      <c r="I26" s="12"/>
      <c r="J26" s="2"/>
      <c r="K26" s="12"/>
      <c r="L26" s="12"/>
      <c r="M26" s="12"/>
      <c r="N26" s="12"/>
      <c r="O26" s="12"/>
      <c r="P26" s="12"/>
      <c r="Q26" s="12"/>
      <c r="R26" s="23">
        <f t="shared" si="1"/>
        <v>-3759.69</v>
      </c>
      <c r="S26" s="12"/>
      <c r="T26" s="23">
        <f t="shared" si="0"/>
        <v>-3759.69</v>
      </c>
      <c r="U26" s="31"/>
      <c r="V26" s="31"/>
      <c r="W26" s="31"/>
      <c r="X26" s="31"/>
      <c r="Y26" s="31"/>
      <c r="Z26" s="33"/>
      <c r="AA26" s="33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1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</row>
    <row r="27" spans="1:81">
      <c r="A27" s="23" t="s">
        <v>889</v>
      </c>
      <c r="B27" s="29"/>
      <c r="C27" s="29"/>
      <c r="D27" s="23"/>
      <c r="E27" s="23"/>
      <c r="F27" s="23"/>
      <c r="G27" s="23"/>
      <c r="H27" s="23"/>
      <c r="I27" s="23"/>
      <c r="J27" s="23">
        <v>14506</v>
      </c>
      <c r="K27" s="23"/>
      <c r="L27" s="23"/>
      <c r="M27" s="23"/>
      <c r="N27" s="23"/>
      <c r="O27" s="23"/>
      <c r="P27" s="23"/>
      <c r="Q27" s="23"/>
      <c r="R27" s="23">
        <f t="shared" si="1"/>
        <v>14506</v>
      </c>
      <c r="S27" s="23">
        <f>BK27</f>
        <v>14500</v>
      </c>
      <c r="T27" s="23">
        <f t="shared" si="0"/>
        <v>6</v>
      </c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 t="s">
        <v>169</v>
      </c>
      <c r="BA27" s="46"/>
      <c r="BB27" s="46"/>
      <c r="BC27" s="46"/>
      <c r="BD27" s="46" t="s">
        <v>794</v>
      </c>
      <c r="BE27" s="46"/>
      <c r="BF27" s="46" t="s">
        <v>794</v>
      </c>
      <c r="BG27" s="46" t="s">
        <v>794</v>
      </c>
      <c r="BH27" s="46" t="s">
        <v>794</v>
      </c>
      <c r="BI27" s="46" t="s">
        <v>794</v>
      </c>
      <c r="BJ27" s="46"/>
      <c r="BK27" s="46">
        <v>14500</v>
      </c>
      <c r="BL27" s="35"/>
      <c r="BM27" s="35"/>
    </row>
    <row r="28" spans="1:81">
      <c r="A28" s="12" t="s">
        <v>26</v>
      </c>
      <c r="B28" s="3"/>
      <c r="C28" s="24" t="s">
        <v>27</v>
      </c>
      <c r="D28" s="8">
        <v>16500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23">
        <f t="shared" si="1"/>
        <v>16500</v>
      </c>
      <c r="S28" s="12"/>
      <c r="T28" s="23">
        <f t="shared" si="0"/>
        <v>16500</v>
      </c>
      <c r="U28" s="31"/>
      <c r="V28" s="31"/>
      <c r="W28" s="31">
        <v>5</v>
      </c>
      <c r="X28" s="34"/>
      <c r="Y28" s="31" t="s">
        <v>795</v>
      </c>
      <c r="Z28" s="34">
        <v>9</v>
      </c>
      <c r="AA28" s="34"/>
      <c r="AB28" s="34"/>
      <c r="AC28" s="31" t="s">
        <v>4</v>
      </c>
      <c r="AD28" s="34">
        <v>13</v>
      </c>
      <c r="AE28" s="34"/>
      <c r="AF28" s="34"/>
      <c r="AG28" s="34">
        <v>16</v>
      </c>
      <c r="AH28" s="34"/>
      <c r="AI28" s="34"/>
      <c r="AJ28" s="31"/>
      <c r="AK28" s="31"/>
      <c r="AL28" s="34">
        <v>20</v>
      </c>
      <c r="AM28" s="34"/>
      <c r="AN28" s="31" t="s">
        <v>4</v>
      </c>
      <c r="AO28" s="31"/>
      <c r="AP28" s="31">
        <v>26</v>
      </c>
      <c r="AQ28" s="31"/>
      <c r="AR28" s="31"/>
      <c r="AS28" s="31"/>
      <c r="AT28" s="31"/>
      <c r="AU28" s="34">
        <v>30</v>
      </c>
      <c r="AV28" s="34"/>
      <c r="AW28" s="34"/>
      <c r="AX28" s="34"/>
      <c r="AY28" s="31" t="s">
        <v>794</v>
      </c>
      <c r="AZ28" s="34">
        <v>5</v>
      </c>
      <c r="BA28" s="34"/>
      <c r="BB28" s="34"/>
      <c r="BC28" s="34"/>
      <c r="BD28" s="34">
        <v>8</v>
      </c>
      <c r="BE28" s="34"/>
      <c r="BF28" s="34"/>
      <c r="BG28" s="34" t="s">
        <v>807</v>
      </c>
      <c r="BH28" s="34"/>
      <c r="BI28" s="31">
        <v>15</v>
      </c>
      <c r="BJ28" s="31"/>
      <c r="BK28" s="34"/>
      <c r="BL28" s="34"/>
      <c r="BM28" s="34"/>
      <c r="BN28" s="31" t="s">
        <v>4</v>
      </c>
    </row>
    <row r="29" spans="1:81">
      <c r="A29" s="12" t="s">
        <v>126</v>
      </c>
      <c r="B29" s="3"/>
      <c r="C29" s="24">
        <v>9847951616</v>
      </c>
      <c r="D29" s="8">
        <v>17330.009999999998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23">
        <f t="shared" si="1"/>
        <v>17330.009999999998</v>
      </c>
      <c r="S29" s="12"/>
      <c r="T29" s="12">
        <f t="shared" si="0"/>
        <v>17330.009999999998</v>
      </c>
      <c r="U29" s="31"/>
      <c r="V29" s="31"/>
      <c r="W29" s="31" t="s">
        <v>798</v>
      </c>
      <c r="X29" s="31"/>
      <c r="Y29" s="31" t="s">
        <v>798</v>
      </c>
      <c r="Z29" s="31" t="s">
        <v>798</v>
      </c>
      <c r="AA29" s="31" t="s">
        <v>798</v>
      </c>
      <c r="AB29" s="31"/>
      <c r="AC29" s="34"/>
      <c r="AD29" s="31" t="s">
        <v>798</v>
      </c>
      <c r="AE29" s="31" t="s">
        <v>798</v>
      </c>
      <c r="AF29" s="31" t="s">
        <v>798</v>
      </c>
      <c r="AG29" s="31" t="s">
        <v>798</v>
      </c>
      <c r="AH29" s="31" t="s">
        <v>798</v>
      </c>
      <c r="AI29" s="31" t="s">
        <v>798</v>
      </c>
      <c r="AJ29" s="31"/>
      <c r="AK29" s="31" t="s">
        <v>798</v>
      </c>
      <c r="AL29" s="31" t="s">
        <v>798</v>
      </c>
      <c r="AM29" s="31" t="s">
        <v>798</v>
      </c>
      <c r="AN29" s="31" t="s">
        <v>798</v>
      </c>
      <c r="AO29" s="31" t="s">
        <v>798</v>
      </c>
      <c r="AP29" s="31" t="s">
        <v>798</v>
      </c>
      <c r="AQ29" s="31"/>
      <c r="AR29" s="31" t="s">
        <v>798</v>
      </c>
      <c r="AS29" s="31" t="s">
        <v>798</v>
      </c>
      <c r="AT29" s="31" t="s">
        <v>798</v>
      </c>
      <c r="AU29" s="31" t="s">
        <v>798</v>
      </c>
      <c r="AV29" s="31" t="s">
        <v>798</v>
      </c>
      <c r="AW29" s="31" t="s">
        <v>798</v>
      </c>
      <c r="AX29" s="31"/>
      <c r="AY29" s="31" t="s">
        <v>798</v>
      </c>
      <c r="AZ29" s="31"/>
      <c r="BA29" s="31" t="s">
        <v>798</v>
      </c>
      <c r="BB29" s="31" t="s">
        <v>798</v>
      </c>
      <c r="BC29" s="31" t="s">
        <v>798</v>
      </c>
      <c r="BD29" s="31" t="s">
        <v>798</v>
      </c>
      <c r="BE29" s="31"/>
      <c r="BF29" s="31" t="s">
        <v>798</v>
      </c>
      <c r="BG29" s="31" t="s">
        <v>798</v>
      </c>
      <c r="BH29" s="31" t="s">
        <v>798</v>
      </c>
      <c r="BI29" s="31" t="s">
        <v>798</v>
      </c>
      <c r="BJ29" s="31" t="s">
        <v>798</v>
      </c>
      <c r="BK29" s="31"/>
      <c r="BL29" s="31"/>
      <c r="BM29" s="31" t="s">
        <v>798</v>
      </c>
      <c r="BN29" s="31"/>
    </row>
    <row r="30" spans="1:81">
      <c r="A30" s="19" t="s">
        <v>28</v>
      </c>
      <c r="B30" s="5"/>
      <c r="C30" s="48">
        <v>9851255807</v>
      </c>
      <c r="D30" s="36">
        <v>189931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3">
        <f t="shared" si="1"/>
        <v>189931</v>
      </c>
      <c r="S30" s="19"/>
      <c r="T30" s="23">
        <f t="shared" si="0"/>
        <v>189931</v>
      </c>
      <c r="U30" s="31"/>
      <c r="V30" s="31"/>
      <c r="W30" s="31" t="s">
        <v>796</v>
      </c>
      <c r="X30" s="31" t="s">
        <v>793</v>
      </c>
      <c r="Y30" s="31" t="s">
        <v>793</v>
      </c>
      <c r="Z30" s="31" t="s">
        <v>793</v>
      </c>
      <c r="AA30" s="31" t="s">
        <v>793</v>
      </c>
      <c r="AB30" s="31" t="s">
        <v>828</v>
      </c>
      <c r="AC30" s="34"/>
      <c r="AD30" s="31" t="s">
        <v>796</v>
      </c>
      <c r="AE30" s="31" t="s">
        <v>796</v>
      </c>
      <c r="AF30" s="31" t="s">
        <v>796</v>
      </c>
      <c r="AG30" s="31" t="s">
        <v>796</v>
      </c>
      <c r="AH30" s="31" t="s">
        <v>796</v>
      </c>
      <c r="AI30" s="31" t="s">
        <v>796</v>
      </c>
      <c r="AJ30" s="31"/>
      <c r="AK30" s="31" t="s">
        <v>796</v>
      </c>
      <c r="AL30" s="31" t="s">
        <v>796</v>
      </c>
      <c r="AM30" s="31" t="s">
        <v>796</v>
      </c>
      <c r="AN30" s="31" t="s">
        <v>796</v>
      </c>
      <c r="AO30" s="31" t="s">
        <v>796</v>
      </c>
      <c r="AP30" s="31" t="s">
        <v>796</v>
      </c>
      <c r="AQ30" s="31"/>
      <c r="AR30" s="31" t="s">
        <v>796</v>
      </c>
      <c r="AS30" s="31" t="s">
        <v>796</v>
      </c>
      <c r="AT30" s="31" t="s">
        <v>796</v>
      </c>
      <c r="AU30" s="31" t="s">
        <v>796</v>
      </c>
      <c r="AV30" s="31" t="s">
        <v>796</v>
      </c>
      <c r="AW30" s="31" t="s">
        <v>796</v>
      </c>
      <c r="AX30" s="31"/>
      <c r="AY30" s="31" t="s">
        <v>796</v>
      </c>
      <c r="AZ30" s="31"/>
      <c r="BA30" s="31" t="s">
        <v>796</v>
      </c>
      <c r="BB30" s="31" t="s">
        <v>796</v>
      </c>
      <c r="BC30" s="31" t="s">
        <v>796</v>
      </c>
      <c r="BD30" s="31" t="s">
        <v>796</v>
      </c>
      <c r="BE30" s="31"/>
      <c r="BF30" s="31" t="s">
        <v>796</v>
      </c>
      <c r="BG30" s="31" t="s">
        <v>796</v>
      </c>
      <c r="BH30" s="31" t="s">
        <v>796</v>
      </c>
      <c r="BI30" s="31" t="s">
        <v>796</v>
      </c>
      <c r="BJ30" s="31" t="s">
        <v>796</v>
      </c>
      <c r="BK30" s="31" t="s">
        <v>796</v>
      </c>
      <c r="BL30" s="31"/>
      <c r="BM30" s="31" t="s">
        <v>796</v>
      </c>
      <c r="BN30" s="31"/>
    </row>
    <row r="31" spans="1:81">
      <c r="A31" s="12" t="s">
        <v>29</v>
      </c>
      <c r="B31" s="3"/>
      <c r="C31" s="24">
        <v>9856031670</v>
      </c>
      <c r="D31" s="8">
        <v>41280.26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23">
        <f t="shared" si="1"/>
        <v>41280.26</v>
      </c>
      <c r="S31" s="12">
        <f>BI31</f>
        <v>41280</v>
      </c>
      <c r="T31" s="23">
        <f t="shared" si="0"/>
        <v>0.26000000000203727</v>
      </c>
      <c r="U31" s="31"/>
      <c r="V31" s="31"/>
      <c r="W31" s="31">
        <v>10</v>
      </c>
      <c r="X31" s="33"/>
      <c r="Y31" s="33"/>
      <c r="Z31" s="33"/>
      <c r="AA31" s="33"/>
      <c r="AB31" s="34"/>
      <c r="AC31" s="34"/>
      <c r="AD31" s="31" t="s">
        <v>794</v>
      </c>
      <c r="AE31" s="31" t="s">
        <v>794</v>
      </c>
      <c r="AF31" s="31" t="s">
        <v>794</v>
      </c>
      <c r="AG31" s="31" t="s">
        <v>794</v>
      </c>
      <c r="AH31" s="31" t="s">
        <v>794</v>
      </c>
      <c r="AI31" s="31" t="s">
        <v>794</v>
      </c>
      <c r="AJ31" s="31"/>
      <c r="AK31" s="31" t="s">
        <v>794</v>
      </c>
      <c r="AL31" s="31" t="s">
        <v>794</v>
      </c>
      <c r="AM31" s="34">
        <v>25</v>
      </c>
      <c r="AN31" s="34"/>
      <c r="AO31" s="34"/>
      <c r="AP31" s="34"/>
      <c r="AQ31" s="34"/>
      <c r="AR31" s="34"/>
      <c r="AS31" s="31" t="s">
        <v>794</v>
      </c>
      <c r="AT31" s="31" t="s">
        <v>794</v>
      </c>
      <c r="AU31" s="31" t="s">
        <v>794</v>
      </c>
      <c r="AV31" s="31" t="s">
        <v>794</v>
      </c>
      <c r="AW31" s="31" t="s">
        <v>794</v>
      </c>
      <c r="AX31" s="31"/>
      <c r="AY31" s="31" t="s">
        <v>794</v>
      </c>
      <c r="AZ31" s="31"/>
      <c r="BA31" s="31" t="s">
        <v>794</v>
      </c>
      <c r="BB31" s="34" t="s">
        <v>786</v>
      </c>
      <c r="BC31" s="34"/>
      <c r="BD31" s="34"/>
      <c r="BE31" s="34"/>
      <c r="BF31" s="31" t="s">
        <v>794</v>
      </c>
      <c r="BG31" s="31" t="s">
        <v>794</v>
      </c>
      <c r="BH31" s="31" t="s">
        <v>794</v>
      </c>
      <c r="BI31" s="31">
        <v>41280</v>
      </c>
      <c r="BJ31" s="31"/>
      <c r="BK31" s="31"/>
      <c r="BL31" s="31"/>
      <c r="BM31" s="31"/>
      <c r="BN31" s="31"/>
    </row>
    <row r="32" spans="1:81">
      <c r="A32" s="12" t="s">
        <v>30</v>
      </c>
      <c r="B32" s="18"/>
      <c r="C32" s="72">
        <v>9847007976</v>
      </c>
      <c r="D32" s="8">
        <v>15500</v>
      </c>
      <c r="E32" s="12"/>
      <c r="F32" s="12"/>
      <c r="G32" s="12"/>
      <c r="H32" s="2">
        <v>15500</v>
      </c>
      <c r="I32" s="12"/>
      <c r="J32" s="12"/>
      <c r="K32" s="12"/>
      <c r="L32" s="12"/>
      <c r="M32" s="12"/>
      <c r="N32" s="12"/>
      <c r="O32" s="12"/>
      <c r="P32" s="12"/>
      <c r="Q32" s="12"/>
      <c r="R32" s="23">
        <f t="shared" si="1"/>
        <v>31000</v>
      </c>
      <c r="S32" s="12">
        <f>AI32</f>
        <v>15500</v>
      </c>
      <c r="T32" s="12">
        <f t="shared" si="0"/>
        <v>15500</v>
      </c>
      <c r="U32" s="32">
        <v>15</v>
      </c>
      <c r="V32" s="33"/>
      <c r="W32" s="33"/>
      <c r="X32" s="33"/>
      <c r="Y32" s="33"/>
      <c r="Z32" s="33"/>
      <c r="AA32" s="33"/>
      <c r="AB32" s="34"/>
      <c r="AC32" s="34"/>
      <c r="AD32" s="34"/>
      <c r="AE32" s="34"/>
      <c r="AF32" s="34"/>
      <c r="AG32" s="34"/>
      <c r="AH32" s="62"/>
      <c r="AI32" s="62">
        <v>15500</v>
      </c>
      <c r="AJ32" s="31"/>
      <c r="AK32" s="31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>
        <v>4</v>
      </c>
      <c r="BA32" s="34"/>
      <c r="BB32" s="34"/>
      <c r="BC32" s="34" t="s">
        <v>4</v>
      </c>
      <c r="BD32" s="34">
        <v>18</v>
      </c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1" t="s">
        <v>4</v>
      </c>
    </row>
    <row r="33" spans="1:78">
      <c r="A33" s="23" t="s">
        <v>850</v>
      </c>
      <c r="B33" s="29"/>
      <c r="C33" s="29"/>
      <c r="D33" s="23"/>
      <c r="E33" s="23">
        <v>137700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>
        <f t="shared" si="1"/>
        <v>137700</v>
      </c>
      <c r="S33" s="23">
        <f>BK33</f>
        <v>137700</v>
      </c>
      <c r="T33" s="23">
        <f t="shared" si="0"/>
        <v>0</v>
      </c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 t="s">
        <v>832</v>
      </c>
      <c r="AZ33" s="46"/>
      <c r="BA33" s="46" t="s">
        <v>832</v>
      </c>
      <c r="BB33" s="46" t="s">
        <v>832</v>
      </c>
      <c r="BC33" s="46" t="s">
        <v>832</v>
      </c>
      <c r="BD33" s="46" t="s">
        <v>832</v>
      </c>
      <c r="BE33" s="46"/>
      <c r="BF33" s="46" t="s">
        <v>832</v>
      </c>
      <c r="BG33" s="46" t="s">
        <v>832</v>
      </c>
      <c r="BH33" s="46" t="s">
        <v>832</v>
      </c>
      <c r="BI33" s="46" t="s">
        <v>832</v>
      </c>
      <c r="BJ33" s="46" t="s">
        <v>832</v>
      </c>
      <c r="BK33" s="46">
        <v>137700</v>
      </c>
    </row>
    <row r="34" spans="1:78">
      <c r="A34" s="12" t="s">
        <v>31</v>
      </c>
      <c r="B34" s="3"/>
      <c r="C34" s="24" t="s">
        <v>32</v>
      </c>
      <c r="D34" s="8">
        <v>18304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23">
        <f t="shared" si="1"/>
        <v>18304</v>
      </c>
      <c r="S34" s="12"/>
      <c r="T34" s="23">
        <f t="shared" si="0"/>
        <v>18304</v>
      </c>
      <c r="U34" s="31"/>
      <c r="V34" s="31"/>
      <c r="W34" s="33" t="s">
        <v>796</v>
      </c>
      <c r="X34" s="31"/>
      <c r="Y34" s="31"/>
      <c r="Z34" s="31" t="s">
        <v>796</v>
      </c>
      <c r="AA34" s="31" t="s">
        <v>796</v>
      </c>
      <c r="AB34" s="31"/>
      <c r="AC34" s="34"/>
      <c r="AD34" s="31" t="s">
        <v>796</v>
      </c>
      <c r="AE34" s="31" t="s">
        <v>796</v>
      </c>
      <c r="AF34" s="31" t="s">
        <v>796</v>
      </c>
      <c r="AG34" s="31"/>
      <c r="AH34" s="31"/>
      <c r="AI34" s="31" t="s">
        <v>796</v>
      </c>
      <c r="AJ34" s="31" t="s">
        <v>796</v>
      </c>
      <c r="AK34" s="31" t="s">
        <v>796</v>
      </c>
      <c r="AL34" s="31" t="s">
        <v>874</v>
      </c>
      <c r="AM34" s="31" t="s">
        <v>796</v>
      </c>
      <c r="AN34" s="31" t="s">
        <v>796</v>
      </c>
      <c r="AO34" s="31" t="s">
        <v>796</v>
      </c>
      <c r="AP34" s="31" t="s">
        <v>796</v>
      </c>
      <c r="AQ34" s="31"/>
      <c r="AR34" s="31" t="s">
        <v>796</v>
      </c>
      <c r="AS34" s="31" t="s">
        <v>796</v>
      </c>
      <c r="AT34" s="31" t="s">
        <v>796</v>
      </c>
      <c r="AU34" s="31" t="s">
        <v>796</v>
      </c>
      <c r="AV34" s="31" t="s">
        <v>796</v>
      </c>
      <c r="AW34" s="31" t="s">
        <v>796</v>
      </c>
      <c r="AX34" s="31"/>
      <c r="AY34" s="31" t="s">
        <v>796</v>
      </c>
      <c r="AZ34" s="31"/>
      <c r="BA34" s="31" t="s">
        <v>796</v>
      </c>
      <c r="BB34" s="31" t="s">
        <v>796</v>
      </c>
      <c r="BC34" s="31" t="s">
        <v>796</v>
      </c>
      <c r="BD34" s="31" t="s">
        <v>796</v>
      </c>
      <c r="BE34" s="31"/>
      <c r="BF34" s="31" t="s">
        <v>796</v>
      </c>
      <c r="BG34" s="31" t="s">
        <v>796</v>
      </c>
      <c r="BH34" s="31" t="s">
        <v>796</v>
      </c>
      <c r="BI34" s="31" t="s">
        <v>796</v>
      </c>
      <c r="BJ34" s="31" t="s">
        <v>796</v>
      </c>
      <c r="BK34" s="31"/>
      <c r="BL34" s="31"/>
      <c r="BM34" s="31" t="s">
        <v>796</v>
      </c>
      <c r="BN34" s="31"/>
    </row>
    <row r="35" spans="1:78">
      <c r="A35" s="12" t="s">
        <v>791</v>
      </c>
      <c r="B35" s="3"/>
      <c r="C35" s="3">
        <v>9847023580</v>
      </c>
      <c r="D35" s="2"/>
      <c r="E35" s="2">
        <v>25340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23">
        <f t="shared" si="1"/>
        <v>25340</v>
      </c>
      <c r="S35" s="12"/>
      <c r="T35" s="12">
        <f t="shared" si="0"/>
        <v>25340</v>
      </c>
      <c r="U35" s="34" t="s">
        <v>792</v>
      </c>
      <c r="V35" s="34"/>
      <c r="W35" s="34"/>
      <c r="X35" s="34"/>
      <c r="Y35" s="34"/>
      <c r="Z35" s="33"/>
      <c r="AA35" s="33"/>
      <c r="AB35" s="34"/>
      <c r="AC35" s="34"/>
      <c r="AD35" s="34"/>
      <c r="AE35" s="34"/>
      <c r="AF35" s="34"/>
      <c r="AG35" s="34"/>
      <c r="AH35" s="31"/>
      <c r="AI35" s="31" t="s">
        <v>794</v>
      </c>
      <c r="AJ35" s="31"/>
      <c r="AK35" s="31"/>
      <c r="AL35" s="31" t="s">
        <v>796</v>
      </c>
      <c r="AM35" s="31" t="s">
        <v>794</v>
      </c>
      <c r="AN35" s="31" t="s">
        <v>794</v>
      </c>
      <c r="AO35" s="31" t="s">
        <v>794</v>
      </c>
      <c r="AP35" s="31" t="s">
        <v>794</v>
      </c>
      <c r="AQ35" s="31"/>
      <c r="AR35" s="31" t="s">
        <v>794</v>
      </c>
      <c r="AS35" s="31" t="s">
        <v>794</v>
      </c>
      <c r="AT35" s="31" t="s">
        <v>794</v>
      </c>
      <c r="AU35" s="31" t="s">
        <v>794</v>
      </c>
      <c r="AV35" s="31" t="s">
        <v>794</v>
      </c>
      <c r="AW35" s="31" t="s">
        <v>794</v>
      </c>
      <c r="AX35" s="31"/>
      <c r="AY35" s="31" t="s">
        <v>794</v>
      </c>
      <c r="AZ35" s="31"/>
      <c r="BA35" s="31" t="s">
        <v>794</v>
      </c>
      <c r="BB35" s="31" t="s">
        <v>794</v>
      </c>
      <c r="BC35" s="31" t="s">
        <v>794</v>
      </c>
      <c r="BD35" s="31" t="s">
        <v>796</v>
      </c>
      <c r="BE35" s="31"/>
      <c r="BF35" s="31" t="s">
        <v>796</v>
      </c>
      <c r="BG35" s="34" t="s">
        <v>807</v>
      </c>
      <c r="BH35" s="34"/>
      <c r="BI35" s="34"/>
      <c r="BJ35" s="34"/>
      <c r="BK35" s="34"/>
      <c r="BL35" s="34"/>
      <c r="BM35" s="34"/>
      <c r="BN35" s="34"/>
      <c r="BO35" s="34"/>
      <c r="BP35" s="34"/>
      <c r="BQ35" s="31" t="s">
        <v>4</v>
      </c>
    </row>
    <row r="36" spans="1:78">
      <c r="A36" s="12" t="s">
        <v>35</v>
      </c>
      <c r="B36" s="3"/>
      <c r="C36" s="24" t="s">
        <v>36</v>
      </c>
      <c r="D36" s="8">
        <v>40000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23">
        <f t="shared" si="1"/>
        <v>40000</v>
      </c>
      <c r="S36" s="12"/>
      <c r="T36" s="23">
        <f t="shared" si="0"/>
        <v>40000</v>
      </c>
      <c r="U36" s="31"/>
      <c r="V36" s="31"/>
      <c r="W36" s="31">
        <v>10</v>
      </c>
      <c r="X36" s="33"/>
      <c r="Y36" s="33"/>
      <c r="Z36" s="33"/>
      <c r="AA36" s="33"/>
      <c r="AB36" s="34"/>
      <c r="AC36" s="34"/>
      <c r="AD36" s="31" t="s">
        <v>795</v>
      </c>
      <c r="AE36" s="31" t="s">
        <v>795</v>
      </c>
      <c r="AF36" s="31" t="s">
        <v>795</v>
      </c>
      <c r="AG36" s="31"/>
      <c r="AH36" s="31" t="s">
        <v>795</v>
      </c>
      <c r="AI36" s="31" t="s">
        <v>795</v>
      </c>
      <c r="AJ36" s="31" t="s">
        <v>795</v>
      </c>
      <c r="AK36" s="31" t="s">
        <v>795</v>
      </c>
      <c r="AL36" s="31" t="s">
        <v>794</v>
      </c>
      <c r="AM36" s="31" t="s">
        <v>794</v>
      </c>
      <c r="AN36" s="31" t="s">
        <v>794</v>
      </c>
      <c r="AO36" s="31" t="s">
        <v>794</v>
      </c>
      <c r="AP36" s="31" t="s">
        <v>794</v>
      </c>
      <c r="AQ36" s="31"/>
      <c r="AR36" s="31" t="s">
        <v>794</v>
      </c>
      <c r="AS36" s="31" t="s">
        <v>795</v>
      </c>
      <c r="AT36" s="31" t="s">
        <v>795</v>
      </c>
      <c r="AU36" s="31" t="s">
        <v>795</v>
      </c>
      <c r="AV36" s="31" t="s">
        <v>795</v>
      </c>
      <c r="AW36" s="31" t="s">
        <v>793</v>
      </c>
      <c r="AX36" s="31"/>
      <c r="AY36" s="31" t="s">
        <v>794</v>
      </c>
      <c r="AZ36" s="31"/>
      <c r="BA36" s="31" t="s">
        <v>795</v>
      </c>
      <c r="BB36" s="31" t="s">
        <v>795</v>
      </c>
      <c r="BC36" s="31" t="s">
        <v>795</v>
      </c>
      <c r="BD36" s="31" t="s">
        <v>796</v>
      </c>
      <c r="BE36" s="31"/>
      <c r="BF36" s="31" t="s">
        <v>796</v>
      </c>
      <c r="BG36" s="31" t="s">
        <v>796</v>
      </c>
      <c r="BH36" s="31" t="s">
        <v>796</v>
      </c>
      <c r="BI36" s="31" t="s">
        <v>796</v>
      </c>
      <c r="BJ36" s="31" t="s">
        <v>796</v>
      </c>
      <c r="BK36" s="31"/>
      <c r="BL36" s="31"/>
      <c r="BM36" s="31" t="s">
        <v>795</v>
      </c>
      <c r="BN36" s="31"/>
    </row>
    <row r="37" spans="1:78">
      <c r="A37" s="12" t="s">
        <v>149</v>
      </c>
      <c r="B37" s="3"/>
      <c r="C37" s="3"/>
      <c r="D37" s="2"/>
      <c r="E37" s="2">
        <v>5400.07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3">
        <f t="shared" si="1"/>
        <v>5400.07</v>
      </c>
      <c r="S37" s="12"/>
      <c r="T37" s="23">
        <f t="shared" si="0"/>
        <v>5400.07</v>
      </c>
      <c r="U37" s="31"/>
      <c r="V37" s="31"/>
      <c r="W37" s="31"/>
      <c r="X37" s="33"/>
      <c r="Y37" s="33"/>
      <c r="Z37" s="33"/>
      <c r="AA37" s="33"/>
      <c r="AB37" s="34"/>
      <c r="AC37" s="34"/>
      <c r="AD37" s="31"/>
      <c r="AE37" s="31"/>
      <c r="AF37" s="31"/>
      <c r="AG37" s="31"/>
      <c r="AH37" s="34"/>
      <c r="AI37" s="34"/>
      <c r="AJ37" s="34"/>
      <c r="AK37" s="34"/>
      <c r="AL37" s="34"/>
      <c r="AM37" s="34">
        <v>25</v>
      </c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>
        <v>3</v>
      </c>
      <c r="BA37" s="34"/>
      <c r="BB37" s="34">
        <v>5</v>
      </c>
      <c r="BC37" s="34"/>
      <c r="BD37" s="34">
        <v>8</v>
      </c>
      <c r="BE37" s="34"/>
      <c r="BF37" s="34"/>
      <c r="BG37" s="34" t="s">
        <v>981</v>
      </c>
      <c r="BH37" s="34" t="s">
        <v>981</v>
      </c>
      <c r="BI37" s="34" t="s">
        <v>981</v>
      </c>
      <c r="BJ37" s="34" t="s">
        <v>800</v>
      </c>
      <c r="BK37" s="34"/>
      <c r="BL37" s="34"/>
      <c r="BM37" s="34"/>
      <c r="BN37" s="34"/>
      <c r="BO37" s="34"/>
      <c r="BP37" s="34"/>
      <c r="BQ37" s="34"/>
      <c r="BR37" s="34"/>
      <c r="BS37" s="31" t="s">
        <v>4</v>
      </c>
    </row>
    <row r="38" spans="1:78">
      <c r="A38" s="12" t="s">
        <v>37</v>
      </c>
      <c r="B38" s="3"/>
      <c r="C38" s="24">
        <v>9847119413</v>
      </c>
      <c r="D38" s="8">
        <v>20500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23">
        <f t="shared" si="1"/>
        <v>20500</v>
      </c>
      <c r="S38" s="12"/>
      <c r="T38" s="23">
        <f t="shared" si="0"/>
        <v>20500</v>
      </c>
      <c r="U38" s="32">
        <v>3</v>
      </c>
      <c r="V38" s="33"/>
      <c r="W38" s="31">
        <v>5</v>
      </c>
      <c r="X38" s="33"/>
      <c r="Y38" s="33">
        <v>9</v>
      </c>
      <c r="Z38" s="33"/>
      <c r="AA38" s="33"/>
      <c r="AB38" s="34"/>
      <c r="AC38" s="31"/>
      <c r="AD38" s="34">
        <v>14</v>
      </c>
      <c r="AE38" s="34"/>
      <c r="AF38" s="34"/>
      <c r="AG38" s="34"/>
      <c r="AH38" s="31"/>
      <c r="AI38" s="31"/>
      <c r="AJ38" s="31"/>
      <c r="AK38" s="31"/>
      <c r="AL38" s="34">
        <v>21</v>
      </c>
      <c r="AM38" s="34"/>
      <c r="AN38" s="34"/>
      <c r="AO38" s="31" t="s">
        <v>796</v>
      </c>
      <c r="AP38" s="31" t="s">
        <v>796</v>
      </c>
      <c r="AQ38" s="31"/>
      <c r="AR38" s="31" t="s">
        <v>796</v>
      </c>
      <c r="AS38" s="34">
        <v>28</v>
      </c>
      <c r="AT38" s="34"/>
      <c r="AU38" s="34"/>
      <c r="AV38" s="31">
        <v>30</v>
      </c>
      <c r="AW38" s="31"/>
      <c r="AX38" s="31"/>
      <c r="AY38" s="31"/>
      <c r="AZ38" s="31" t="s">
        <v>4</v>
      </c>
      <c r="BA38" s="34">
        <v>11</v>
      </c>
      <c r="BB38" s="34"/>
      <c r="BC38" s="34"/>
      <c r="BD38" s="34"/>
      <c r="BE38" s="34"/>
      <c r="BF38" s="34"/>
      <c r="BG38" s="34"/>
      <c r="BH38" s="34"/>
      <c r="BI38" s="34"/>
      <c r="BJ38" s="34">
        <v>17</v>
      </c>
      <c r="BK38" s="34"/>
      <c r="BL38" s="34"/>
      <c r="BM38" s="34"/>
      <c r="BN38" s="34"/>
      <c r="BO38" s="34"/>
      <c r="BP38" s="31" t="s">
        <v>4</v>
      </c>
    </row>
    <row r="39" spans="1:78">
      <c r="A39" s="19" t="s">
        <v>38</v>
      </c>
      <c r="B39" s="5"/>
      <c r="C39" s="48">
        <v>9857045260</v>
      </c>
      <c r="D39" s="36">
        <v>12000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3">
        <f t="shared" si="1"/>
        <v>12000</v>
      </c>
      <c r="S39" s="19"/>
      <c r="T39" s="19">
        <f t="shared" si="0"/>
        <v>12000</v>
      </c>
      <c r="U39" s="31"/>
      <c r="V39" s="31"/>
      <c r="W39" s="31" t="s">
        <v>795</v>
      </c>
      <c r="X39" s="31" t="s">
        <v>795</v>
      </c>
      <c r="Y39" s="31" t="s">
        <v>795</v>
      </c>
      <c r="Z39" s="31" t="s">
        <v>795</v>
      </c>
      <c r="AA39" s="31" t="s">
        <v>795</v>
      </c>
      <c r="AB39" s="31" t="s">
        <v>795</v>
      </c>
      <c r="AC39" s="34"/>
      <c r="AD39" s="31" t="s">
        <v>795</v>
      </c>
      <c r="AE39" s="31" t="s">
        <v>795</v>
      </c>
      <c r="AF39" s="31" t="s">
        <v>795</v>
      </c>
      <c r="AG39" s="31"/>
      <c r="AH39" s="31" t="s">
        <v>795</v>
      </c>
      <c r="AI39" s="31" t="s">
        <v>795</v>
      </c>
      <c r="AJ39" s="31"/>
      <c r="AK39" s="31" t="s">
        <v>795</v>
      </c>
      <c r="AL39" s="31" t="s">
        <v>794</v>
      </c>
      <c r="AM39" s="31" t="s">
        <v>794</v>
      </c>
      <c r="AN39" s="31" t="s">
        <v>794</v>
      </c>
      <c r="AO39" s="31" t="s">
        <v>794</v>
      </c>
      <c r="AP39" s="31" t="s">
        <v>794</v>
      </c>
      <c r="AQ39" s="31"/>
      <c r="AR39" s="31" t="s">
        <v>794</v>
      </c>
      <c r="AS39" s="31" t="s">
        <v>795</v>
      </c>
      <c r="AT39" s="31" t="s">
        <v>795</v>
      </c>
      <c r="AU39" s="31" t="s">
        <v>795</v>
      </c>
      <c r="AV39" s="31" t="s">
        <v>795</v>
      </c>
      <c r="AW39" s="31" t="s">
        <v>795</v>
      </c>
      <c r="AX39" s="31"/>
      <c r="AY39" s="31" t="s">
        <v>795</v>
      </c>
      <c r="AZ39" s="31"/>
      <c r="BA39" s="31" t="s">
        <v>795</v>
      </c>
      <c r="BB39" s="31" t="s">
        <v>795</v>
      </c>
      <c r="BC39" s="31" t="s">
        <v>795</v>
      </c>
      <c r="BD39" s="31" t="s">
        <v>795</v>
      </c>
      <c r="BE39" s="31"/>
      <c r="BF39" s="31" t="s">
        <v>795</v>
      </c>
      <c r="BG39" s="31" t="s">
        <v>795</v>
      </c>
      <c r="BH39" s="31" t="s">
        <v>795</v>
      </c>
      <c r="BI39" s="31" t="s">
        <v>795</v>
      </c>
      <c r="BJ39" s="31" t="s">
        <v>795</v>
      </c>
      <c r="BK39" s="31"/>
      <c r="BL39" s="31"/>
      <c r="BM39" s="31" t="s">
        <v>795</v>
      </c>
      <c r="BN39" s="31"/>
    </row>
    <row r="40" spans="1:78">
      <c r="A40" s="12" t="s">
        <v>1001</v>
      </c>
      <c r="B40" s="3"/>
      <c r="C40" s="18">
        <v>9857060879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3">
        <f t="shared" si="1"/>
        <v>0</v>
      </c>
      <c r="S40" s="12"/>
      <c r="T40" s="12">
        <f t="shared" si="0"/>
        <v>0</v>
      </c>
      <c r="U40" s="31"/>
      <c r="V40" s="31"/>
      <c r="W40" s="31"/>
      <c r="X40" s="31"/>
      <c r="Y40" s="31"/>
      <c r="Z40" s="31"/>
      <c r="AA40" s="31"/>
      <c r="AB40" s="31"/>
      <c r="AC40" s="34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4">
        <v>10</v>
      </c>
      <c r="BA40" s="34"/>
      <c r="BB40" s="34"/>
      <c r="BC40" s="34"/>
      <c r="BD40" s="34"/>
      <c r="BE40" s="34"/>
      <c r="BF40" s="34"/>
      <c r="BG40" s="34"/>
      <c r="BH40" s="34"/>
      <c r="BI40" s="34"/>
      <c r="BJ40" s="35" t="s">
        <v>996</v>
      </c>
      <c r="BK40" s="35"/>
      <c r="BL40" s="35"/>
      <c r="BM40" s="35" t="s">
        <v>996</v>
      </c>
    </row>
    <row r="41" spans="1:78" s="62" customFormat="1">
      <c r="A41" s="12" t="s">
        <v>39</v>
      </c>
      <c r="B41" s="3"/>
      <c r="C41" s="24" t="s">
        <v>40</v>
      </c>
      <c r="D41" s="8">
        <v>130460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23">
        <f t="shared" si="1"/>
        <v>130460</v>
      </c>
      <c r="S41" s="12"/>
      <c r="T41" s="23">
        <f t="shared" si="0"/>
        <v>130460</v>
      </c>
      <c r="U41" s="31"/>
      <c r="V41" s="31"/>
      <c r="W41" s="31">
        <v>10</v>
      </c>
      <c r="X41" s="33"/>
      <c r="Y41" s="33"/>
      <c r="Z41" s="33"/>
      <c r="AA41" s="33"/>
      <c r="AB41" s="34"/>
      <c r="AC41" s="34"/>
      <c r="AD41" s="34">
        <v>15</v>
      </c>
      <c r="AE41" s="34"/>
      <c r="AF41" s="34"/>
      <c r="AG41" s="34"/>
      <c r="AH41" s="31"/>
      <c r="AI41" s="31"/>
      <c r="AJ41" s="31"/>
      <c r="AK41" s="31"/>
      <c r="AL41" s="31" t="s">
        <v>793</v>
      </c>
      <c r="AM41" s="31" t="s">
        <v>796</v>
      </c>
      <c r="AN41" s="31" t="s">
        <v>796</v>
      </c>
      <c r="AO41" s="31" t="s">
        <v>796</v>
      </c>
      <c r="AP41" s="31" t="s">
        <v>796</v>
      </c>
      <c r="AQ41" s="31"/>
      <c r="AR41" s="31" t="s">
        <v>796</v>
      </c>
      <c r="AS41" s="31" t="s">
        <v>796</v>
      </c>
      <c r="AT41" s="31" t="s">
        <v>796</v>
      </c>
      <c r="AU41" s="34">
        <v>30</v>
      </c>
      <c r="AV41" s="34"/>
      <c r="AW41" s="34"/>
      <c r="AX41" s="34"/>
      <c r="AY41" s="34" t="s">
        <v>796</v>
      </c>
      <c r="AZ41" s="34"/>
      <c r="BA41" s="34"/>
      <c r="BB41" s="34"/>
      <c r="BC41" s="34"/>
      <c r="BD41" s="34">
        <v>8</v>
      </c>
      <c r="BE41" s="34"/>
      <c r="BF41" s="34"/>
      <c r="BG41" s="31"/>
      <c r="BH41" s="31"/>
      <c r="BI41" s="31" t="s">
        <v>796</v>
      </c>
      <c r="BJ41" s="31" t="s">
        <v>795</v>
      </c>
      <c r="BK41" s="31"/>
      <c r="BL41" s="31"/>
      <c r="BM41" s="31" t="s">
        <v>795</v>
      </c>
      <c r="BN41" s="31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</row>
    <row r="42" spans="1:78">
      <c r="A42" s="15" t="s">
        <v>136</v>
      </c>
      <c r="B42" s="16"/>
      <c r="C42" s="16">
        <v>9857021735</v>
      </c>
      <c r="D42" s="19">
        <v>-4000</v>
      </c>
      <c r="E42" s="12"/>
      <c r="F42" s="12"/>
      <c r="G42" s="12"/>
      <c r="H42" s="12"/>
      <c r="I42" s="12"/>
      <c r="J42" s="12"/>
      <c r="K42" s="12"/>
      <c r="L42" s="12"/>
      <c r="M42" s="15"/>
      <c r="N42" s="15"/>
      <c r="O42" s="15"/>
      <c r="P42" s="15"/>
      <c r="Q42" s="15"/>
      <c r="R42" s="23">
        <f t="shared" si="1"/>
        <v>-4000</v>
      </c>
      <c r="S42" s="15">
        <f>AM42</f>
        <v>2250</v>
      </c>
      <c r="T42" s="15">
        <f t="shared" si="0"/>
        <v>-6250</v>
      </c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31"/>
      <c r="AK42" s="14"/>
      <c r="AL42" s="14"/>
      <c r="AM42" s="62">
        <v>2250</v>
      </c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49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</row>
    <row r="43" spans="1:78" s="35" customFormat="1" ht="18.75">
      <c r="A43" s="79" t="s">
        <v>983</v>
      </c>
      <c r="B43" s="80"/>
      <c r="C43" s="80"/>
      <c r="D43" s="79">
        <v>898.82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3">
        <f t="shared" si="1"/>
        <v>898.82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K43" s="2"/>
      <c r="AL43" s="2"/>
      <c r="AZ43" s="81"/>
    </row>
    <row r="44" spans="1:78">
      <c r="A44" s="12" t="s">
        <v>42</v>
      </c>
      <c r="B44" s="3"/>
      <c r="C44" s="24">
        <v>9703547071</v>
      </c>
      <c r="D44" s="8">
        <v>37500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23">
        <f t="shared" si="1"/>
        <v>37500</v>
      </c>
      <c r="S44" s="12"/>
      <c r="T44" s="23">
        <f t="shared" si="0"/>
        <v>37500</v>
      </c>
      <c r="U44" s="31"/>
      <c r="V44" s="31"/>
      <c r="W44" s="31" t="s">
        <v>796</v>
      </c>
      <c r="X44" s="31" t="s">
        <v>795</v>
      </c>
      <c r="Y44" s="31" t="s">
        <v>796</v>
      </c>
      <c r="Z44" s="31" t="s">
        <v>796</v>
      </c>
      <c r="AA44" s="31" t="s">
        <v>796</v>
      </c>
      <c r="AB44" s="31" t="s">
        <v>795</v>
      </c>
      <c r="AC44" s="34"/>
      <c r="AD44" s="31" t="s">
        <v>796</v>
      </c>
      <c r="AE44" s="31" t="s">
        <v>796</v>
      </c>
      <c r="AF44" s="31" t="s">
        <v>796</v>
      </c>
      <c r="AG44" s="31"/>
      <c r="AH44" s="31" t="s">
        <v>796</v>
      </c>
      <c r="AI44" s="31" t="s">
        <v>796</v>
      </c>
      <c r="AJ44" s="31"/>
      <c r="AK44" s="31" t="s">
        <v>796</v>
      </c>
      <c r="AL44" s="31" t="s">
        <v>796</v>
      </c>
      <c r="AM44" s="31" t="s">
        <v>796</v>
      </c>
      <c r="AN44" s="31" t="s">
        <v>796</v>
      </c>
      <c r="AO44" s="31" t="s">
        <v>796</v>
      </c>
      <c r="AP44" s="31" t="s">
        <v>796</v>
      </c>
      <c r="AQ44" s="31"/>
      <c r="AR44" s="31" t="s">
        <v>796</v>
      </c>
      <c r="AS44" s="31" t="s">
        <v>796</v>
      </c>
      <c r="AT44" s="31" t="s">
        <v>796</v>
      </c>
      <c r="AU44" s="31" t="s">
        <v>796</v>
      </c>
      <c r="AV44" s="31" t="s">
        <v>796</v>
      </c>
      <c r="AW44" s="31" t="s">
        <v>796</v>
      </c>
      <c r="AX44" s="31"/>
      <c r="AY44" s="31" t="s">
        <v>796</v>
      </c>
      <c r="AZ44" s="31"/>
      <c r="BA44" s="31" t="s">
        <v>795</v>
      </c>
      <c r="BB44" s="31" t="s">
        <v>796</v>
      </c>
      <c r="BC44" s="31" t="s">
        <v>796</v>
      </c>
      <c r="BD44" s="31" t="s">
        <v>796</v>
      </c>
      <c r="BE44" s="31"/>
      <c r="BF44" s="31" t="s">
        <v>796</v>
      </c>
      <c r="BG44" s="31" t="s">
        <v>796</v>
      </c>
      <c r="BH44" s="31" t="s">
        <v>796</v>
      </c>
      <c r="BI44" s="31" t="s">
        <v>796</v>
      </c>
      <c r="BJ44" s="31" t="s">
        <v>796</v>
      </c>
      <c r="BK44" s="31" t="s">
        <v>795</v>
      </c>
      <c r="BL44" s="31"/>
      <c r="BM44" s="31" t="s">
        <v>796</v>
      </c>
      <c r="BN44" s="31"/>
    </row>
    <row r="45" spans="1:78">
      <c r="A45" s="12" t="s">
        <v>44</v>
      </c>
      <c r="B45" s="3"/>
      <c r="C45" s="24" t="s">
        <v>45</v>
      </c>
      <c r="D45" s="8">
        <v>263294.42</v>
      </c>
      <c r="E45" s="12"/>
      <c r="F45" s="12"/>
      <c r="G45" s="12"/>
      <c r="H45" s="12"/>
      <c r="I45" s="12"/>
      <c r="J45" s="12"/>
      <c r="K45" s="2">
        <v>27061</v>
      </c>
      <c r="L45" s="12"/>
      <c r="M45" s="12"/>
      <c r="N45" s="12"/>
      <c r="O45" s="12"/>
      <c r="P45" s="12"/>
      <c r="Q45" s="12"/>
      <c r="R45" s="23">
        <f t="shared" si="1"/>
        <v>290355.42</v>
      </c>
      <c r="S45" s="12">
        <f>AT45</f>
        <v>25000</v>
      </c>
      <c r="T45" s="23">
        <f t="shared" si="0"/>
        <v>265355.42</v>
      </c>
      <c r="U45" s="31"/>
      <c r="V45" s="31"/>
      <c r="W45" s="33">
        <v>6</v>
      </c>
      <c r="X45" s="33"/>
      <c r="Y45" s="33"/>
      <c r="Z45" s="34">
        <v>9</v>
      </c>
      <c r="AA45" s="34"/>
      <c r="AB45" s="34"/>
      <c r="AC45" s="31"/>
      <c r="AD45" s="34">
        <v>15</v>
      </c>
      <c r="AE45" s="34"/>
      <c r="AF45" s="34"/>
      <c r="AG45" s="34"/>
      <c r="AH45" s="34">
        <v>19</v>
      </c>
      <c r="AI45" s="34"/>
      <c r="AJ45" s="34"/>
      <c r="AK45" s="34"/>
      <c r="AL45" s="34"/>
      <c r="AM45" s="34">
        <v>23</v>
      </c>
      <c r="AN45" s="34"/>
      <c r="AO45" s="34"/>
      <c r="AP45" s="34"/>
      <c r="AQ45" s="31"/>
      <c r="AR45" s="34"/>
      <c r="AS45" s="34"/>
      <c r="AT45" s="1">
        <v>25000</v>
      </c>
      <c r="AU45" s="34"/>
      <c r="AV45" s="34"/>
      <c r="AW45" s="34"/>
      <c r="AX45" s="34"/>
      <c r="AY45" s="34"/>
      <c r="AZ45" s="34">
        <v>5</v>
      </c>
      <c r="BA45" s="34"/>
      <c r="BB45" s="34"/>
      <c r="BC45" s="34"/>
      <c r="BD45" s="34"/>
      <c r="BE45" s="34"/>
      <c r="BF45" s="34"/>
      <c r="BG45" s="31" t="s">
        <v>795</v>
      </c>
      <c r="BH45" s="31" t="s">
        <v>795</v>
      </c>
      <c r="BI45" s="31" t="s">
        <v>795</v>
      </c>
      <c r="BJ45" s="31" t="s">
        <v>795</v>
      </c>
      <c r="BK45" s="31" t="s">
        <v>795</v>
      </c>
      <c r="BL45" s="31"/>
      <c r="BM45" s="31" t="s">
        <v>795</v>
      </c>
      <c r="BN45" s="31"/>
    </row>
    <row r="46" spans="1:78">
      <c r="A46" s="12" t="s">
        <v>46</v>
      </c>
      <c r="B46" s="3"/>
      <c r="C46" s="24">
        <v>9857058123</v>
      </c>
      <c r="D46" s="12">
        <v>84244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23">
        <f t="shared" si="1"/>
        <v>84244</v>
      </c>
      <c r="S46" s="12"/>
      <c r="T46" s="23">
        <f t="shared" si="0"/>
        <v>84244</v>
      </c>
      <c r="U46" s="31"/>
      <c r="V46" s="31"/>
      <c r="W46" s="31" t="s">
        <v>796</v>
      </c>
      <c r="X46" s="31" t="s">
        <v>796</v>
      </c>
      <c r="Y46" s="31" t="s">
        <v>796</v>
      </c>
      <c r="Z46" s="31" t="s">
        <v>796</v>
      </c>
      <c r="AA46" s="31" t="s">
        <v>796</v>
      </c>
      <c r="AB46" s="34" t="s">
        <v>792</v>
      </c>
      <c r="AC46" s="34"/>
      <c r="AD46" s="34"/>
      <c r="AE46" s="34"/>
      <c r="AF46" s="34"/>
      <c r="AG46" s="34"/>
      <c r="AH46" s="34"/>
      <c r="AI46" s="31" t="s">
        <v>796</v>
      </c>
      <c r="AJ46" s="31"/>
      <c r="AK46" s="31" t="s">
        <v>796</v>
      </c>
      <c r="AL46" s="31" t="s">
        <v>796</v>
      </c>
      <c r="AM46" s="31" t="s">
        <v>796</v>
      </c>
      <c r="AN46" s="31" t="s">
        <v>796</v>
      </c>
      <c r="AO46" s="31" t="s">
        <v>796</v>
      </c>
      <c r="AP46" s="31" t="s">
        <v>796</v>
      </c>
      <c r="AQ46" s="31"/>
      <c r="AR46" s="31" t="s">
        <v>796</v>
      </c>
      <c r="AS46" s="31" t="s">
        <v>794</v>
      </c>
      <c r="AT46" s="31" t="s">
        <v>794</v>
      </c>
      <c r="AU46" s="31" t="s">
        <v>794</v>
      </c>
      <c r="AV46" s="31" t="s">
        <v>794</v>
      </c>
      <c r="AW46" s="31" t="s">
        <v>794</v>
      </c>
      <c r="AX46" s="31"/>
      <c r="AY46" s="31" t="s">
        <v>794</v>
      </c>
      <c r="AZ46" s="31"/>
      <c r="BA46" s="31" t="s">
        <v>796</v>
      </c>
      <c r="BB46" s="31" t="s">
        <v>796</v>
      </c>
      <c r="BC46" s="31" t="s">
        <v>796</v>
      </c>
      <c r="BD46" s="31" t="s">
        <v>796</v>
      </c>
      <c r="BE46" s="31"/>
      <c r="BF46" s="31" t="s">
        <v>796</v>
      </c>
      <c r="BG46" s="31" t="s">
        <v>796</v>
      </c>
      <c r="BH46" s="31" t="s">
        <v>796</v>
      </c>
      <c r="BI46" s="31" t="s">
        <v>796</v>
      </c>
      <c r="BJ46" s="31" t="s">
        <v>796</v>
      </c>
      <c r="BK46" s="31" t="s">
        <v>796</v>
      </c>
      <c r="BL46" s="31"/>
      <c r="BM46" s="31" t="s">
        <v>796</v>
      </c>
      <c r="BN46" s="31"/>
    </row>
    <row r="47" spans="1:78">
      <c r="A47" s="19" t="s">
        <v>137</v>
      </c>
      <c r="B47" s="5"/>
      <c r="C47" s="20">
        <v>9857060125</v>
      </c>
      <c r="D47" s="36">
        <v>5000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3">
        <f t="shared" si="1"/>
        <v>5000</v>
      </c>
      <c r="S47" s="19"/>
      <c r="T47" s="19">
        <f t="shared" si="0"/>
        <v>5000</v>
      </c>
      <c r="U47" s="49"/>
      <c r="V47" s="49"/>
      <c r="W47" s="49" t="s">
        <v>799</v>
      </c>
      <c r="X47" s="49"/>
      <c r="Y47" s="49" t="s">
        <v>799</v>
      </c>
      <c r="Z47" s="49" t="s">
        <v>799</v>
      </c>
      <c r="AA47" s="49" t="s">
        <v>799</v>
      </c>
      <c r="AB47" s="49" t="s">
        <v>799</v>
      </c>
      <c r="AC47" s="49"/>
      <c r="AD47" s="49" t="s">
        <v>799</v>
      </c>
      <c r="AE47" s="49" t="s">
        <v>799</v>
      </c>
      <c r="AF47" s="49" t="s">
        <v>799</v>
      </c>
      <c r="AG47" s="49" t="s">
        <v>799</v>
      </c>
      <c r="AH47" s="49" t="s">
        <v>799</v>
      </c>
      <c r="AI47" s="49" t="s">
        <v>799</v>
      </c>
      <c r="AJ47" s="49"/>
      <c r="AK47" s="49" t="s">
        <v>799</v>
      </c>
      <c r="AL47" s="49" t="s">
        <v>799</v>
      </c>
      <c r="AM47" s="49" t="s">
        <v>799</v>
      </c>
      <c r="AN47" s="49" t="s">
        <v>799</v>
      </c>
      <c r="AO47" s="49" t="s">
        <v>799</v>
      </c>
      <c r="AP47" s="49" t="s">
        <v>799</v>
      </c>
      <c r="AQ47" s="49"/>
      <c r="AR47" s="49" t="s">
        <v>799</v>
      </c>
      <c r="AS47" s="49" t="s">
        <v>799</v>
      </c>
      <c r="AT47" s="49" t="s">
        <v>799</v>
      </c>
      <c r="AU47" s="49" t="s">
        <v>799</v>
      </c>
      <c r="AV47" s="49" t="s">
        <v>799</v>
      </c>
      <c r="AW47" s="49" t="s">
        <v>799</v>
      </c>
      <c r="AX47" s="49"/>
      <c r="AY47" s="49" t="s">
        <v>799</v>
      </c>
      <c r="AZ47" s="31"/>
      <c r="BA47" s="31" t="s">
        <v>799</v>
      </c>
      <c r="BB47" s="31" t="s">
        <v>799</v>
      </c>
      <c r="BC47" s="31" t="s">
        <v>799</v>
      </c>
      <c r="BD47" s="31" t="s">
        <v>799</v>
      </c>
      <c r="BE47" s="31"/>
      <c r="BF47" s="31" t="s">
        <v>799</v>
      </c>
      <c r="BG47" s="31" t="s">
        <v>799</v>
      </c>
      <c r="BH47" s="31" t="s">
        <v>799</v>
      </c>
      <c r="BI47" s="31" t="s">
        <v>799</v>
      </c>
      <c r="BJ47" s="31" t="s">
        <v>799</v>
      </c>
      <c r="BK47" s="31"/>
      <c r="BL47" s="31"/>
      <c r="BM47" s="31" t="s">
        <v>799</v>
      </c>
      <c r="BN47" s="31"/>
    </row>
    <row r="48" spans="1:78" s="50" customFormat="1">
      <c r="A48" s="12" t="s">
        <v>47</v>
      </c>
      <c r="B48" s="3"/>
      <c r="C48" s="24" t="s">
        <v>48</v>
      </c>
      <c r="D48" s="8">
        <v>21512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3">
        <f t="shared" si="1"/>
        <v>21512</v>
      </c>
      <c r="S48" s="12"/>
      <c r="T48" s="23">
        <f t="shared" si="0"/>
        <v>21512</v>
      </c>
      <c r="U48" s="31"/>
      <c r="V48" s="31"/>
      <c r="W48" s="31" t="s">
        <v>796</v>
      </c>
      <c r="X48" s="31" t="s">
        <v>796</v>
      </c>
      <c r="Y48" s="31" t="s">
        <v>796</v>
      </c>
      <c r="Z48" s="31" t="s">
        <v>796</v>
      </c>
      <c r="AA48" s="31" t="s">
        <v>796</v>
      </c>
      <c r="AB48" s="31" t="s">
        <v>796</v>
      </c>
      <c r="AC48" s="31"/>
      <c r="AD48" s="31" t="s">
        <v>796</v>
      </c>
      <c r="AE48" s="31" t="s">
        <v>796</v>
      </c>
      <c r="AF48" s="31" t="s">
        <v>796</v>
      </c>
      <c r="AG48" s="31" t="s">
        <v>796</v>
      </c>
      <c r="AH48" s="31" t="s">
        <v>796</v>
      </c>
      <c r="AI48" s="31" t="s">
        <v>796</v>
      </c>
      <c r="AJ48" s="31"/>
      <c r="AK48" s="31" t="s">
        <v>796</v>
      </c>
      <c r="AL48" s="31" t="s">
        <v>796</v>
      </c>
      <c r="AM48" s="31" t="s">
        <v>796</v>
      </c>
      <c r="AN48" s="31" t="s">
        <v>796</v>
      </c>
      <c r="AO48" s="31" t="s">
        <v>796</v>
      </c>
      <c r="AP48" s="31" t="s">
        <v>796</v>
      </c>
      <c r="AQ48" s="31"/>
      <c r="AR48" s="31" t="s">
        <v>796</v>
      </c>
      <c r="AS48" s="31" t="s">
        <v>796</v>
      </c>
      <c r="AT48" s="31" t="s">
        <v>796</v>
      </c>
      <c r="AU48" s="31" t="s">
        <v>796</v>
      </c>
      <c r="AV48" s="31" t="s">
        <v>796</v>
      </c>
      <c r="AW48" s="31" t="s">
        <v>796</v>
      </c>
      <c r="AX48" s="31"/>
      <c r="AY48" s="31" t="s">
        <v>796</v>
      </c>
      <c r="AZ48" s="31"/>
      <c r="BA48" s="31" t="s">
        <v>796</v>
      </c>
      <c r="BB48" s="31" t="s">
        <v>796</v>
      </c>
      <c r="BC48" s="31" t="s">
        <v>796</v>
      </c>
      <c r="BD48" s="31" t="s">
        <v>796</v>
      </c>
      <c r="BE48" s="31"/>
      <c r="BF48" s="31" t="s">
        <v>796</v>
      </c>
      <c r="BG48" s="31" t="s">
        <v>796</v>
      </c>
      <c r="BH48" s="31" t="s">
        <v>796</v>
      </c>
      <c r="BI48" s="31" t="s">
        <v>796</v>
      </c>
      <c r="BJ48" s="31" t="s">
        <v>796</v>
      </c>
      <c r="BK48" s="31" t="s">
        <v>796</v>
      </c>
      <c r="BL48" s="31"/>
      <c r="BM48" s="31" t="s">
        <v>796</v>
      </c>
      <c r="BN48" s="31"/>
    </row>
    <row r="49" spans="1:66">
      <c r="A49" s="12" t="s">
        <v>49</v>
      </c>
      <c r="B49" s="3"/>
      <c r="C49" s="18" t="s">
        <v>50</v>
      </c>
      <c r="D49" s="12">
        <v>8930.4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23">
        <f t="shared" si="1"/>
        <v>8930.4</v>
      </c>
      <c r="S49" s="12"/>
      <c r="T49" s="23">
        <f t="shared" si="0"/>
        <v>8930.4</v>
      </c>
      <c r="U49" s="31"/>
      <c r="V49" s="31"/>
      <c r="W49" s="31" t="s">
        <v>796</v>
      </c>
      <c r="X49" s="31" t="s">
        <v>794</v>
      </c>
      <c r="Y49" s="31" t="s">
        <v>794</v>
      </c>
      <c r="Z49" s="31" t="s">
        <v>794</v>
      </c>
      <c r="AA49" s="31" t="s">
        <v>794</v>
      </c>
      <c r="AB49" s="31" t="s">
        <v>795</v>
      </c>
      <c r="AC49" s="31"/>
      <c r="AD49" s="31" t="s">
        <v>795</v>
      </c>
      <c r="AE49" s="31" t="s">
        <v>795</v>
      </c>
      <c r="AF49" s="31" t="s">
        <v>795</v>
      </c>
      <c r="AG49" s="31" t="s">
        <v>795</v>
      </c>
      <c r="AH49" s="31" t="s">
        <v>795</v>
      </c>
      <c r="AI49" s="31" t="s">
        <v>795</v>
      </c>
      <c r="AJ49" s="31"/>
      <c r="AK49" s="31" t="s">
        <v>795</v>
      </c>
      <c r="AL49" s="31" t="s">
        <v>795</v>
      </c>
      <c r="AM49" s="31" t="s">
        <v>794</v>
      </c>
      <c r="AN49" s="31" t="s">
        <v>794</v>
      </c>
      <c r="AO49" s="31" t="s">
        <v>794</v>
      </c>
      <c r="AP49" s="31" t="s">
        <v>794</v>
      </c>
      <c r="AQ49" s="31"/>
      <c r="AR49" s="31" t="s">
        <v>794</v>
      </c>
      <c r="AS49" s="31" t="s">
        <v>794</v>
      </c>
      <c r="AT49" s="31" t="s">
        <v>794</v>
      </c>
      <c r="AU49" s="31" t="s">
        <v>794</v>
      </c>
      <c r="AV49" s="31" t="s">
        <v>794</v>
      </c>
      <c r="AW49" s="31" t="s">
        <v>794</v>
      </c>
      <c r="AX49" s="31"/>
      <c r="AY49" s="31" t="s">
        <v>794</v>
      </c>
      <c r="AZ49" s="31"/>
      <c r="BA49" s="49" t="s">
        <v>796</v>
      </c>
      <c r="BB49" s="49" t="s">
        <v>796</v>
      </c>
      <c r="BC49" s="49" t="s">
        <v>796</v>
      </c>
      <c r="BD49" s="49" t="s">
        <v>796</v>
      </c>
      <c r="BE49" s="49"/>
      <c r="BF49" s="49" t="s">
        <v>796</v>
      </c>
      <c r="BG49" s="49" t="s">
        <v>796</v>
      </c>
      <c r="BH49" s="49" t="s">
        <v>796</v>
      </c>
      <c r="BI49" s="49" t="s">
        <v>796</v>
      </c>
      <c r="BJ49" s="49" t="s">
        <v>796</v>
      </c>
      <c r="BK49" s="49" t="s">
        <v>796</v>
      </c>
      <c r="BL49" s="49"/>
      <c r="BM49" s="49" t="s">
        <v>796</v>
      </c>
      <c r="BN49" s="49"/>
    </row>
    <row r="50" spans="1:66">
      <c r="A50" s="12" t="s">
        <v>51</v>
      </c>
      <c r="B50" s="3"/>
      <c r="C50" s="18" t="s">
        <v>52</v>
      </c>
      <c r="D50" s="8">
        <v>127395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23">
        <f t="shared" si="1"/>
        <v>127395</v>
      </c>
      <c r="S50" s="12"/>
      <c r="T50" s="23">
        <f t="shared" si="0"/>
        <v>127395</v>
      </c>
      <c r="U50" s="31"/>
      <c r="V50" s="31"/>
      <c r="W50" s="31" t="s">
        <v>797</v>
      </c>
      <c r="X50" s="31" t="s">
        <v>794</v>
      </c>
      <c r="Y50" s="31" t="s">
        <v>794</v>
      </c>
      <c r="Z50" s="31" t="s">
        <v>794</v>
      </c>
      <c r="AA50" s="31" t="s">
        <v>794</v>
      </c>
      <c r="AB50" s="31" t="s">
        <v>795</v>
      </c>
      <c r="AC50" s="31"/>
      <c r="AD50" s="31" t="s">
        <v>795</v>
      </c>
      <c r="AE50" s="31" t="s">
        <v>795</v>
      </c>
      <c r="AF50" s="31" t="s">
        <v>795</v>
      </c>
      <c r="AG50" s="31" t="s">
        <v>795</v>
      </c>
      <c r="AH50" s="31" t="s">
        <v>795</v>
      </c>
      <c r="AI50" s="31" t="s">
        <v>795</v>
      </c>
      <c r="AJ50" s="31"/>
      <c r="AK50" s="31" t="s">
        <v>795</v>
      </c>
      <c r="AL50" s="31" t="s">
        <v>795</v>
      </c>
      <c r="AM50" s="31" t="s">
        <v>794</v>
      </c>
      <c r="AN50" s="31" t="s">
        <v>794</v>
      </c>
      <c r="AO50" s="31" t="s">
        <v>794</v>
      </c>
      <c r="AP50" s="31" t="s">
        <v>794</v>
      </c>
      <c r="AQ50" s="31"/>
      <c r="AR50" s="31" t="s">
        <v>794</v>
      </c>
      <c r="AS50" s="31" t="s">
        <v>794</v>
      </c>
      <c r="AT50" s="31" t="s">
        <v>794</v>
      </c>
      <c r="AU50" s="31" t="s">
        <v>794</v>
      </c>
      <c r="AV50" s="31" t="s">
        <v>794</v>
      </c>
      <c r="AW50" s="31" t="s">
        <v>794</v>
      </c>
      <c r="AX50" s="31"/>
      <c r="AY50" s="31" t="s">
        <v>794</v>
      </c>
      <c r="AZ50" s="49"/>
      <c r="BA50" s="31" t="s">
        <v>795</v>
      </c>
      <c r="BB50" s="31" t="s">
        <v>795</v>
      </c>
      <c r="BC50" s="31" t="s">
        <v>795</v>
      </c>
      <c r="BD50" s="31" t="s">
        <v>795</v>
      </c>
      <c r="BE50" s="31"/>
      <c r="BF50" s="31" t="s">
        <v>795</v>
      </c>
      <c r="BG50" s="31" t="s">
        <v>795</v>
      </c>
      <c r="BH50" s="31" t="s">
        <v>795</v>
      </c>
      <c r="BI50" s="31" t="s">
        <v>795</v>
      </c>
      <c r="BJ50" s="31" t="s">
        <v>795</v>
      </c>
      <c r="BK50" s="31" t="s">
        <v>795</v>
      </c>
      <c r="BL50" s="31"/>
      <c r="BM50" s="31" t="s">
        <v>795</v>
      </c>
      <c r="BN50" s="31"/>
    </row>
    <row r="51" spans="1:66">
      <c r="A51" s="8" t="s">
        <v>5</v>
      </c>
      <c r="B51" s="24"/>
      <c r="C51" s="24">
        <v>9856052361</v>
      </c>
      <c r="D51" s="8">
        <v>22500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23">
        <f t="shared" si="1"/>
        <v>22500</v>
      </c>
      <c r="S51" s="8"/>
      <c r="T51" s="8">
        <f t="shared" si="0"/>
        <v>22500</v>
      </c>
      <c r="U51" s="34"/>
      <c r="V51" s="34"/>
      <c r="W51" s="34"/>
      <c r="X51" s="31" t="s">
        <v>806</v>
      </c>
      <c r="Y51" s="31" t="s">
        <v>806</v>
      </c>
      <c r="Z51" s="31" t="str">
        <f>Y51</f>
        <v>BATTERY RETURN</v>
      </c>
      <c r="AA51" s="21" t="str">
        <f>Z51</f>
        <v>BATTERY RETURN</v>
      </c>
      <c r="AF51" s="31"/>
      <c r="AG51" s="31"/>
      <c r="AH51" s="31" t="s">
        <v>866</v>
      </c>
      <c r="AI51" s="31" t="s">
        <v>866</v>
      </c>
      <c r="AJ51" s="31" t="s">
        <v>866</v>
      </c>
      <c r="AK51" s="31" t="s">
        <v>866</v>
      </c>
      <c r="AL51" s="31" t="s">
        <v>866</v>
      </c>
      <c r="AM51" s="31" t="s">
        <v>866</v>
      </c>
      <c r="AN51" s="31" t="s">
        <v>866</v>
      </c>
      <c r="AO51" s="31" t="s">
        <v>866</v>
      </c>
      <c r="AP51" s="31" t="s">
        <v>866</v>
      </c>
      <c r="AQ51" s="31"/>
      <c r="AR51" s="31" t="s">
        <v>866</v>
      </c>
      <c r="AS51" s="31" t="s">
        <v>866</v>
      </c>
      <c r="AT51" s="31" t="s">
        <v>866</v>
      </c>
      <c r="AU51" s="31" t="s">
        <v>866</v>
      </c>
      <c r="AV51" s="31" t="s">
        <v>866</v>
      </c>
      <c r="AW51" s="31" t="s">
        <v>866</v>
      </c>
      <c r="AX51" s="31"/>
      <c r="AY51" s="31" t="s">
        <v>866</v>
      </c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</row>
    <row r="52" spans="1:66">
      <c r="A52" s="15" t="s">
        <v>33</v>
      </c>
      <c r="B52" s="16"/>
      <c r="C52" s="16" t="s">
        <v>34</v>
      </c>
      <c r="D52" s="23">
        <v>-10038</v>
      </c>
      <c r="E52" s="8"/>
      <c r="F52" s="8"/>
      <c r="G52" s="8"/>
      <c r="H52" s="8"/>
      <c r="I52" s="8"/>
      <c r="J52" s="8"/>
      <c r="K52" s="8"/>
      <c r="L52" s="8"/>
      <c r="M52" s="15"/>
      <c r="N52" s="15"/>
      <c r="O52" s="15"/>
      <c r="P52" s="15"/>
      <c r="Q52" s="15"/>
      <c r="R52" s="23">
        <f t="shared" si="1"/>
        <v>-10038</v>
      </c>
      <c r="S52" s="15"/>
      <c r="T52" s="15">
        <f t="shared" ref="T52:T70" si="2">R52-S52</f>
        <v>-10038</v>
      </c>
      <c r="U52" s="31"/>
      <c r="V52" s="31"/>
      <c r="W52" s="33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</row>
    <row r="53" spans="1:66" ht="18.75">
      <c r="A53" s="79" t="s">
        <v>53</v>
      </c>
      <c r="B53" s="80"/>
      <c r="C53" s="80" t="s">
        <v>54</v>
      </c>
      <c r="D53" s="79">
        <v>30500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23">
        <f t="shared" si="1"/>
        <v>30500</v>
      </c>
      <c r="S53" s="6"/>
      <c r="T53" s="23">
        <f t="shared" si="2"/>
        <v>30500</v>
      </c>
      <c r="U53" s="31"/>
      <c r="V53" s="31"/>
      <c r="W53" s="31" t="s">
        <v>796</v>
      </c>
      <c r="X53" s="31" t="s">
        <v>793</v>
      </c>
      <c r="Y53" s="31"/>
      <c r="Z53" s="31" t="s">
        <v>793</v>
      </c>
      <c r="AA53" s="31" t="s">
        <v>793</v>
      </c>
      <c r="AB53" s="31" t="s">
        <v>812</v>
      </c>
      <c r="AC53" s="31"/>
      <c r="AD53" s="31" t="s">
        <v>812</v>
      </c>
      <c r="AE53" s="31" t="s">
        <v>812</v>
      </c>
      <c r="AF53" s="31" t="s">
        <v>812</v>
      </c>
      <c r="AG53" s="31" t="s">
        <v>793</v>
      </c>
      <c r="AH53" s="31" t="s">
        <v>793</v>
      </c>
      <c r="AI53" s="31" t="s">
        <v>793</v>
      </c>
      <c r="AJ53" s="31"/>
      <c r="AK53" s="31" t="s">
        <v>793</v>
      </c>
      <c r="AL53" s="31" t="s">
        <v>793</v>
      </c>
      <c r="AM53" s="31" t="s">
        <v>793</v>
      </c>
      <c r="AN53" s="31" t="s">
        <v>793</v>
      </c>
      <c r="AO53" s="31" t="s">
        <v>793</v>
      </c>
      <c r="AP53" s="31" t="s">
        <v>793</v>
      </c>
      <c r="AQ53" s="31"/>
      <c r="AR53" s="31" t="s">
        <v>793</v>
      </c>
      <c r="AS53" s="31" t="s">
        <v>793</v>
      </c>
      <c r="AT53" s="31" t="s">
        <v>793</v>
      </c>
      <c r="AU53" s="31" t="s">
        <v>793</v>
      </c>
      <c r="AV53" s="31" t="s">
        <v>793</v>
      </c>
      <c r="AW53" s="31" t="s">
        <v>793</v>
      </c>
      <c r="AX53" s="31"/>
      <c r="AY53" s="31" t="s">
        <v>793</v>
      </c>
      <c r="AZ53" s="31"/>
      <c r="BA53" s="31" t="s">
        <v>793</v>
      </c>
      <c r="BB53" s="31" t="s">
        <v>793</v>
      </c>
      <c r="BC53" s="31" t="s">
        <v>793</v>
      </c>
      <c r="BD53" s="31" t="s">
        <v>793</v>
      </c>
      <c r="BE53" s="31"/>
      <c r="BF53" s="31" t="s">
        <v>793</v>
      </c>
      <c r="BG53" s="31" t="s">
        <v>793</v>
      </c>
      <c r="BH53" s="31" t="s">
        <v>793</v>
      </c>
      <c r="BI53" s="31" t="s">
        <v>793</v>
      </c>
      <c r="BJ53" s="31" t="s">
        <v>793</v>
      </c>
      <c r="BK53" s="31"/>
      <c r="BL53" s="31"/>
      <c r="BM53" s="31" t="s">
        <v>793</v>
      </c>
      <c r="BN53" s="31"/>
    </row>
    <row r="54" spans="1:66">
      <c r="A54" s="2" t="s">
        <v>55</v>
      </c>
      <c r="B54" s="3"/>
      <c r="C54" s="3">
        <v>9857030891</v>
      </c>
      <c r="D54" s="8">
        <v>5000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23">
        <f t="shared" si="1"/>
        <v>5000</v>
      </c>
      <c r="S54" s="6"/>
      <c r="T54" s="23">
        <f t="shared" si="2"/>
        <v>5000</v>
      </c>
      <c r="U54" s="31"/>
      <c r="V54" s="31"/>
      <c r="W54" s="31" t="s">
        <v>796</v>
      </c>
      <c r="X54" s="31"/>
      <c r="Y54" s="31"/>
      <c r="Z54" s="31" t="s">
        <v>796</v>
      </c>
      <c r="AA54" s="31" t="s">
        <v>796</v>
      </c>
      <c r="AB54" s="31" t="s">
        <v>796</v>
      </c>
      <c r="AC54" s="31"/>
      <c r="AD54" s="31" t="s">
        <v>796</v>
      </c>
      <c r="AE54" s="31" t="s">
        <v>796</v>
      </c>
      <c r="AF54" s="31" t="s">
        <v>796</v>
      </c>
      <c r="AG54" s="31" t="s">
        <v>796</v>
      </c>
      <c r="AH54" s="31" t="s">
        <v>796</v>
      </c>
      <c r="AI54" s="31" t="s">
        <v>796</v>
      </c>
      <c r="AJ54" s="31"/>
      <c r="AK54" s="31" t="s">
        <v>796</v>
      </c>
      <c r="AL54" s="31" t="s">
        <v>796</v>
      </c>
      <c r="AM54" s="31" t="s">
        <v>796</v>
      </c>
      <c r="AN54" s="31" t="s">
        <v>796</v>
      </c>
      <c r="AO54" s="31" t="s">
        <v>796</v>
      </c>
      <c r="AP54" s="31" t="s">
        <v>796</v>
      </c>
      <c r="AQ54" s="31"/>
      <c r="AR54" s="31" t="s">
        <v>796</v>
      </c>
      <c r="AS54" s="31" t="s">
        <v>796</v>
      </c>
      <c r="AT54" s="31" t="s">
        <v>796</v>
      </c>
      <c r="AU54" s="31" t="s">
        <v>796</v>
      </c>
      <c r="AV54" s="31" t="s">
        <v>796</v>
      </c>
      <c r="AW54" s="31" t="s">
        <v>796</v>
      </c>
      <c r="AX54" s="31"/>
      <c r="AY54" s="31" t="s">
        <v>796</v>
      </c>
      <c r="AZ54" s="31"/>
      <c r="BA54" s="31" t="s">
        <v>796</v>
      </c>
      <c r="BB54" s="31" t="s">
        <v>796</v>
      </c>
      <c r="BC54" s="31" t="s">
        <v>796</v>
      </c>
      <c r="BD54" s="31" t="s">
        <v>796</v>
      </c>
      <c r="BE54" s="31"/>
      <c r="BF54" s="31" t="s">
        <v>796</v>
      </c>
      <c r="BG54" s="31" t="s">
        <v>796</v>
      </c>
      <c r="BH54" s="31" t="s">
        <v>796</v>
      </c>
      <c r="BI54" s="31" t="s">
        <v>796</v>
      </c>
      <c r="BJ54" s="31" t="s">
        <v>796</v>
      </c>
      <c r="BK54" s="31"/>
      <c r="BL54" s="31"/>
      <c r="BM54" s="31" t="s">
        <v>796</v>
      </c>
      <c r="BN54" s="31"/>
    </row>
    <row r="55" spans="1:66">
      <c r="A55" s="15" t="s">
        <v>56</v>
      </c>
      <c r="B55" s="16"/>
      <c r="C55" s="16">
        <v>9847532785</v>
      </c>
      <c r="D55" s="23">
        <v>-1000</v>
      </c>
      <c r="E55" s="8"/>
      <c r="F55" s="8"/>
      <c r="G55" s="8"/>
      <c r="H55" s="8"/>
      <c r="I55" s="8"/>
      <c r="J55" s="8"/>
      <c r="K55" s="8"/>
      <c r="L55" s="8"/>
      <c r="M55" s="15"/>
      <c r="N55" s="15"/>
      <c r="O55" s="15"/>
      <c r="P55" s="15"/>
      <c r="Q55" s="15"/>
      <c r="R55" s="23">
        <f t="shared" si="1"/>
        <v>-1000</v>
      </c>
      <c r="S55" s="15"/>
      <c r="T55" s="15">
        <f t="shared" si="2"/>
        <v>-1000</v>
      </c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</row>
    <row r="56" spans="1:66">
      <c r="A56" s="2" t="s">
        <v>58</v>
      </c>
      <c r="B56" s="3"/>
      <c r="C56" s="3" t="s">
        <v>59</v>
      </c>
      <c r="D56" s="8">
        <v>13000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23">
        <f t="shared" si="1"/>
        <v>13000</v>
      </c>
      <c r="S56" s="6"/>
      <c r="T56" s="23">
        <f t="shared" si="2"/>
        <v>13000</v>
      </c>
      <c r="U56" s="31"/>
      <c r="V56" s="31"/>
      <c r="W56" s="31" t="s">
        <v>796</v>
      </c>
      <c r="X56" s="31"/>
      <c r="Y56" s="31" t="s">
        <v>796</v>
      </c>
      <c r="Z56" s="31" t="s">
        <v>796</v>
      </c>
      <c r="AA56" s="31" t="s">
        <v>796</v>
      </c>
      <c r="AB56" s="31" t="s">
        <v>796</v>
      </c>
      <c r="AC56" s="31"/>
      <c r="AD56" s="31" t="s">
        <v>796</v>
      </c>
      <c r="AE56" s="31" t="s">
        <v>796</v>
      </c>
      <c r="AF56" s="31" t="s">
        <v>796</v>
      </c>
      <c r="AG56" s="31" t="s">
        <v>796</v>
      </c>
      <c r="AH56" s="31" t="s">
        <v>796</v>
      </c>
      <c r="AI56" s="31" t="s">
        <v>796</v>
      </c>
      <c r="AJ56" s="31"/>
      <c r="AK56" s="31" t="s">
        <v>796</v>
      </c>
      <c r="AL56" s="31" t="s">
        <v>796</v>
      </c>
      <c r="AM56" s="31" t="s">
        <v>796</v>
      </c>
      <c r="AN56" s="31" t="s">
        <v>796</v>
      </c>
      <c r="AO56" s="31" t="s">
        <v>796</v>
      </c>
      <c r="AP56" s="31" t="s">
        <v>796</v>
      </c>
      <c r="AQ56" s="31"/>
      <c r="AR56" s="31" t="s">
        <v>796</v>
      </c>
      <c r="AS56" s="31" t="s">
        <v>796</v>
      </c>
      <c r="AT56" s="31" t="s">
        <v>796</v>
      </c>
      <c r="AU56" s="31" t="s">
        <v>796</v>
      </c>
      <c r="AV56" s="31" t="s">
        <v>796</v>
      </c>
      <c r="AW56" s="31" t="s">
        <v>796</v>
      </c>
      <c r="AX56" s="31"/>
      <c r="AY56" s="31" t="s">
        <v>796</v>
      </c>
      <c r="AZ56" s="31"/>
      <c r="BA56" s="31" t="s">
        <v>795</v>
      </c>
      <c r="BB56" s="31" t="s">
        <v>796</v>
      </c>
      <c r="BC56" s="31" t="s">
        <v>796</v>
      </c>
      <c r="BD56" s="31" t="s">
        <v>796</v>
      </c>
      <c r="BE56" s="31"/>
      <c r="BF56" s="31" t="s">
        <v>796</v>
      </c>
      <c r="BG56" s="31" t="s">
        <v>796</v>
      </c>
      <c r="BH56" s="31" t="s">
        <v>796</v>
      </c>
      <c r="BI56" s="31" t="s">
        <v>796</v>
      </c>
      <c r="BJ56" s="31" t="s">
        <v>796</v>
      </c>
      <c r="BK56" s="31"/>
      <c r="BL56" s="31"/>
      <c r="BM56" s="31" t="s">
        <v>796</v>
      </c>
      <c r="BN56" s="31"/>
    </row>
    <row r="57" spans="1:66" s="50" customFormat="1">
      <c r="A57" s="2" t="s">
        <v>60</v>
      </c>
      <c r="B57" s="3"/>
      <c r="C57" s="3" t="s">
        <v>61</v>
      </c>
      <c r="D57" s="6">
        <v>25100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23">
        <f t="shared" si="1"/>
        <v>25100</v>
      </c>
      <c r="S57" s="6"/>
      <c r="T57" s="23">
        <f t="shared" si="2"/>
        <v>25100</v>
      </c>
      <c r="U57" s="31"/>
      <c r="V57" s="31"/>
      <c r="W57" s="31"/>
      <c r="X57" s="31"/>
      <c r="Y57" s="31"/>
      <c r="Z57" s="31"/>
      <c r="AA57" s="31"/>
      <c r="AB57" s="31" t="s">
        <v>796</v>
      </c>
      <c r="AC57" s="31"/>
      <c r="AD57" s="31" t="s">
        <v>796</v>
      </c>
      <c r="AE57" s="31" t="s">
        <v>796</v>
      </c>
      <c r="AF57" s="31" t="s">
        <v>796</v>
      </c>
      <c r="AG57" s="31" t="s">
        <v>796</v>
      </c>
      <c r="AH57" s="31" t="s">
        <v>796</v>
      </c>
      <c r="AI57" s="31" t="s">
        <v>796</v>
      </c>
      <c r="AJ57" s="31"/>
      <c r="AK57" s="31" t="s">
        <v>796</v>
      </c>
      <c r="AL57" s="31" t="s">
        <v>796</v>
      </c>
      <c r="AM57" s="31" t="s">
        <v>796</v>
      </c>
      <c r="AN57" s="31" t="s">
        <v>796</v>
      </c>
      <c r="AO57" s="31" t="s">
        <v>796</v>
      </c>
      <c r="AP57" s="31" t="s">
        <v>796</v>
      </c>
      <c r="AQ57" s="31"/>
      <c r="AR57" s="31" t="s">
        <v>796</v>
      </c>
      <c r="AS57" s="31" t="s">
        <v>796</v>
      </c>
      <c r="AT57" s="31" t="s">
        <v>796</v>
      </c>
      <c r="AU57" s="31" t="s">
        <v>796</v>
      </c>
      <c r="AV57" s="31" t="s">
        <v>796</v>
      </c>
      <c r="AW57" s="31" t="s">
        <v>796</v>
      </c>
      <c r="AX57" s="31"/>
      <c r="AY57" s="31" t="s">
        <v>796</v>
      </c>
      <c r="AZ57" s="31"/>
      <c r="BA57" s="49" t="s">
        <v>796</v>
      </c>
      <c r="BB57" s="49" t="s">
        <v>796</v>
      </c>
      <c r="BC57" s="49" t="s">
        <v>796</v>
      </c>
      <c r="BD57" s="49" t="s">
        <v>796</v>
      </c>
      <c r="BE57" s="49"/>
      <c r="BF57" s="49" t="s">
        <v>796</v>
      </c>
      <c r="BG57" s="49" t="s">
        <v>796</v>
      </c>
      <c r="BH57" s="49" t="s">
        <v>796</v>
      </c>
      <c r="BI57" s="49" t="s">
        <v>796</v>
      </c>
      <c r="BJ57" s="49" t="s">
        <v>796</v>
      </c>
      <c r="BK57" s="49"/>
      <c r="BL57" s="49"/>
      <c r="BM57" s="49" t="s">
        <v>796</v>
      </c>
      <c r="BN57" s="49"/>
    </row>
    <row r="58" spans="1:66">
      <c r="A58" s="2" t="s">
        <v>62</v>
      </c>
      <c r="B58" s="3"/>
      <c r="C58" s="3" t="s">
        <v>63</v>
      </c>
      <c r="D58" s="6">
        <v>5679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23">
        <f t="shared" si="1"/>
        <v>5679</v>
      </c>
      <c r="S58" s="6"/>
      <c r="T58" s="23">
        <f t="shared" si="2"/>
        <v>5679</v>
      </c>
      <c r="U58" s="31"/>
      <c r="V58" s="31"/>
      <c r="W58" s="31"/>
      <c r="X58" s="31"/>
      <c r="Y58" s="31"/>
      <c r="Z58" s="31"/>
      <c r="AA58" s="31"/>
      <c r="AB58" s="31" t="s">
        <v>796</v>
      </c>
      <c r="AC58" s="31"/>
      <c r="AD58" s="31" t="s">
        <v>796</v>
      </c>
      <c r="AE58" s="31" t="s">
        <v>796</v>
      </c>
      <c r="AF58" s="31" t="s">
        <v>796</v>
      </c>
      <c r="AG58" s="31" t="s">
        <v>796</v>
      </c>
      <c r="AH58" s="31" t="s">
        <v>796</v>
      </c>
      <c r="AI58" s="31" t="s">
        <v>796</v>
      </c>
      <c r="AJ58" s="31"/>
      <c r="AK58" s="31" t="s">
        <v>796</v>
      </c>
      <c r="AL58" s="31" t="s">
        <v>796</v>
      </c>
      <c r="AM58" s="31" t="s">
        <v>796</v>
      </c>
      <c r="AN58" s="31" t="s">
        <v>796</v>
      </c>
      <c r="AO58" s="31" t="s">
        <v>796</v>
      </c>
      <c r="AP58" s="31" t="s">
        <v>796</v>
      </c>
      <c r="AQ58" s="31"/>
      <c r="AR58" s="31" t="s">
        <v>796</v>
      </c>
      <c r="AS58" s="31" t="s">
        <v>796</v>
      </c>
      <c r="AT58" s="31" t="s">
        <v>796</v>
      </c>
      <c r="AU58" s="31" t="s">
        <v>796</v>
      </c>
      <c r="AV58" s="31" t="s">
        <v>796</v>
      </c>
      <c r="AW58" s="31" t="s">
        <v>796</v>
      </c>
      <c r="AX58" s="31"/>
      <c r="AY58" s="31" t="s">
        <v>796</v>
      </c>
      <c r="AZ58" s="31"/>
      <c r="BA58" s="31" t="s">
        <v>796</v>
      </c>
      <c r="BB58" s="31" t="s">
        <v>796</v>
      </c>
      <c r="BC58" s="31" t="s">
        <v>796</v>
      </c>
      <c r="BD58" s="31" t="s">
        <v>796</v>
      </c>
      <c r="BE58" s="31"/>
      <c r="BF58" s="31" t="s">
        <v>796</v>
      </c>
      <c r="BG58" s="31" t="s">
        <v>796</v>
      </c>
      <c r="BH58" s="31" t="s">
        <v>796</v>
      </c>
      <c r="BI58" s="31" t="s">
        <v>796</v>
      </c>
      <c r="BJ58" s="31" t="s">
        <v>796</v>
      </c>
      <c r="BK58" s="31"/>
      <c r="BL58" s="31"/>
      <c r="BM58" s="31" t="s">
        <v>796</v>
      </c>
      <c r="BN58" s="31"/>
    </row>
    <row r="59" spans="1:66">
      <c r="A59" s="2" t="s">
        <v>64</v>
      </c>
      <c r="B59" s="3"/>
      <c r="C59" s="3" t="s">
        <v>65</v>
      </c>
      <c r="D59" s="6">
        <v>4218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23">
        <f t="shared" si="1"/>
        <v>4218</v>
      </c>
      <c r="S59" s="6"/>
      <c r="T59" s="23">
        <f t="shared" si="2"/>
        <v>4218</v>
      </c>
      <c r="U59" s="31"/>
      <c r="V59" s="31"/>
      <c r="W59" s="31"/>
      <c r="X59" s="31"/>
      <c r="Y59" s="31"/>
      <c r="Z59" s="31"/>
      <c r="AA59" s="31"/>
      <c r="AB59" s="31" t="s">
        <v>795</v>
      </c>
      <c r="AC59" s="31"/>
      <c r="AD59" s="31" t="s">
        <v>795</v>
      </c>
      <c r="AE59" s="31" t="s">
        <v>795</v>
      </c>
      <c r="AF59" s="31" t="s">
        <v>795</v>
      </c>
      <c r="AG59" s="31" t="s">
        <v>795</v>
      </c>
      <c r="AH59" s="31" t="s">
        <v>795</v>
      </c>
      <c r="AI59" s="31" t="s">
        <v>795</v>
      </c>
      <c r="AJ59" s="31"/>
      <c r="AK59" s="31" t="s">
        <v>795</v>
      </c>
      <c r="AL59" s="31" t="s">
        <v>795</v>
      </c>
      <c r="AM59" s="31" t="s">
        <v>796</v>
      </c>
      <c r="AN59" s="31" t="s">
        <v>796</v>
      </c>
      <c r="AO59" s="31" t="s">
        <v>796</v>
      </c>
      <c r="AP59" s="31" t="s">
        <v>796</v>
      </c>
      <c r="AQ59" s="31"/>
      <c r="AR59" s="31" t="s">
        <v>796</v>
      </c>
      <c r="AS59" s="31" t="s">
        <v>796</v>
      </c>
      <c r="AT59" s="31" t="s">
        <v>796</v>
      </c>
      <c r="AU59" s="31" t="s">
        <v>796</v>
      </c>
      <c r="AV59" s="31" t="s">
        <v>796</v>
      </c>
      <c r="AW59" s="31" t="s">
        <v>796</v>
      </c>
      <c r="AX59" s="31"/>
      <c r="AY59" s="31" t="s">
        <v>796</v>
      </c>
      <c r="AZ59" s="49"/>
      <c r="BA59" s="31" t="s">
        <v>796</v>
      </c>
      <c r="BB59" s="31" t="s">
        <v>796</v>
      </c>
      <c r="BC59" s="31" t="s">
        <v>796</v>
      </c>
      <c r="BD59" s="31" t="s">
        <v>796</v>
      </c>
      <c r="BE59" s="31"/>
      <c r="BF59" s="31" t="s">
        <v>796</v>
      </c>
      <c r="BG59" s="31" t="s">
        <v>796</v>
      </c>
      <c r="BH59" s="31" t="s">
        <v>796</v>
      </c>
      <c r="BI59" s="31" t="s">
        <v>796</v>
      </c>
      <c r="BJ59" s="31" t="s">
        <v>796</v>
      </c>
      <c r="BK59" s="31"/>
      <c r="BL59" s="31"/>
      <c r="BM59" s="31" t="s">
        <v>796</v>
      </c>
      <c r="BN59" s="31"/>
    </row>
    <row r="60" spans="1:66">
      <c r="A60" s="2" t="s">
        <v>66</v>
      </c>
      <c r="B60" s="3"/>
      <c r="C60" s="3" t="s">
        <v>67</v>
      </c>
      <c r="D60" s="6">
        <v>11000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23">
        <f t="shared" si="1"/>
        <v>11000</v>
      </c>
      <c r="S60" s="6"/>
      <c r="T60" s="23">
        <f t="shared" si="2"/>
        <v>11000</v>
      </c>
      <c r="U60" s="31"/>
      <c r="V60" s="31"/>
      <c r="W60" s="31"/>
      <c r="X60" s="31"/>
      <c r="Y60" s="31"/>
      <c r="Z60" s="31"/>
      <c r="AA60" s="31"/>
      <c r="AB60" s="31" t="s">
        <v>812</v>
      </c>
      <c r="AC60" s="31"/>
      <c r="AD60" s="31" t="s">
        <v>812</v>
      </c>
      <c r="AE60" s="31" t="s">
        <v>812</v>
      </c>
      <c r="AF60" s="31" t="s">
        <v>812</v>
      </c>
      <c r="AG60" s="31" t="s">
        <v>793</v>
      </c>
      <c r="AH60" s="31" t="s">
        <v>793</v>
      </c>
      <c r="AI60" s="31" t="s">
        <v>793</v>
      </c>
      <c r="AJ60" s="31"/>
      <c r="AK60" s="31" t="s">
        <v>793</v>
      </c>
      <c r="AL60" s="31" t="s">
        <v>793</v>
      </c>
      <c r="AM60" s="31" t="s">
        <v>796</v>
      </c>
      <c r="AN60" s="31" t="s">
        <v>796</v>
      </c>
      <c r="AO60" s="31" t="s">
        <v>796</v>
      </c>
      <c r="AP60" s="31" t="s">
        <v>796</v>
      </c>
      <c r="AQ60" s="31"/>
      <c r="AR60" s="31" t="s">
        <v>796</v>
      </c>
      <c r="AS60" s="31" t="s">
        <v>796</v>
      </c>
      <c r="AT60" s="31" t="s">
        <v>796</v>
      </c>
      <c r="AU60" s="31" t="s">
        <v>796</v>
      </c>
      <c r="AV60" s="31" t="s">
        <v>796</v>
      </c>
      <c r="AW60" s="31" t="s">
        <v>796</v>
      </c>
      <c r="AX60" s="31"/>
      <c r="AY60" s="31" t="s">
        <v>796</v>
      </c>
      <c r="AZ60" s="31"/>
      <c r="BA60" s="31" t="s">
        <v>796</v>
      </c>
      <c r="BB60" s="31" t="s">
        <v>796</v>
      </c>
      <c r="BC60" s="31" t="s">
        <v>796</v>
      </c>
      <c r="BD60" s="31" t="s">
        <v>796</v>
      </c>
      <c r="BE60" s="31"/>
      <c r="BF60" s="31" t="s">
        <v>796</v>
      </c>
      <c r="BG60" s="31" t="s">
        <v>796</v>
      </c>
      <c r="BH60" s="31" t="s">
        <v>796</v>
      </c>
      <c r="BI60" s="31" t="s">
        <v>796</v>
      </c>
      <c r="BJ60" s="31" t="s">
        <v>796</v>
      </c>
      <c r="BK60" s="31"/>
      <c r="BL60" s="31"/>
      <c r="BM60" s="31" t="s">
        <v>796</v>
      </c>
      <c r="BN60" s="31"/>
    </row>
    <row r="61" spans="1:66" s="50" customFormat="1">
      <c r="A61" s="2" t="s">
        <v>68</v>
      </c>
      <c r="B61" s="3"/>
      <c r="C61" s="3">
        <v>9857020336</v>
      </c>
      <c r="D61" s="6">
        <v>31701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23">
        <f t="shared" si="1"/>
        <v>31701</v>
      </c>
      <c r="S61" s="6"/>
      <c r="T61" s="23">
        <f t="shared" si="2"/>
        <v>31701</v>
      </c>
      <c r="U61" s="31"/>
      <c r="V61" s="31"/>
      <c r="W61" s="31" t="s">
        <v>796</v>
      </c>
      <c r="X61" s="31"/>
      <c r="Y61" s="31" t="s">
        <v>796</v>
      </c>
      <c r="Z61" s="31" t="s">
        <v>796</v>
      </c>
      <c r="AA61" s="31" t="s">
        <v>796</v>
      </c>
      <c r="AB61" s="31" t="s">
        <v>796</v>
      </c>
      <c r="AC61" s="31"/>
      <c r="AD61" s="31" t="s">
        <v>796</v>
      </c>
      <c r="AE61" s="31" t="s">
        <v>796</v>
      </c>
      <c r="AF61" s="31" t="s">
        <v>796</v>
      </c>
      <c r="AG61" s="31" t="s">
        <v>796</v>
      </c>
      <c r="AH61" s="31" t="s">
        <v>796</v>
      </c>
      <c r="AI61" s="31" t="s">
        <v>796</v>
      </c>
      <c r="AJ61" s="31"/>
      <c r="AK61" s="31" t="s">
        <v>796</v>
      </c>
      <c r="AL61" s="31" t="s">
        <v>796</v>
      </c>
      <c r="AM61" s="31" t="s">
        <v>796</v>
      </c>
      <c r="AN61" s="31" t="s">
        <v>796</v>
      </c>
      <c r="AO61" s="31" t="s">
        <v>796</v>
      </c>
      <c r="AP61" s="31" t="s">
        <v>796</v>
      </c>
      <c r="AQ61" s="31"/>
      <c r="AR61" s="31" t="s">
        <v>796</v>
      </c>
      <c r="AS61" s="31" t="s">
        <v>796</v>
      </c>
      <c r="AT61" s="31" t="s">
        <v>796</v>
      </c>
      <c r="AU61" s="31" t="s">
        <v>796</v>
      </c>
      <c r="AV61" s="31" t="s">
        <v>796</v>
      </c>
      <c r="AW61" s="31" t="s">
        <v>796</v>
      </c>
      <c r="AX61" s="31"/>
      <c r="AY61" s="31" t="s">
        <v>796</v>
      </c>
      <c r="AZ61" s="31"/>
      <c r="BA61" s="49" t="s">
        <v>796</v>
      </c>
      <c r="BB61" s="49" t="s">
        <v>796</v>
      </c>
      <c r="BC61" s="49" t="s">
        <v>796</v>
      </c>
      <c r="BD61" s="49" t="s">
        <v>796</v>
      </c>
      <c r="BE61" s="49"/>
      <c r="BF61" s="49" t="s">
        <v>796</v>
      </c>
      <c r="BG61" s="49" t="s">
        <v>796</v>
      </c>
      <c r="BH61" s="49" t="s">
        <v>796</v>
      </c>
      <c r="BI61" s="49" t="s">
        <v>796</v>
      </c>
      <c r="BJ61" s="49" t="s">
        <v>796</v>
      </c>
      <c r="BK61" s="49"/>
      <c r="BL61" s="49"/>
      <c r="BM61" s="49" t="s">
        <v>796</v>
      </c>
      <c r="BN61" s="49"/>
    </row>
    <row r="62" spans="1:66">
      <c r="A62" s="2" t="s">
        <v>69</v>
      </c>
      <c r="B62" s="3"/>
      <c r="C62" s="3" t="s">
        <v>70</v>
      </c>
      <c r="D62" s="6">
        <v>4950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23">
        <f t="shared" si="1"/>
        <v>4950</v>
      </c>
      <c r="S62" s="6"/>
      <c r="T62" s="23">
        <f t="shared" si="2"/>
        <v>4950</v>
      </c>
      <c r="U62" s="31"/>
      <c r="V62" s="31"/>
      <c r="W62" s="31"/>
      <c r="X62" s="31"/>
      <c r="Y62" s="31"/>
      <c r="Z62" s="31"/>
      <c r="AA62" s="31"/>
      <c r="AB62" s="31" t="s">
        <v>796</v>
      </c>
      <c r="AC62" s="31"/>
      <c r="AD62" s="31" t="s">
        <v>796</v>
      </c>
      <c r="AE62" s="31" t="s">
        <v>796</v>
      </c>
      <c r="AF62" s="31" t="s">
        <v>796</v>
      </c>
      <c r="AG62" s="31" t="s">
        <v>796</v>
      </c>
      <c r="AH62" s="31" t="s">
        <v>796</v>
      </c>
      <c r="AI62" s="31" t="s">
        <v>796</v>
      </c>
      <c r="AJ62" s="31"/>
      <c r="AK62" s="31" t="s">
        <v>796</v>
      </c>
      <c r="AL62" s="31" t="s">
        <v>796</v>
      </c>
      <c r="AM62" s="31" t="s">
        <v>796</v>
      </c>
      <c r="AN62" s="31" t="s">
        <v>796</v>
      </c>
      <c r="AO62" s="31" t="s">
        <v>796</v>
      </c>
      <c r="AP62" s="31" t="s">
        <v>796</v>
      </c>
      <c r="AQ62" s="31"/>
      <c r="AR62" s="31" t="s">
        <v>796</v>
      </c>
      <c r="AS62" s="31" t="s">
        <v>796</v>
      </c>
      <c r="AT62" s="31" t="s">
        <v>796</v>
      </c>
      <c r="AU62" s="31" t="s">
        <v>796</v>
      </c>
      <c r="AV62" s="31" t="s">
        <v>796</v>
      </c>
      <c r="AW62" s="31" t="s">
        <v>796</v>
      </c>
      <c r="AX62" s="31"/>
      <c r="AY62" s="31" t="s">
        <v>796</v>
      </c>
      <c r="AZ62" s="31"/>
      <c r="BA62" s="31" t="s">
        <v>796</v>
      </c>
      <c r="BB62" s="31" t="s">
        <v>796</v>
      </c>
      <c r="BC62" s="31" t="s">
        <v>796</v>
      </c>
      <c r="BD62" s="31" t="s">
        <v>796</v>
      </c>
      <c r="BE62" s="31"/>
      <c r="BF62" s="31" t="s">
        <v>796</v>
      </c>
      <c r="BG62" s="31" t="s">
        <v>796</v>
      </c>
      <c r="BH62" s="31" t="s">
        <v>796</v>
      </c>
      <c r="BI62" s="31" t="s">
        <v>796</v>
      </c>
      <c r="BJ62" s="31" t="s">
        <v>796</v>
      </c>
      <c r="BK62" s="31"/>
      <c r="BL62" s="31"/>
      <c r="BM62" s="31" t="s">
        <v>796</v>
      </c>
      <c r="BN62" s="31"/>
    </row>
    <row r="63" spans="1:66">
      <c r="A63" s="2" t="s">
        <v>71</v>
      </c>
      <c r="B63" s="3"/>
      <c r="C63" s="3" t="s">
        <v>72</v>
      </c>
      <c r="D63" s="6">
        <v>8500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23">
        <f t="shared" si="1"/>
        <v>8500</v>
      </c>
      <c r="S63" s="6"/>
      <c r="T63" s="23">
        <f t="shared" si="2"/>
        <v>8500</v>
      </c>
      <c r="U63" s="31"/>
      <c r="V63" s="31"/>
      <c r="W63" s="31"/>
      <c r="X63" s="31"/>
      <c r="Y63" s="31"/>
      <c r="Z63" s="31"/>
      <c r="AA63" s="31"/>
      <c r="AB63" s="31" t="s">
        <v>795</v>
      </c>
      <c r="AC63" s="31"/>
      <c r="AD63" s="31" t="s">
        <v>795</v>
      </c>
      <c r="AE63" s="31" t="s">
        <v>795</v>
      </c>
      <c r="AF63" s="31" t="s">
        <v>795</v>
      </c>
      <c r="AG63" s="31" t="s">
        <v>795</v>
      </c>
      <c r="AH63" s="31" t="s">
        <v>795</v>
      </c>
      <c r="AI63" s="31" t="s">
        <v>795</v>
      </c>
      <c r="AJ63" s="31"/>
      <c r="AK63" s="31" t="s">
        <v>795</v>
      </c>
      <c r="AL63" s="31" t="s">
        <v>795</v>
      </c>
      <c r="AM63" s="31" t="s">
        <v>796</v>
      </c>
      <c r="AN63" s="31" t="s">
        <v>796</v>
      </c>
      <c r="AO63" s="31" t="s">
        <v>796</v>
      </c>
      <c r="AP63" s="31" t="s">
        <v>796</v>
      </c>
      <c r="AQ63" s="31"/>
      <c r="AR63" s="31" t="s">
        <v>796</v>
      </c>
      <c r="AS63" s="31" t="s">
        <v>796</v>
      </c>
      <c r="AT63" s="31" t="s">
        <v>796</v>
      </c>
      <c r="AU63" s="31" t="s">
        <v>796</v>
      </c>
      <c r="AV63" s="31" t="s">
        <v>796</v>
      </c>
      <c r="AW63" s="31" t="s">
        <v>796</v>
      </c>
      <c r="AX63" s="31"/>
      <c r="AY63" s="31" t="s">
        <v>796</v>
      </c>
      <c r="AZ63" s="49"/>
      <c r="BA63" s="31" t="s">
        <v>796</v>
      </c>
      <c r="BB63" s="31" t="s">
        <v>796</v>
      </c>
      <c r="BC63" s="31" t="s">
        <v>796</v>
      </c>
      <c r="BD63" s="31" t="s">
        <v>796</v>
      </c>
      <c r="BE63" s="31"/>
      <c r="BF63" s="31" t="s">
        <v>796</v>
      </c>
      <c r="BG63" s="31" t="s">
        <v>796</v>
      </c>
      <c r="BH63" s="31" t="s">
        <v>796</v>
      </c>
      <c r="BI63" s="31" t="s">
        <v>796</v>
      </c>
      <c r="BJ63" s="31" t="s">
        <v>796</v>
      </c>
      <c r="BK63" s="31"/>
      <c r="BL63" s="31"/>
      <c r="BM63" s="31" t="s">
        <v>796</v>
      </c>
      <c r="BN63" s="31"/>
    </row>
    <row r="64" spans="1:66">
      <c r="A64" s="2" t="s">
        <v>74</v>
      </c>
      <c r="B64" s="3"/>
      <c r="C64" s="3" t="s">
        <v>75</v>
      </c>
      <c r="D64" s="8">
        <v>25000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3">
        <f t="shared" si="1"/>
        <v>25000</v>
      </c>
      <c r="S64" s="6"/>
      <c r="T64" s="23">
        <f t="shared" si="2"/>
        <v>25000</v>
      </c>
      <c r="U64" s="31"/>
      <c r="V64" s="31"/>
      <c r="W64" s="31"/>
      <c r="X64" s="31"/>
      <c r="Y64" s="31"/>
      <c r="Z64" s="31"/>
      <c r="AA64" s="31"/>
      <c r="AB64" s="31" t="s">
        <v>796</v>
      </c>
      <c r="AC64" s="31"/>
      <c r="AD64" s="31" t="s">
        <v>796</v>
      </c>
      <c r="AE64" s="31" t="s">
        <v>796</v>
      </c>
      <c r="AF64" s="31" t="s">
        <v>796</v>
      </c>
      <c r="AG64" s="31" t="s">
        <v>796</v>
      </c>
      <c r="AH64" s="31" t="s">
        <v>796</v>
      </c>
      <c r="AI64" s="31" t="s">
        <v>796</v>
      </c>
      <c r="AJ64" s="31"/>
      <c r="AK64" s="31" t="s">
        <v>796</v>
      </c>
      <c r="AL64" s="31" t="s">
        <v>796</v>
      </c>
      <c r="AM64" s="31" t="s">
        <v>796</v>
      </c>
      <c r="AN64" s="31" t="s">
        <v>796</v>
      </c>
      <c r="AO64" s="31" t="s">
        <v>796</v>
      </c>
      <c r="AP64" s="31" t="s">
        <v>796</v>
      </c>
      <c r="AQ64" s="31"/>
      <c r="AR64" s="31" t="s">
        <v>796</v>
      </c>
      <c r="AS64" s="31" t="s">
        <v>796</v>
      </c>
      <c r="AT64" s="31" t="s">
        <v>796</v>
      </c>
      <c r="AU64" s="31" t="s">
        <v>796</v>
      </c>
      <c r="AV64" s="31" t="s">
        <v>796</v>
      </c>
      <c r="AW64" s="31" t="s">
        <v>796</v>
      </c>
      <c r="AX64" s="31"/>
      <c r="AY64" s="31" t="s">
        <v>796</v>
      </c>
      <c r="AZ64" s="31"/>
      <c r="BA64" s="31" t="s">
        <v>796</v>
      </c>
      <c r="BB64" s="31" t="s">
        <v>796</v>
      </c>
      <c r="BC64" s="31" t="s">
        <v>796</v>
      </c>
      <c r="BD64" s="31" t="s">
        <v>796</v>
      </c>
      <c r="BE64" s="31"/>
      <c r="BF64" s="31" t="s">
        <v>796</v>
      </c>
      <c r="BG64" s="31" t="s">
        <v>796</v>
      </c>
      <c r="BH64" s="31" t="s">
        <v>796</v>
      </c>
      <c r="BI64" s="31" t="s">
        <v>796</v>
      </c>
      <c r="BJ64" s="31" t="s">
        <v>796</v>
      </c>
      <c r="BK64" s="31"/>
      <c r="BL64" s="31"/>
      <c r="BM64" s="31" t="s">
        <v>796</v>
      </c>
      <c r="BN64" s="31"/>
    </row>
    <row r="65" spans="1:66">
      <c r="A65" s="2" t="s">
        <v>76</v>
      </c>
      <c r="B65" s="3"/>
      <c r="C65" s="3" t="s">
        <v>77</v>
      </c>
      <c r="D65" s="6">
        <v>4000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23">
        <f t="shared" si="1"/>
        <v>4000</v>
      </c>
      <c r="S65" s="6"/>
      <c r="T65" s="23">
        <f t="shared" si="2"/>
        <v>4000</v>
      </c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 t="s">
        <v>796</v>
      </c>
      <c r="AN65" s="31" t="s">
        <v>796</v>
      </c>
      <c r="AO65" s="31" t="s">
        <v>796</v>
      </c>
      <c r="AP65" s="31" t="s">
        <v>796</v>
      </c>
      <c r="AQ65" s="31"/>
      <c r="AR65" s="31" t="s">
        <v>796</v>
      </c>
      <c r="AS65" s="31" t="s">
        <v>796</v>
      </c>
      <c r="AT65" s="31" t="s">
        <v>796</v>
      </c>
      <c r="AU65" s="31" t="s">
        <v>796</v>
      </c>
      <c r="AV65" s="31" t="s">
        <v>796</v>
      </c>
      <c r="AW65" s="31" t="s">
        <v>796</v>
      </c>
      <c r="AX65" s="31"/>
      <c r="AY65" s="31" t="s">
        <v>796</v>
      </c>
      <c r="AZ65" s="31"/>
      <c r="BA65" s="31" t="s">
        <v>796</v>
      </c>
      <c r="BB65" s="31" t="s">
        <v>796</v>
      </c>
      <c r="BC65" s="31" t="s">
        <v>796</v>
      </c>
      <c r="BD65" s="31" t="s">
        <v>796</v>
      </c>
      <c r="BE65" s="31"/>
      <c r="BF65" s="31" t="s">
        <v>796</v>
      </c>
      <c r="BG65" s="31" t="s">
        <v>796</v>
      </c>
      <c r="BH65" s="31" t="s">
        <v>796</v>
      </c>
      <c r="BI65" s="31" t="s">
        <v>796</v>
      </c>
      <c r="BJ65" s="31" t="s">
        <v>796</v>
      </c>
      <c r="BK65" s="31"/>
      <c r="BL65" s="31"/>
      <c r="BM65" s="31" t="s">
        <v>796</v>
      </c>
      <c r="BN65" s="31"/>
    </row>
    <row r="66" spans="1:66">
      <c r="A66" s="2" t="s">
        <v>78</v>
      </c>
      <c r="B66" s="3"/>
      <c r="C66" s="3" t="s">
        <v>79</v>
      </c>
      <c r="D66" s="6">
        <v>1000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23">
        <f t="shared" si="1"/>
        <v>1000</v>
      </c>
      <c r="S66" s="6"/>
      <c r="T66" s="23">
        <f t="shared" si="2"/>
        <v>1000</v>
      </c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 t="s">
        <v>796</v>
      </c>
      <c r="AN66" s="31" t="s">
        <v>796</v>
      </c>
      <c r="AO66" s="31" t="s">
        <v>796</v>
      </c>
      <c r="AP66" s="31" t="s">
        <v>796</v>
      </c>
      <c r="AQ66" s="31"/>
      <c r="AR66" s="31" t="s">
        <v>796</v>
      </c>
      <c r="AS66" s="31" t="s">
        <v>796</v>
      </c>
      <c r="AT66" s="31" t="s">
        <v>796</v>
      </c>
      <c r="AU66" s="31" t="s">
        <v>796</v>
      </c>
      <c r="AV66" s="31" t="s">
        <v>796</v>
      </c>
      <c r="AW66" s="31" t="s">
        <v>796</v>
      </c>
      <c r="AX66" s="31"/>
      <c r="AY66" s="31" t="s">
        <v>796</v>
      </c>
      <c r="AZ66" s="31"/>
      <c r="BA66" s="31" t="s">
        <v>796</v>
      </c>
      <c r="BB66" s="31" t="s">
        <v>796</v>
      </c>
      <c r="BC66" s="31" t="s">
        <v>796</v>
      </c>
      <c r="BD66" s="31" t="s">
        <v>796</v>
      </c>
      <c r="BE66" s="31"/>
      <c r="BF66" s="31" t="s">
        <v>796</v>
      </c>
      <c r="BG66" s="31" t="s">
        <v>796</v>
      </c>
      <c r="BH66" s="31" t="s">
        <v>796</v>
      </c>
      <c r="BI66" s="31" t="s">
        <v>796</v>
      </c>
      <c r="BJ66" s="31" t="s">
        <v>796</v>
      </c>
      <c r="BK66" s="31"/>
      <c r="BL66" s="31"/>
      <c r="BM66" s="31" t="s">
        <v>796</v>
      </c>
      <c r="BN66" s="31"/>
    </row>
    <row r="67" spans="1:66">
      <c r="A67" s="2" t="s">
        <v>82</v>
      </c>
      <c r="B67" s="3"/>
      <c r="C67" s="3"/>
      <c r="D67" s="6">
        <v>5000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23">
        <f t="shared" si="1"/>
        <v>5000</v>
      </c>
      <c r="S67" s="6"/>
      <c r="T67" s="23">
        <f t="shared" si="2"/>
        <v>5000</v>
      </c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 t="s">
        <v>796</v>
      </c>
      <c r="AN67" s="31" t="s">
        <v>796</v>
      </c>
      <c r="AO67" s="31" t="s">
        <v>796</v>
      </c>
      <c r="AP67" s="31" t="s">
        <v>796</v>
      </c>
      <c r="AQ67" s="31"/>
      <c r="AR67" s="31" t="s">
        <v>796</v>
      </c>
      <c r="AS67" s="31" t="s">
        <v>796</v>
      </c>
      <c r="AT67" s="31" t="s">
        <v>796</v>
      </c>
      <c r="AU67" s="31" t="s">
        <v>796</v>
      </c>
      <c r="AV67" s="31" t="s">
        <v>796</v>
      </c>
      <c r="AW67" s="31" t="s">
        <v>796</v>
      </c>
      <c r="AX67" s="31"/>
      <c r="AY67" s="31" t="s">
        <v>796</v>
      </c>
      <c r="AZ67" s="31"/>
      <c r="BA67" s="31" t="s">
        <v>796</v>
      </c>
      <c r="BB67" s="31" t="s">
        <v>796</v>
      </c>
      <c r="BC67" s="31" t="s">
        <v>796</v>
      </c>
      <c r="BD67" s="31" t="s">
        <v>796</v>
      </c>
      <c r="BE67" s="31"/>
      <c r="BF67" s="31" t="s">
        <v>796</v>
      </c>
      <c r="BG67" s="31" t="s">
        <v>796</v>
      </c>
      <c r="BH67" s="31" t="s">
        <v>796</v>
      </c>
      <c r="BI67" s="31" t="s">
        <v>796</v>
      </c>
      <c r="BJ67" s="31" t="s">
        <v>796</v>
      </c>
      <c r="BK67" s="31"/>
      <c r="BL67" s="31"/>
      <c r="BM67" s="31" t="s">
        <v>796</v>
      </c>
      <c r="BN67" s="31"/>
    </row>
    <row r="68" spans="1:66">
      <c r="A68" s="2" t="s">
        <v>834</v>
      </c>
      <c r="B68" s="3"/>
      <c r="C68" s="3" t="s">
        <v>83</v>
      </c>
      <c r="D68" s="8">
        <v>9011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23">
        <f t="shared" ref="R68:R131" si="3">SUM(D68:Q68)</f>
        <v>9011</v>
      </c>
      <c r="S68" s="6"/>
      <c r="T68" s="23">
        <f t="shared" si="2"/>
        <v>9011</v>
      </c>
      <c r="U68" s="14"/>
      <c r="V68" s="14"/>
      <c r="W68" s="14"/>
      <c r="X68" s="14"/>
      <c r="Y68" s="14"/>
      <c r="Z68" s="14"/>
      <c r="AA68" s="14"/>
      <c r="AB68" s="14" t="s">
        <v>796</v>
      </c>
      <c r="AC68" s="14"/>
      <c r="AD68" s="14" t="s">
        <v>796</v>
      </c>
      <c r="AE68" s="14" t="s">
        <v>796</v>
      </c>
      <c r="AF68" s="14" t="s">
        <v>796</v>
      </c>
      <c r="AG68" s="14" t="s">
        <v>796</v>
      </c>
      <c r="AH68" s="14" t="s">
        <v>796</v>
      </c>
      <c r="AI68" s="14" t="s">
        <v>796</v>
      </c>
      <c r="AJ68" s="31"/>
      <c r="AK68" s="14" t="s">
        <v>796</v>
      </c>
      <c r="AL68" s="14" t="s">
        <v>796</v>
      </c>
      <c r="AM68" s="31" t="s">
        <v>793</v>
      </c>
      <c r="AN68" s="31" t="s">
        <v>793</v>
      </c>
      <c r="AO68" s="31" t="s">
        <v>793</v>
      </c>
      <c r="AP68" s="31" t="s">
        <v>793</v>
      </c>
      <c r="AQ68" s="31"/>
      <c r="AR68" s="31" t="s">
        <v>793</v>
      </c>
      <c r="AS68" s="31" t="s">
        <v>793</v>
      </c>
      <c r="AT68" s="31" t="s">
        <v>793</v>
      </c>
      <c r="AU68" s="31" t="s">
        <v>793</v>
      </c>
      <c r="AV68" s="31" t="s">
        <v>793</v>
      </c>
      <c r="AW68" s="31" t="s">
        <v>793</v>
      </c>
      <c r="AX68" s="31"/>
      <c r="AY68" s="31" t="s">
        <v>793</v>
      </c>
      <c r="AZ68" s="31"/>
      <c r="BA68" s="31" t="s">
        <v>796</v>
      </c>
      <c r="BB68" s="31" t="s">
        <v>796</v>
      </c>
      <c r="BC68" s="31" t="s">
        <v>796</v>
      </c>
      <c r="BD68" s="31" t="s">
        <v>796</v>
      </c>
      <c r="BE68" s="31"/>
      <c r="BF68" s="31" t="s">
        <v>796</v>
      </c>
      <c r="BG68" s="31" t="s">
        <v>796</v>
      </c>
      <c r="BH68" s="31" t="s">
        <v>796</v>
      </c>
      <c r="BI68" s="31" t="s">
        <v>796</v>
      </c>
      <c r="BJ68" s="31" t="s">
        <v>796</v>
      </c>
      <c r="BK68" s="31"/>
      <c r="BL68" s="31"/>
      <c r="BM68" s="31" t="s">
        <v>796</v>
      </c>
      <c r="BN68" s="31"/>
    </row>
    <row r="69" spans="1:66">
      <c r="A69" s="36" t="s">
        <v>802</v>
      </c>
      <c r="B69" s="5"/>
      <c r="C69" s="48" t="s">
        <v>84</v>
      </c>
      <c r="D69" s="36">
        <v>144000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23">
        <f t="shared" si="3"/>
        <v>144000</v>
      </c>
      <c r="S69" s="36"/>
      <c r="T69" s="36">
        <f t="shared" si="2"/>
        <v>144000</v>
      </c>
      <c r="U69" s="31"/>
      <c r="V69" s="31"/>
      <c r="W69" s="31" t="s">
        <v>795</v>
      </c>
      <c r="X69" s="31"/>
      <c r="Y69" s="31" t="s">
        <v>795</v>
      </c>
      <c r="Z69" s="31" t="s">
        <v>795</v>
      </c>
      <c r="AA69" s="31" t="s">
        <v>795</v>
      </c>
      <c r="AB69" s="31" t="s">
        <v>795</v>
      </c>
      <c r="AC69" s="31"/>
      <c r="AD69" s="31" t="s">
        <v>795</v>
      </c>
      <c r="AE69" s="31" t="s">
        <v>795</v>
      </c>
      <c r="AF69" s="31" t="s">
        <v>795</v>
      </c>
      <c r="AG69" s="31" t="s">
        <v>795</v>
      </c>
      <c r="AH69" s="31" t="s">
        <v>795</v>
      </c>
      <c r="AI69" s="31" t="s">
        <v>795</v>
      </c>
      <c r="AJ69" s="31"/>
      <c r="AK69" s="31" t="s">
        <v>795</v>
      </c>
      <c r="AL69" s="31" t="s">
        <v>795</v>
      </c>
      <c r="AM69" s="31" t="s">
        <v>795</v>
      </c>
      <c r="AN69" s="31" t="s">
        <v>795</v>
      </c>
      <c r="AO69" s="31" t="s">
        <v>795</v>
      </c>
      <c r="AP69" s="31" t="s">
        <v>795</v>
      </c>
      <c r="AQ69" s="31"/>
      <c r="AR69" s="31" t="s">
        <v>795</v>
      </c>
      <c r="AS69" s="31" t="s">
        <v>795</v>
      </c>
      <c r="AT69" s="31" t="s">
        <v>795</v>
      </c>
      <c r="AU69" s="31" t="s">
        <v>795</v>
      </c>
      <c r="AV69" s="31" t="s">
        <v>795</v>
      </c>
      <c r="AW69" s="31" t="s">
        <v>795</v>
      </c>
      <c r="AX69" s="31"/>
      <c r="AY69" s="31" t="s">
        <v>795</v>
      </c>
      <c r="AZ69" s="31"/>
      <c r="BA69" s="31" t="s">
        <v>795</v>
      </c>
      <c r="BB69" s="31" t="s">
        <v>795</v>
      </c>
      <c r="BC69" s="31" t="s">
        <v>795</v>
      </c>
      <c r="BD69" s="31" t="s">
        <v>795</v>
      </c>
      <c r="BE69" s="31"/>
      <c r="BF69" s="31" t="s">
        <v>795</v>
      </c>
      <c r="BG69" s="31" t="s">
        <v>795</v>
      </c>
      <c r="BH69" s="31" t="s">
        <v>795</v>
      </c>
      <c r="BI69" s="31" t="s">
        <v>795</v>
      </c>
      <c r="BJ69" s="31" t="s">
        <v>795</v>
      </c>
      <c r="BK69" s="31"/>
      <c r="BL69" s="31"/>
      <c r="BM69" s="31" t="s">
        <v>795</v>
      </c>
      <c r="BN69" s="31"/>
    </row>
    <row r="70" spans="1:66">
      <c r="A70" s="2" t="s">
        <v>85</v>
      </c>
      <c r="B70" s="3"/>
      <c r="C70" s="3">
        <v>9857032137</v>
      </c>
      <c r="D70" s="6">
        <v>19000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23">
        <f t="shared" si="3"/>
        <v>19000</v>
      </c>
      <c r="S70" s="6"/>
      <c r="T70" s="23">
        <f t="shared" si="2"/>
        <v>19000</v>
      </c>
      <c r="U70" s="31"/>
      <c r="V70" s="31"/>
      <c r="W70" s="31"/>
      <c r="X70" s="31"/>
      <c r="Y70" s="31"/>
      <c r="Z70" s="31"/>
      <c r="AA70" s="31"/>
      <c r="AB70" s="31" t="s">
        <v>796</v>
      </c>
      <c r="AC70" s="31"/>
      <c r="AD70" s="31" t="s">
        <v>796</v>
      </c>
      <c r="AE70" s="31" t="s">
        <v>796</v>
      </c>
      <c r="AF70" s="31" t="s">
        <v>796</v>
      </c>
      <c r="AG70" s="31" t="s">
        <v>796</v>
      </c>
      <c r="AH70" s="31" t="s">
        <v>796</v>
      </c>
      <c r="AI70" s="31" t="s">
        <v>796</v>
      </c>
      <c r="AJ70" s="31"/>
      <c r="AK70" s="31" t="s">
        <v>796</v>
      </c>
      <c r="AL70" s="31" t="s">
        <v>796</v>
      </c>
      <c r="AM70" s="31" t="s">
        <v>796</v>
      </c>
      <c r="AN70" s="31" t="s">
        <v>796</v>
      </c>
      <c r="AO70" s="31" t="s">
        <v>796</v>
      </c>
      <c r="AP70" s="31" t="s">
        <v>796</v>
      </c>
      <c r="AQ70" s="31"/>
      <c r="AR70" s="31" t="s">
        <v>796</v>
      </c>
      <c r="AS70" s="31" t="s">
        <v>796</v>
      </c>
      <c r="AT70" s="31" t="s">
        <v>796</v>
      </c>
      <c r="AU70" s="31" t="s">
        <v>796</v>
      </c>
      <c r="AV70" s="31" t="s">
        <v>796</v>
      </c>
      <c r="AW70" s="31" t="s">
        <v>796</v>
      </c>
      <c r="AX70" s="31"/>
      <c r="AY70" s="31" t="s">
        <v>796</v>
      </c>
      <c r="AZ70" s="31"/>
      <c r="BA70" s="31" t="s">
        <v>796</v>
      </c>
      <c r="BB70" s="31" t="s">
        <v>796</v>
      </c>
      <c r="BC70" s="31" t="s">
        <v>796</v>
      </c>
      <c r="BD70" s="31" t="s">
        <v>796</v>
      </c>
      <c r="BE70" s="31"/>
      <c r="BF70" s="31" t="s">
        <v>796</v>
      </c>
      <c r="BG70" s="31" t="s">
        <v>796</v>
      </c>
      <c r="BH70" s="31" t="s">
        <v>796</v>
      </c>
      <c r="BI70" s="31" t="s">
        <v>796</v>
      </c>
      <c r="BJ70" s="31" t="s">
        <v>796</v>
      </c>
      <c r="BK70" s="31"/>
      <c r="BL70" s="31"/>
      <c r="BM70" s="31" t="s">
        <v>796</v>
      </c>
      <c r="BN70" s="31"/>
    </row>
    <row r="71" spans="1:66">
      <c r="A71" s="2" t="s">
        <v>87</v>
      </c>
      <c r="B71" s="3"/>
      <c r="C71" s="3">
        <v>9851197966</v>
      </c>
      <c r="D71" s="8">
        <v>18055.29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23">
        <f t="shared" si="3"/>
        <v>18055.29</v>
      </c>
      <c r="S71" s="6"/>
      <c r="T71" s="23">
        <f t="shared" ref="T71:T101" si="4">R71-S71</f>
        <v>18055.29</v>
      </c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 t="s">
        <v>796</v>
      </c>
      <c r="AN71" s="31" t="s">
        <v>796</v>
      </c>
      <c r="AO71" s="31" t="s">
        <v>796</v>
      </c>
      <c r="AP71" s="31" t="s">
        <v>796</v>
      </c>
      <c r="AQ71" s="31"/>
      <c r="AR71" s="31" t="s">
        <v>796</v>
      </c>
      <c r="AS71" s="31" t="s">
        <v>796</v>
      </c>
      <c r="AT71" s="31" t="s">
        <v>796</v>
      </c>
      <c r="AU71" s="31" t="s">
        <v>796</v>
      </c>
      <c r="AV71" s="31" t="s">
        <v>796</v>
      </c>
      <c r="AW71" s="31" t="s">
        <v>796</v>
      </c>
      <c r="AX71" s="31"/>
      <c r="AY71" s="31" t="s">
        <v>796</v>
      </c>
      <c r="AZ71" s="31"/>
      <c r="BA71" s="31" t="s">
        <v>796</v>
      </c>
      <c r="BB71" s="31" t="s">
        <v>796</v>
      </c>
      <c r="BC71" s="31" t="s">
        <v>796</v>
      </c>
      <c r="BD71" s="31" t="s">
        <v>796</v>
      </c>
      <c r="BE71" s="31"/>
      <c r="BF71" s="31" t="s">
        <v>796</v>
      </c>
      <c r="BG71" s="31" t="s">
        <v>796</v>
      </c>
      <c r="BH71" s="31" t="s">
        <v>796</v>
      </c>
      <c r="BI71" s="31" t="s">
        <v>796</v>
      </c>
      <c r="BJ71" s="31" t="s">
        <v>796</v>
      </c>
      <c r="BK71" s="31"/>
      <c r="BL71" s="31"/>
      <c r="BM71" s="31" t="s">
        <v>796</v>
      </c>
      <c r="BN71" s="31"/>
    </row>
    <row r="72" spans="1:66" s="50" customFormat="1">
      <c r="A72" s="36" t="s">
        <v>88</v>
      </c>
      <c r="B72" s="5"/>
      <c r="C72" s="48" t="s">
        <v>89</v>
      </c>
      <c r="D72" s="36">
        <v>130000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23">
        <f t="shared" si="3"/>
        <v>130000</v>
      </c>
      <c r="S72" s="36"/>
      <c r="T72" s="36">
        <f t="shared" si="4"/>
        <v>130000</v>
      </c>
      <c r="U72" s="31"/>
      <c r="V72" s="31"/>
      <c r="W72" s="31" t="s">
        <v>795</v>
      </c>
      <c r="X72" s="31"/>
      <c r="Y72" s="31" t="s">
        <v>795</v>
      </c>
      <c r="Z72" s="31" t="s">
        <v>795</v>
      </c>
      <c r="AA72" s="31" t="s">
        <v>795</v>
      </c>
      <c r="AB72" s="31" t="s">
        <v>795</v>
      </c>
      <c r="AC72" s="31"/>
      <c r="AD72" s="31" t="s">
        <v>795</v>
      </c>
      <c r="AE72" s="31" t="s">
        <v>795</v>
      </c>
      <c r="AF72" s="31" t="s">
        <v>795</v>
      </c>
      <c r="AG72" s="31" t="s">
        <v>795</v>
      </c>
      <c r="AH72" s="31" t="s">
        <v>795</v>
      </c>
      <c r="AI72" s="31" t="s">
        <v>795</v>
      </c>
      <c r="AJ72" s="31"/>
      <c r="AK72" s="31" t="s">
        <v>795</v>
      </c>
      <c r="AL72" s="31" t="s">
        <v>795</v>
      </c>
      <c r="AM72" s="31" t="s">
        <v>795</v>
      </c>
      <c r="AN72" s="31" t="s">
        <v>795</v>
      </c>
      <c r="AO72" s="31" t="s">
        <v>795</v>
      </c>
      <c r="AP72" s="31" t="s">
        <v>795</v>
      </c>
      <c r="AQ72" s="31"/>
      <c r="AR72" s="31" t="s">
        <v>795</v>
      </c>
      <c r="AS72" s="31" t="s">
        <v>795</v>
      </c>
      <c r="AT72" s="31" t="s">
        <v>795</v>
      </c>
      <c r="AU72" s="31" t="s">
        <v>795</v>
      </c>
      <c r="AV72" s="31" t="s">
        <v>795</v>
      </c>
      <c r="AW72" s="31" t="s">
        <v>795</v>
      </c>
      <c r="AX72" s="31"/>
      <c r="AY72" s="31" t="s">
        <v>795</v>
      </c>
      <c r="AZ72" s="31"/>
      <c r="BA72" s="49" t="s">
        <v>795</v>
      </c>
      <c r="BB72" s="49" t="s">
        <v>795</v>
      </c>
      <c r="BC72" s="49" t="s">
        <v>795</v>
      </c>
      <c r="BD72" s="49" t="s">
        <v>795</v>
      </c>
      <c r="BE72" s="49"/>
      <c r="BF72" s="49" t="s">
        <v>795</v>
      </c>
      <c r="BG72" s="49" t="s">
        <v>795</v>
      </c>
      <c r="BH72" s="49" t="s">
        <v>795</v>
      </c>
      <c r="BI72" s="49" t="s">
        <v>795</v>
      </c>
      <c r="BJ72" s="49" t="s">
        <v>795</v>
      </c>
      <c r="BK72" s="49"/>
      <c r="BL72" s="49"/>
      <c r="BM72" s="49" t="s">
        <v>795</v>
      </c>
      <c r="BN72" s="49"/>
    </row>
    <row r="73" spans="1:66">
      <c r="A73" s="2" t="s">
        <v>90</v>
      </c>
      <c r="B73" s="3"/>
      <c r="C73" s="3" t="s">
        <v>91</v>
      </c>
      <c r="D73" s="6">
        <v>26600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23">
        <f t="shared" si="3"/>
        <v>26600</v>
      </c>
      <c r="S73" s="6"/>
      <c r="T73" s="23">
        <f t="shared" si="4"/>
        <v>26600</v>
      </c>
      <c r="U73" s="31"/>
      <c r="V73" s="31"/>
      <c r="W73" s="31"/>
      <c r="X73" s="31"/>
      <c r="Y73" s="31"/>
      <c r="Z73" s="31"/>
      <c r="AA73" s="31"/>
      <c r="AB73" s="31" t="s">
        <v>796</v>
      </c>
      <c r="AC73" s="31"/>
      <c r="AD73" s="31" t="s">
        <v>796</v>
      </c>
      <c r="AE73" s="31" t="s">
        <v>796</v>
      </c>
      <c r="AF73" s="31" t="s">
        <v>796</v>
      </c>
      <c r="AG73" s="31" t="s">
        <v>796</v>
      </c>
      <c r="AH73" s="31" t="s">
        <v>796</v>
      </c>
      <c r="AI73" s="31" t="s">
        <v>796</v>
      </c>
      <c r="AJ73" s="31"/>
      <c r="AK73" s="31" t="s">
        <v>796</v>
      </c>
      <c r="AL73" s="31" t="s">
        <v>796</v>
      </c>
      <c r="AM73" s="31" t="s">
        <v>796</v>
      </c>
      <c r="AN73" s="31" t="s">
        <v>796</v>
      </c>
      <c r="AO73" s="31" t="s">
        <v>796</v>
      </c>
      <c r="AP73" s="31" t="s">
        <v>796</v>
      </c>
      <c r="AQ73" s="31"/>
      <c r="AR73" s="31" t="s">
        <v>796</v>
      </c>
      <c r="AS73" s="31" t="s">
        <v>796</v>
      </c>
      <c r="AT73" s="31" t="s">
        <v>796</v>
      </c>
      <c r="AU73" s="31" t="s">
        <v>796</v>
      </c>
      <c r="AV73" s="31" t="s">
        <v>796</v>
      </c>
      <c r="AW73" s="31" t="s">
        <v>796</v>
      </c>
      <c r="AX73" s="31"/>
      <c r="AY73" s="31" t="s">
        <v>796</v>
      </c>
      <c r="AZ73" s="49"/>
      <c r="BA73" s="31" t="s">
        <v>796</v>
      </c>
      <c r="BB73" s="31" t="s">
        <v>796</v>
      </c>
      <c r="BC73" s="31" t="s">
        <v>796</v>
      </c>
      <c r="BD73" s="31" t="s">
        <v>796</v>
      </c>
      <c r="BE73" s="31"/>
      <c r="BF73" s="31" t="s">
        <v>796</v>
      </c>
      <c r="BG73" s="31" t="s">
        <v>796</v>
      </c>
      <c r="BH73" s="31" t="s">
        <v>796</v>
      </c>
      <c r="BI73" s="31" t="s">
        <v>796</v>
      </c>
      <c r="BJ73" s="31" t="s">
        <v>796</v>
      </c>
      <c r="BK73" s="31"/>
      <c r="BL73" s="31"/>
      <c r="BM73" s="31" t="s">
        <v>796</v>
      </c>
      <c r="BN73" s="31"/>
    </row>
    <row r="74" spans="1:66">
      <c r="A74" s="2" t="s">
        <v>92</v>
      </c>
      <c r="B74" s="3"/>
      <c r="C74" s="3">
        <v>9857025060</v>
      </c>
      <c r="D74" s="6">
        <v>9762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23">
        <f t="shared" si="3"/>
        <v>9762</v>
      </c>
      <c r="S74" s="6"/>
      <c r="T74" s="23">
        <f t="shared" si="4"/>
        <v>9762</v>
      </c>
      <c r="U74" s="31"/>
      <c r="V74" s="31"/>
      <c r="W74" s="31"/>
      <c r="X74" s="31"/>
      <c r="Y74" s="31"/>
      <c r="Z74" s="31"/>
      <c r="AA74" s="31"/>
      <c r="AB74" s="31" t="s">
        <v>796</v>
      </c>
      <c r="AC74" s="31"/>
      <c r="AD74" s="31" t="s">
        <v>796</v>
      </c>
      <c r="AE74" s="31" t="s">
        <v>796</v>
      </c>
      <c r="AF74" s="31" t="s">
        <v>796</v>
      </c>
      <c r="AG74" s="31" t="s">
        <v>796</v>
      </c>
      <c r="AH74" s="31" t="s">
        <v>796</v>
      </c>
      <c r="AI74" s="31" t="s">
        <v>796</v>
      </c>
      <c r="AJ74" s="31"/>
      <c r="AK74" s="31" t="s">
        <v>796</v>
      </c>
      <c r="AL74" s="31" t="s">
        <v>796</v>
      </c>
      <c r="AM74" s="31" t="s">
        <v>796</v>
      </c>
      <c r="AN74" s="31" t="s">
        <v>796</v>
      </c>
      <c r="AO74" s="31" t="s">
        <v>796</v>
      </c>
      <c r="AP74" s="31" t="s">
        <v>796</v>
      </c>
      <c r="AQ74" s="31"/>
      <c r="AR74" s="31" t="s">
        <v>796</v>
      </c>
      <c r="AS74" s="31" t="s">
        <v>796</v>
      </c>
      <c r="AT74" s="31" t="s">
        <v>796</v>
      </c>
      <c r="AU74" s="31" t="s">
        <v>796</v>
      </c>
      <c r="AV74" s="31" t="s">
        <v>796</v>
      </c>
      <c r="AW74" s="31" t="s">
        <v>796</v>
      </c>
      <c r="AX74" s="31"/>
      <c r="AY74" s="31" t="s">
        <v>796</v>
      </c>
      <c r="AZ74" s="31"/>
      <c r="BA74" s="31" t="s">
        <v>796</v>
      </c>
      <c r="BB74" s="31" t="s">
        <v>796</v>
      </c>
      <c r="BC74" s="31" t="s">
        <v>796</v>
      </c>
      <c r="BD74" s="31" t="s">
        <v>796</v>
      </c>
      <c r="BE74" s="31"/>
      <c r="BF74" s="31" t="s">
        <v>796</v>
      </c>
      <c r="BG74" s="31" t="s">
        <v>796</v>
      </c>
      <c r="BH74" s="31" t="s">
        <v>796</v>
      </c>
      <c r="BI74" s="31" t="s">
        <v>796</v>
      </c>
      <c r="BJ74" s="31" t="s">
        <v>796</v>
      </c>
      <c r="BK74" s="31"/>
      <c r="BL74" s="31"/>
      <c r="BM74" s="31" t="s">
        <v>796</v>
      </c>
      <c r="BN74" s="31"/>
    </row>
    <row r="75" spans="1:66">
      <c r="A75" s="2" t="s">
        <v>93</v>
      </c>
      <c r="B75" s="3"/>
      <c r="C75" s="3" t="s">
        <v>94</v>
      </c>
      <c r="D75" s="8">
        <v>121500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23">
        <f t="shared" si="3"/>
        <v>121500</v>
      </c>
      <c r="S75" s="6"/>
      <c r="T75" s="23">
        <f t="shared" si="4"/>
        <v>121500</v>
      </c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 t="s">
        <v>796</v>
      </c>
      <c r="AN75" s="31" t="s">
        <v>796</v>
      </c>
      <c r="AO75" s="31" t="s">
        <v>796</v>
      </c>
      <c r="AP75" s="31" t="s">
        <v>796</v>
      </c>
      <c r="AQ75" s="31"/>
      <c r="AR75" s="31" t="s">
        <v>796</v>
      </c>
      <c r="AS75" s="31" t="s">
        <v>796</v>
      </c>
      <c r="AT75" s="31" t="s">
        <v>796</v>
      </c>
      <c r="AU75" s="31" t="s">
        <v>796</v>
      </c>
      <c r="AV75" s="31" t="s">
        <v>796</v>
      </c>
      <c r="AW75" s="31" t="s">
        <v>796</v>
      </c>
      <c r="AX75" s="31"/>
      <c r="AY75" s="31" t="s">
        <v>796</v>
      </c>
      <c r="AZ75" s="31"/>
      <c r="BA75" s="31" t="s">
        <v>793</v>
      </c>
      <c r="BB75" s="31" t="s">
        <v>793</v>
      </c>
      <c r="BC75" s="31" t="s">
        <v>793</v>
      </c>
      <c r="BD75" s="31" t="s">
        <v>793</v>
      </c>
      <c r="BE75" s="31"/>
      <c r="BF75" s="31" t="s">
        <v>793</v>
      </c>
      <c r="BG75" s="31" t="s">
        <v>793</v>
      </c>
      <c r="BH75" s="31" t="s">
        <v>793</v>
      </c>
      <c r="BI75" s="31" t="s">
        <v>793</v>
      </c>
      <c r="BJ75" s="31" t="s">
        <v>793</v>
      </c>
      <c r="BK75" s="31"/>
      <c r="BL75" s="31"/>
      <c r="BM75" s="31" t="s">
        <v>793</v>
      </c>
      <c r="BN75" s="31"/>
    </row>
    <row r="76" spans="1:66">
      <c r="A76" s="2" t="s">
        <v>96</v>
      </c>
      <c r="B76" s="3"/>
      <c r="C76" s="3" t="s">
        <v>97</v>
      </c>
      <c r="D76" s="6">
        <v>8000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23">
        <f t="shared" si="3"/>
        <v>8000</v>
      </c>
      <c r="S76" s="6"/>
      <c r="T76" s="23">
        <f t="shared" si="4"/>
        <v>8000</v>
      </c>
      <c r="U76" s="31"/>
      <c r="V76" s="31"/>
      <c r="W76" s="31" t="s">
        <v>795</v>
      </c>
      <c r="X76" s="31"/>
      <c r="Y76" s="31" t="s">
        <v>795</v>
      </c>
      <c r="Z76" s="31" t="s">
        <v>795</v>
      </c>
      <c r="AA76" s="31" t="s">
        <v>795</v>
      </c>
      <c r="AB76" s="31" t="s">
        <v>795</v>
      </c>
      <c r="AC76" s="31"/>
      <c r="AD76" s="31" t="s">
        <v>795</v>
      </c>
      <c r="AE76" s="31" t="s">
        <v>795</v>
      </c>
      <c r="AF76" s="31" t="s">
        <v>795</v>
      </c>
      <c r="AG76" s="31" t="s">
        <v>795</v>
      </c>
      <c r="AH76" s="31" t="s">
        <v>795</v>
      </c>
      <c r="AI76" s="31" t="s">
        <v>795</v>
      </c>
      <c r="AJ76" s="31"/>
      <c r="AK76" s="31" t="s">
        <v>795</v>
      </c>
      <c r="AL76" s="31" t="s">
        <v>795</v>
      </c>
      <c r="AM76" s="31" t="s">
        <v>795</v>
      </c>
      <c r="AN76" s="31" t="s">
        <v>795</v>
      </c>
      <c r="AO76" s="31" t="s">
        <v>795</v>
      </c>
      <c r="AP76" s="31" t="s">
        <v>795</v>
      </c>
      <c r="AQ76" s="31"/>
      <c r="AR76" s="31" t="s">
        <v>795</v>
      </c>
      <c r="AS76" s="31" t="s">
        <v>795</v>
      </c>
      <c r="AT76" s="31" t="s">
        <v>795</v>
      </c>
      <c r="AU76" s="31" t="s">
        <v>795</v>
      </c>
      <c r="AV76" s="31" t="s">
        <v>795</v>
      </c>
      <c r="AW76" s="31" t="s">
        <v>795</v>
      </c>
      <c r="AX76" s="31"/>
      <c r="AY76" s="31" t="s">
        <v>795</v>
      </c>
      <c r="AZ76" s="31"/>
      <c r="BA76" s="31" t="s">
        <v>795</v>
      </c>
      <c r="BB76" s="31" t="s">
        <v>795</v>
      </c>
      <c r="BC76" s="31" t="s">
        <v>795</v>
      </c>
      <c r="BD76" s="31" t="s">
        <v>795</v>
      </c>
      <c r="BE76" s="31"/>
      <c r="BF76" s="31" t="s">
        <v>795</v>
      </c>
      <c r="BG76" s="31" t="s">
        <v>795</v>
      </c>
      <c r="BH76" s="31" t="s">
        <v>795</v>
      </c>
      <c r="BI76" s="31" t="s">
        <v>795</v>
      </c>
      <c r="BJ76" s="31" t="s">
        <v>795</v>
      </c>
      <c r="BK76" s="31"/>
      <c r="BL76" s="31"/>
      <c r="BM76" s="31" t="s">
        <v>795</v>
      </c>
      <c r="BN76" s="31"/>
    </row>
    <row r="77" spans="1:66">
      <c r="A77" s="2" t="s">
        <v>98</v>
      </c>
      <c r="B77" s="3"/>
      <c r="C77" s="3" t="s">
        <v>99</v>
      </c>
      <c r="D77" s="8">
        <v>200900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3">
        <f t="shared" si="3"/>
        <v>200900</v>
      </c>
      <c r="S77" s="6"/>
      <c r="T77" s="23">
        <f t="shared" si="4"/>
        <v>200900</v>
      </c>
      <c r="U77" s="31"/>
      <c r="V77" s="31"/>
      <c r="W77" s="31"/>
      <c r="X77" s="31"/>
      <c r="Y77" s="31"/>
      <c r="Z77" s="31"/>
      <c r="AA77" s="31"/>
      <c r="AB77" s="31" t="s">
        <v>796</v>
      </c>
      <c r="AC77" s="31"/>
      <c r="AD77" s="31" t="s">
        <v>796</v>
      </c>
      <c r="AE77" s="31" t="s">
        <v>796</v>
      </c>
      <c r="AF77" s="31" t="s">
        <v>796</v>
      </c>
      <c r="AG77" s="31" t="s">
        <v>796</v>
      </c>
      <c r="AH77" s="31" t="s">
        <v>796</v>
      </c>
      <c r="AI77" s="31" t="s">
        <v>796</v>
      </c>
      <c r="AJ77" s="31"/>
      <c r="AK77" s="31" t="s">
        <v>796</v>
      </c>
      <c r="AL77" s="31" t="s">
        <v>796</v>
      </c>
      <c r="AM77" s="31" t="s">
        <v>796</v>
      </c>
      <c r="AN77" s="31" t="s">
        <v>796</v>
      </c>
      <c r="AO77" s="31" t="s">
        <v>796</v>
      </c>
      <c r="AP77" s="31" t="s">
        <v>796</v>
      </c>
      <c r="AQ77" s="31"/>
      <c r="AR77" s="31" t="s">
        <v>796</v>
      </c>
      <c r="AS77" s="31" t="s">
        <v>796</v>
      </c>
      <c r="AT77" s="31" t="s">
        <v>796</v>
      </c>
      <c r="AU77" s="31" t="s">
        <v>796</v>
      </c>
      <c r="AV77" s="31" t="s">
        <v>796</v>
      </c>
      <c r="AW77" s="31" t="s">
        <v>796</v>
      </c>
      <c r="AX77" s="31"/>
      <c r="AY77" s="31" t="s">
        <v>796</v>
      </c>
      <c r="AZ77" s="31"/>
      <c r="BA77" s="31" t="s">
        <v>796</v>
      </c>
      <c r="BB77" s="31" t="s">
        <v>796</v>
      </c>
      <c r="BC77" s="31" t="s">
        <v>796</v>
      </c>
      <c r="BD77" s="31" t="s">
        <v>796</v>
      </c>
      <c r="BE77" s="31"/>
      <c r="BF77" s="31" t="s">
        <v>796</v>
      </c>
      <c r="BG77" s="31" t="s">
        <v>796</v>
      </c>
      <c r="BH77" s="31" t="s">
        <v>796</v>
      </c>
      <c r="BI77" s="31" t="s">
        <v>796</v>
      </c>
      <c r="BJ77" s="31" t="s">
        <v>796</v>
      </c>
      <c r="BK77" s="31"/>
      <c r="BL77" s="31"/>
      <c r="BM77" s="31" t="s">
        <v>796</v>
      </c>
      <c r="BN77" s="31"/>
    </row>
    <row r="78" spans="1:66">
      <c r="A78" s="36" t="s">
        <v>100</v>
      </c>
      <c r="B78" s="5"/>
      <c r="C78" s="48" t="s">
        <v>101</v>
      </c>
      <c r="D78" s="36">
        <v>17000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23">
        <f t="shared" si="3"/>
        <v>17000</v>
      </c>
      <c r="S78" s="36"/>
      <c r="T78" s="36">
        <f t="shared" si="4"/>
        <v>17000</v>
      </c>
      <c r="U78" s="31"/>
      <c r="V78" s="31"/>
      <c r="W78" s="31"/>
      <c r="X78" s="31"/>
      <c r="Y78" s="31"/>
      <c r="Z78" s="31"/>
      <c r="AA78" s="31"/>
      <c r="AB78" s="31" t="s">
        <v>795</v>
      </c>
      <c r="AC78" s="31"/>
      <c r="AD78" s="31" t="s">
        <v>795</v>
      </c>
      <c r="AE78" s="31" t="s">
        <v>795</v>
      </c>
      <c r="AF78" s="31" t="s">
        <v>795</v>
      </c>
      <c r="AG78" s="31" t="s">
        <v>795</v>
      </c>
      <c r="AH78" s="31" t="s">
        <v>795</v>
      </c>
      <c r="AI78" s="31" t="s">
        <v>795</v>
      </c>
      <c r="AJ78" s="31"/>
      <c r="AK78" s="31" t="s">
        <v>795</v>
      </c>
      <c r="AL78" s="31" t="s">
        <v>795</v>
      </c>
      <c r="AM78" s="31" t="s">
        <v>796</v>
      </c>
      <c r="AN78" s="31" t="s">
        <v>796</v>
      </c>
      <c r="AO78" s="31" t="s">
        <v>796</v>
      </c>
      <c r="AP78" s="31" t="s">
        <v>796</v>
      </c>
      <c r="AQ78" s="31"/>
      <c r="AR78" s="31" t="s">
        <v>796</v>
      </c>
      <c r="AS78" s="31" t="s">
        <v>796</v>
      </c>
      <c r="AT78" s="31" t="s">
        <v>796</v>
      </c>
      <c r="AU78" s="31" t="s">
        <v>796</v>
      </c>
      <c r="AV78" s="31" t="s">
        <v>796</v>
      </c>
      <c r="AW78" s="31" t="s">
        <v>796</v>
      </c>
      <c r="AX78" s="31"/>
      <c r="AY78" s="31" t="s">
        <v>796</v>
      </c>
      <c r="AZ78" s="31"/>
      <c r="BA78" s="31" t="s">
        <v>796</v>
      </c>
      <c r="BB78" s="31" t="s">
        <v>796</v>
      </c>
      <c r="BC78" s="31" t="s">
        <v>796</v>
      </c>
      <c r="BD78" s="31" t="s">
        <v>796</v>
      </c>
      <c r="BE78" s="31"/>
      <c r="BF78" s="31" t="s">
        <v>796</v>
      </c>
      <c r="BG78" s="31" t="s">
        <v>796</v>
      </c>
      <c r="BH78" s="31" t="s">
        <v>796</v>
      </c>
      <c r="BI78" s="31" t="s">
        <v>796</v>
      </c>
      <c r="BJ78" s="31" t="s">
        <v>796</v>
      </c>
      <c r="BK78" s="31"/>
      <c r="BL78" s="31"/>
      <c r="BM78" s="31" t="s">
        <v>796</v>
      </c>
      <c r="BN78" s="31"/>
    </row>
    <row r="79" spans="1:66">
      <c r="A79" s="2" t="s">
        <v>102</v>
      </c>
      <c r="B79" s="3"/>
      <c r="C79" s="3" t="s">
        <v>103</v>
      </c>
      <c r="D79" s="6">
        <v>9571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23">
        <f t="shared" si="3"/>
        <v>9571</v>
      </c>
      <c r="S79" s="6"/>
      <c r="T79" s="23">
        <f t="shared" si="4"/>
        <v>9571</v>
      </c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 t="s">
        <v>796</v>
      </c>
      <c r="BB79" s="31" t="s">
        <v>796</v>
      </c>
      <c r="BC79" s="31" t="s">
        <v>796</v>
      </c>
      <c r="BD79" s="31" t="s">
        <v>796</v>
      </c>
      <c r="BE79" s="31"/>
      <c r="BF79" s="31" t="s">
        <v>796</v>
      </c>
      <c r="BG79" s="31" t="s">
        <v>796</v>
      </c>
      <c r="BH79" s="31" t="s">
        <v>796</v>
      </c>
      <c r="BI79" s="31" t="s">
        <v>796</v>
      </c>
      <c r="BJ79" s="31" t="s">
        <v>796</v>
      </c>
      <c r="BK79" s="31"/>
      <c r="BL79" s="31"/>
      <c r="BM79" s="31" t="s">
        <v>796</v>
      </c>
      <c r="BN79" s="31"/>
    </row>
    <row r="80" spans="1:66">
      <c r="A80" s="2" t="s">
        <v>104</v>
      </c>
      <c r="B80" s="3"/>
      <c r="C80" s="3" t="s">
        <v>105</v>
      </c>
      <c r="D80" s="6">
        <v>10900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23">
        <f t="shared" si="3"/>
        <v>10900</v>
      </c>
      <c r="S80" s="6"/>
      <c r="T80" s="23">
        <f t="shared" si="4"/>
        <v>10900</v>
      </c>
      <c r="U80" s="31"/>
      <c r="V80" s="31"/>
      <c r="W80" s="31"/>
      <c r="X80" s="31"/>
      <c r="Y80" s="31"/>
      <c r="Z80" s="31"/>
      <c r="AA80" s="31"/>
      <c r="AB80" s="31" t="s">
        <v>795</v>
      </c>
      <c r="AC80" s="31"/>
      <c r="AD80" s="31" t="s">
        <v>795</v>
      </c>
      <c r="AE80" s="31" t="s">
        <v>795</v>
      </c>
      <c r="AF80" s="31" t="s">
        <v>795</v>
      </c>
      <c r="AG80" s="31" t="s">
        <v>795</v>
      </c>
      <c r="AH80" s="31" t="s">
        <v>795</v>
      </c>
      <c r="AI80" s="31" t="s">
        <v>795</v>
      </c>
      <c r="AJ80" s="31"/>
      <c r="AK80" s="31" t="s">
        <v>795</v>
      </c>
      <c r="AL80" s="31" t="s">
        <v>795</v>
      </c>
      <c r="AM80" s="31" t="s">
        <v>793</v>
      </c>
      <c r="AN80" s="31" t="s">
        <v>793</v>
      </c>
      <c r="AO80" s="31" t="s">
        <v>793</v>
      </c>
      <c r="AP80" s="31" t="s">
        <v>793</v>
      </c>
      <c r="AQ80" s="31"/>
      <c r="AR80" s="31" t="s">
        <v>793</v>
      </c>
      <c r="AS80" s="31" t="s">
        <v>793</v>
      </c>
      <c r="AT80" s="31" t="s">
        <v>793</v>
      </c>
      <c r="AU80" s="31" t="s">
        <v>793</v>
      </c>
      <c r="AV80" s="31" t="s">
        <v>793</v>
      </c>
      <c r="AW80" s="31" t="s">
        <v>793</v>
      </c>
      <c r="AX80" s="31"/>
      <c r="AY80" s="31" t="s">
        <v>793</v>
      </c>
      <c r="AZ80" s="31"/>
      <c r="BA80" s="31" t="s">
        <v>796</v>
      </c>
      <c r="BB80" s="31" t="s">
        <v>796</v>
      </c>
      <c r="BC80" s="31" t="s">
        <v>796</v>
      </c>
      <c r="BD80" s="31" t="s">
        <v>796</v>
      </c>
      <c r="BE80" s="31"/>
      <c r="BF80" s="31" t="s">
        <v>796</v>
      </c>
      <c r="BG80" s="31" t="s">
        <v>796</v>
      </c>
      <c r="BH80" s="31" t="s">
        <v>796</v>
      </c>
      <c r="BI80" s="31" t="s">
        <v>796</v>
      </c>
      <c r="BJ80" s="31" t="s">
        <v>796</v>
      </c>
      <c r="BK80" s="31"/>
      <c r="BL80" s="31"/>
      <c r="BM80" s="31" t="s">
        <v>796</v>
      </c>
      <c r="BN80" s="31"/>
    </row>
    <row r="81" spans="1:66">
      <c r="A81" s="4" t="s">
        <v>106</v>
      </c>
      <c r="B81" s="5"/>
      <c r="C81" s="5" t="s">
        <v>107</v>
      </c>
      <c r="D81" s="8">
        <v>96155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23">
        <f t="shared" si="3"/>
        <v>96155</v>
      </c>
      <c r="S81" s="6"/>
      <c r="T81" s="23">
        <f t="shared" si="4"/>
        <v>96155</v>
      </c>
      <c r="U81" s="31"/>
      <c r="V81" s="31"/>
      <c r="W81" s="31"/>
      <c r="X81" s="31"/>
      <c r="Y81" s="31"/>
      <c r="Z81" s="31"/>
      <c r="AA81" s="31"/>
      <c r="AB81" s="31" t="s">
        <v>795</v>
      </c>
      <c r="AC81" s="31"/>
      <c r="AD81" s="31" t="s">
        <v>795</v>
      </c>
      <c r="AE81" s="31" t="s">
        <v>795</v>
      </c>
      <c r="AF81" s="31" t="s">
        <v>795</v>
      </c>
      <c r="AG81" s="31" t="s">
        <v>795</v>
      </c>
      <c r="AH81" s="31" t="s">
        <v>795</v>
      </c>
      <c r="AI81" s="31" t="s">
        <v>795</v>
      </c>
      <c r="AJ81" s="31"/>
      <c r="AK81" s="31" t="s">
        <v>795</v>
      </c>
      <c r="AL81" s="31" t="s">
        <v>795</v>
      </c>
      <c r="AM81" s="31" t="s">
        <v>793</v>
      </c>
      <c r="AN81" s="31" t="s">
        <v>793</v>
      </c>
      <c r="AO81" s="31" t="s">
        <v>793</v>
      </c>
      <c r="AP81" s="31" t="s">
        <v>793</v>
      </c>
      <c r="AQ81" s="31"/>
      <c r="AR81" s="31" t="s">
        <v>793</v>
      </c>
      <c r="AS81" s="31" t="s">
        <v>793</v>
      </c>
      <c r="AT81" s="31" t="s">
        <v>793</v>
      </c>
      <c r="AU81" s="31" t="s">
        <v>793</v>
      </c>
      <c r="AV81" s="31" t="s">
        <v>793</v>
      </c>
      <c r="AW81" s="31" t="s">
        <v>793</v>
      </c>
      <c r="AX81" s="31"/>
      <c r="AY81" s="31" t="s">
        <v>793</v>
      </c>
      <c r="AZ81" s="31"/>
      <c r="BA81" s="31" t="s">
        <v>796</v>
      </c>
      <c r="BB81" s="31" t="s">
        <v>796</v>
      </c>
      <c r="BC81" s="31" t="s">
        <v>796</v>
      </c>
      <c r="BD81" s="31" t="s">
        <v>796</v>
      </c>
      <c r="BE81" s="31"/>
      <c r="BF81" s="31" t="s">
        <v>796</v>
      </c>
      <c r="BG81" s="31" t="s">
        <v>796</v>
      </c>
      <c r="BH81" s="31" t="s">
        <v>796</v>
      </c>
      <c r="BI81" s="31" t="s">
        <v>796</v>
      </c>
      <c r="BJ81" s="31" t="s">
        <v>796</v>
      </c>
      <c r="BK81" s="31"/>
      <c r="BL81" s="31"/>
      <c r="BM81" s="31" t="s">
        <v>796</v>
      </c>
      <c r="BN81" s="31"/>
    </row>
    <row r="82" spans="1:66">
      <c r="A82" s="2" t="s">
        <v>108</v>
      </c>
      <c r="B82" s="3"/>
      <c r="C82" s="3">
        <v>9865555605</v>
      </c>
      <c r="D82" s="6">
        <v>5500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23">
        <f t="shared" si="3"/>
        <v>5500</v>
      </c>
      <c r="S82" s="6"/>
      <c r="T82" s="23">
        <f t="shared" si="4"/>
        <v>5500</v>
      </c>
      <c r="U82" s="31"/>
      <c r="V82" s="31"/>
      <c r="W82" s="31"/>
      <c r="X82" s="31"/>
      <c r="Y82" s="31"/>
      <c r="Z82" s="31"/>
      <c r="AA82" s="31"/>
      <c r="AB82" s="31" t="s">
        <v>795</v>
      </c>
      <c r="AC82" s="31"/>
      <c r="AD82" s="31" t="s">
        <v>795</v>
      </c>
      <c r="AE82" s="31" t="s">
        <v>795</v>
      </c>
      <c r="AF82" s="31" t="s">
        <v>795</v>
      </c>
      <c r="AG82" s="31" t="s">
        <v>795</v>
      </c>
      <c r="AH82" s="31" t="s">
        <v>795</v>
      </c>
      <c r="AI82" s="31" t="s">
        <v>795</v>
      </c>
      <c r="AJ82" s="31"/>
      <c r="AK82" s="31" t="s">
        <v>795</v>
      </c>
      <c r="AL82" s="31" t="s">
        <v>795</v>
      </c>
      <c r="AM82" s="31" t="s">
        <v>796</v>
      </c>
      <c r="AN82" s="31" t="s">
        <v>796</v>
      </c>
      <c r="AO82" s="31" t="s">
        <v>796</v>
      </c>
      <c r="AP82" s="31" t="s">
        <v>796</v>
      </c>
      <c r="AQ82" s="31"/>
      <c r="AR82" s="31" t="s">
        <v>796</v>
      </c>
      <c r="AS82" s="31" t="s">
        <v>796</v>
      </c>
      <c r="AT82" s="31" t="s">
        <v>796</v>
      </c>
      <c r="AU82" s="31" t="s">
        <v>796</v>
      </c>
      <c r="AV82" s="31" t="s">
        <v>796</v>
      </c>
      <c r="AW82" s="31" t="s">
        <v>796</v>
      </c>
      <c r="AX82" s="31"/>
      <c r="AY82" s="31" t="s">
        <v>796</v>
      </c>
      <c r="AZ82" s="31"/>
      <c r="BA82" s="31" t="s">
        <v>796</v>
      </c>
      <c r="BB82" s="31" t="s">
        <v>796</v>
      </c>
      <c r="BC82" s="31" t="s">
        <v>796</v>
      </c>
      <c r="BD82" s="31" t="s">
        <v>796</v>
      </c>
      <c r="BE82" s="31"/>
      <c r="BF82" s="31" t="s">
        <v>796</v>
      </c>
      <c r="BG82" s="31" t="s">
        <v>796</v>
      </c>
      <c r="BH82" s="31" t="s">
        <v>796</v>
      </c>
      <c r="BI82" s="31" t="s">
        <v>796</v>
      </c>
      <c r="BJ82" s="31" t="s">
        <v>796</v>
      </c>
      <c r="BK82" s="31"/>
      <c r="BL82" s="31"/>
      <c r="BM82" s="31" t="s">
        <v>796</v>
      </c>
      <c r="BN82" s="31"/>
    </row>
    <row r="83" spans="1:66">
      <c r="A83" s="36" t="s">
        <v>109</v>
      </c>
      <c r="B83" s="5"/>
      <c r="C83" s="48" t="s">
        <v>110</v>
      </c>
      <c r="D83" s="36">
        <v>35000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23">
        <f t="shared" si="3"/>
        <v>35000</v>
      </c>
      <c r="S83" s="36"/>
      <c r="T83" s="36">
        <f t="shared" si="4"/>
        <v>35000</v>
      </c>
      <c r="U83" s="14"/>
      <c r="V83" s="14"/>
      <c r="W83" s="14" t="s">
        <v>795</v>
      </c>
      <c r="X83" s="14"/>
      <c r="Y83" s="14" t="s">
        <v>795</v>
      </c>
      <c r="Z83" s="14" t="s">
        <v>795</v>
      </c>
      <c r="AA83" s="14" t="s">
        <v>795</v>
      </c>
      <c r="AB83" s="14" t="s">
        <v>795</v>
      </c>
      <c r="AC83" s="14"/>
      <c r="AD83" s="14" t="s">
        <v>795</v>
      </c>
      <c r="AE83" s="14" t="s">
        <v>795</v>
      </c>
      <c r="AF83" s="14" t="s">
        <v>795</v>
      </c>
      <c r="AG83" s="14" t="s">
        <v>795</v>
      </c>
      <c r="AH83" s="14" t="s">
        <v>795</v>
      </c>
      <c r="AI83" s="14" t="s">
        <v>795</v>
      </c>
      <c r="AJ83" s="31"/>
      <c r="AK83" s="14" t="s">
        <v>795</v>
      </c>
      <c r="AL83" s="14" t="s">
        <v>795</v>
      </c>
      <c r="AM83" s="31" t="s">
        <v>795</v>
      </c>
      <c r="AN83" s="31" t="s">
        <v>795</v>
      </c>
      <c r="AO83" s="31" t="s">
        <v>795</v>
      </c>
      <c r="AP83" s="31" t="s">
        <v>795</v>
      </c>
      <c r="AQ83" s="31"/>
      <c r="AR83" s="31" t="s">
        <v>795</v>
      </c>
      <c r="AS83" s="31" t="s">
        <v>795</v>
      </c>
      <c r="AT83" s="31" t="s">
        <v>795</v>
      </c>
      <c r="AU83" s="31" t="s">
        <v>795</v>
      </c>
      <c r="AV83" s="31" t="s">
        <v>795</v>
      </c>
      <c r="AW83" s="31" t="s">
        <v>795</v>
      </c>
      <c r="AX83" s="31"/>
      <c r="AY83" s="31" t="s">
        <v>795</v>
      </c>
      <c r="AZ83" s="31"/>
      <c r="BA83" s="31" t="s">
        <v>795</v>
      </c>
      <c r="BB83" s="31" t="s">
        <v>795</v>
      </c>
      <c r="BC83" s="31" t="s">
        <v>795</v>
      </c>
      <c r="BD83" s="31" t="s">
        <v>795</v>
      </c>
      <c r="BE83" s="31"/>
      <c r="BF83" s="31" t="s">
        <v>795</v>
      </c>
      <c r="BG83" s="31" t="s">
        <v>795</v>
      </c>
      <c r="BH83" s="31" t="s">
        <v>795</v>
      </c>
      <c r="BI83" s="31" t="s">
        <v>795</v>
      </c>
      <c r="BJ83" s="31" t="s">
        <v>795</v>
      </c>
      <c r="BK83" s="31"/>
      <c r="BL83" s="31"/>
      <c r="BM83" s="31" t="s">
        <v>795</v>
      </c>
      <c r="BN83" s="31"/>
    </row>
    <row r="84" spans="1:66">
      <c r="A84" s="2" t="s">
        <v>111</v>
      </c>
      <c r="B84" s="3"/>
      <c r="C84" s="3" t="s">
        <v>112</v>
      </c>
      <c r="D84" s="6">
        <v>19120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3">
        <f t="shared" si="3"/>
        <v>19120</v>
      </c>
      <c r="S84" s="6"/>
      <c r="T84" s="23">
        <f t="shared" si="4"/>
        <v>19120</v>
      </c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 t="s">
        <v>796</v>
      </c>
      <c r="AN84" s="31" t="s">
        <v>796</v>
      </c>
      <c r="AO84" s="31" t="s">
        <v>796</v>
      </c>
      <c r="AP84" s="31" t="s">
        <v>796</v>
      </c>
      <c r="AQ84" s="31"/>
      <c r="AR84" s="31" t="s">
        <v>796</v>
      </c>
      <c r="AS84" s="31" t="s">
        <v>796</v>
      </c>
      <c r="AT84" s="31" t="s">
        <v>796</v>
      </c>
      <c r="AU84" s="31" t="s">
        <v>796</v>
      </c>
      <c r="AV84" s="31" t="s">
        <v>796</v>
      </c>
      <c r="AW84" s="31" t="s">
        <v>796</v>
      </c>
      <c r="AX84" s="31"/>
      <c r="AY84" s="31" t="s">
        <v>796</v>
      </c>
      <c r="AZ84" s="31"/>
      <c r="BA84" s="31" t="s">
        <v>796</v>
      </c>
      <c r="BB84" s="31" t="s">
        <v>796</v>
      </c>
      <c r="BC84" s="31" t="s">
        <v>796</v>
      </c>
      <c r="BD84" s="31" t="s">
        <v>796</v>
      </c>
      <c r="BE84" s="31"/>
      <c r="BF84" s="31" t="s">
        <v>796</v>
      </c>
      <c r="BG84" s="31" t="s">
        <v>796</v>
      </c>
      <c r="BH84" s="31" t="s">
        <v>796</v>
      </c>
      <c r="BI84" s="31" t="s">
        <v>796</v>
      </c>
      <c r="BJ84" s="31" t="s">
        <v>796</v>
      </c>
      <c r="BK84" s="31"/>
      <c r="BL84" s="31"/>
      <c r="BM84" s="31" t="s">
        <v>796</v>
      </c>
      <c r="BN84" s="31"/>
    </row>
    <row r="85" spans="1:66">
      <c r="A85" s="2" t="s">
        <v>113</v>
      </c>
      <c r="B85" s="3"/>
      <c r="C85" s="3" t="s">
        <v>114</v>
      </c>
      <c r="D85" s="6">
        <v>9987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3">
        <f t="shared" si="3"/>
        <v>9987</v>
      </c>
      <c r="S85" s="6"/>
      <c r="T85" s="23">
        <f t="shared" si="4"/>
        <v>9987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 t="s">
        <v>796</v>
      </c>
      <c r="AN85" s="31" t="s">
        <v>796</v>
      </c>
      <c r="AO85" s="31" t="s">
        <v>796</v>
      </c>
      <c r="AP85" s="31" t="s">
        <v>796</v>
      </c>
      <c r="AQ85" s="31"/>
      <c r="AR85" s="31" t="s">
        <v>796</v>
      </c>
      <c r="AS85" s="31" t="s">
        <v>796</v>
      </c>
      <c r="AT85" s="31" t="s">
        <v>796</v>
      </c>
      <c r="AU85" s="31" t="s">
        <v>796</v>
      </c>
      <c r="AV85" s="31" t="s">
        <v>796</v>
      </c>
      <c r="AW85" s="31" t="s">
        <v>796</v>
      </c>
      <c r="AX85" s="31"/>
      <c r="AY85" s="31" t="s">
        <v>796</v>
      </c>
      <c r="AZ85" s="31"/>
      <c r="BA85" s="31" t="s">
        <v>796</v>
      </c>
      <c r="BB85" s="31" t="s">
        <v>796</v>
      </c>
      <c r="BC85" s="31" t="s">
        <v>796</v>
      </c>
      <c r="BD85" s="31" t="s">
        <v>796</v>
      </c>
      <c r="BE85" s="31"/>
      <c r="BF85" s="31" t="s">
        <v>796</v>
      </c>
      <c r="BG85" s="31" t="s">
        <v>796</v>
      </c>
      <c r="BH85" s="31" t="s">
        <v>796</v>
      </c>
      <c r="BI85" s="31" t="s">
        <v>796</v>
      </c>
      <c r="BJ85" s="31" t="s">
        <v>796</v>
      </c>
      <c r="BK85" s="31"/>
      <c r="BL85" s="31"/>
      <c r="BM85" s="31" t="s">
        <v>796</v>
      </c>
      <c r="BN85" s="31"/>
    </row>
    <row r="86" spans="1:66">
      <c r="A86" s="2" t="s">
        <v>115</v>
      </c>
      <c r="B86" s="3"/>
      <c r="C86" s="3" t="s">
        <v>116</v>
      </c>
      <c r="D86" s="8">
        <v>56500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23">
        <f t="shared" si="3"/>
        <v>56500</v>
      </c>
      <c r="S86" s="6"/>
      <c r="T86" s="23">
        <f t="shared" si="4"/>
        <v>56500</v>
      </c>
      <c r="U86" s="31"/>
      <c r="V86" s="31"/>
      <c r="W86" s="31" t="s">
        <v>793</v>
      </c>
      <c r="X86" s="31"/>
      <c r="Y86" s="31" t="s">
        <v>793</v>
      </c>
      <c r="Z86" s="31" t="s">
        <v>793</v>
      </c>
      <c r="AA86" s="31" t="s">
        <v>793</v>
      </c>
      <c r="AB86" s="31"/>
      <c r="AC86" s="31"/>
      <c r="AD86" s="31"/>
      <c r="AE86" s="31"/>
      <c r="AF86" s="31"/>
      <c r="AG86" s="31"/>
      <c r="AH86" s="31"/>
      <c r="AI86" s="31" t="s">
        <v>793</v>
      </c>
      <c r="AJ86" s="31"/>
      <c r="AK86" s="31" t="s">
        <v>793</v>
      </c>
      <c r="AL86" s="31" t="s">
        <v>793</v>
      </c>
      <c r="AM86" s="31" t="s">
        <v>793</v>
      </c>
      <c r="AN86" s="31" t="s">
        <v>793</v>
      </c>
      <c r="AO86" s="31" t="s">
        <v>793</v>
      </c>
      <c r="AP86" s="31" t="s">
        <v>793</v>
      </c>
      <c r="AQ86" s="31"/>
      <c r="AR86" s="31" t="s">
        <v>793</v>
      </c>
      <c r="AS86" s="31" t="s">
        <v>793</v>
      </c>
      <c r="AT86" s="31" t="s">
        <v>793</v>
      </c>
      <c r="AU86" s="31" t="s">
        <v>793</v>
      </c>
      <c r="AV86" s="31" t="s">
        <v>793</v>
      </c>
      <c r="AW86" s="31" t="s">
        <v>793</v>
      </c>
      <c r="AX86" s="31"/>
      <c r="AY86" s="31" t="s">
        <v>793</v>
      </c>
      <c r="AZ86" s="31"/>
      <c r="BA86" s="31" t="s">
        <v>793</v>
      </c>
      <c r="BB86" s="31" t="s">
        <v>793</v>
      </c>
      <c r="BC86" s="31" t="s">
        <v>793</v>
      </c>
      <c r="BD86" s="31" t="s">
        <v>793</v>
      </c>
      <c r="BE86" s="31"/>
      <c r="BF86" s="31" t="s">
        <v>793</v>
      </c>
      <c r="BG86" s="31" t="s">
        <v>793</v>
      </c>
      <c r="BH86" s="31" t="s">
        <v>793</v>
      </c>
      <c r="BI86" s="31" t="s">
        <v>793</v>
      </c>
      <c r="BJ86" s="31" t="s">
        <v>793</v>
      </c>
      <c r="BK86" s="31"/>
      <c r="BL86" s="31"/>
      <c r="BM86" s="31" t="s">
        <v>793</v>
      </c>
      <c r="BN86" s="31"/>
    </row>
    <row r="87" spans="1:66">
      <c r="A87" s="2" t="s">
        <v>117</v>
      </c>
      <c r="B87" s="3"/>
      <c r="C87" s="3">
        <v>9851239333</v>
      </c>
      <c r="D87" s="8">
        <v>208310.03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23">
        <f t="shared" si="3"/>
        <v>208310.03</v>
      </c>
      <c r="S87" s="6"/>
      <c r="T87" s="23">
        <f t="shared" si="4"/>
        <v>208310.03</v>
      </c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 t="s">
        <v>796</v>
      </c>
      <c r="AN87" s="31" t="s">
        <v>796</v>
      </c>
      <c r="AO87" s="31" t="s">
        <v>796</v>
      </c>
      <c r="AP87" s="31" t="s">
        <v>796</v>
      </c>
      <c r="AQ87" s="31"/>
      <c r="AR87" s="31" t="s">
        <v>796</v>
      </c>
      <c r="AS87" s="31" t="s">
        <v>796</v>
      </c>
      <c r="AT87" s="31" t="s">
        <v>796</v>
      </c>
      <c r="AU87" s="31" t="s">
        <v>796</v>
      </c>
      <c r="AV87" s="31" t="s">
        <v>796</v>
      </c>
      <c r="AW87" s="31" t="s">
        <v>796</v>
      </c>
      <c r="AX87" s="31"/>
      <c r="AY87" s="31" t="s">
        <v>796</v>
      </c>
      <c r="AZ87" s="31"/>
      <c r="BA87" s="31" t="s">
        <v>796</v>
      </c>
      <c r="BB87" s="31" t="s">
        <v>796</v>
      </c>
      <c r="BC87" s="31" t="s">
        <v>796</v>
      </c>
      <c r="BD87" s="31" t="s">
        <v>796</v>
      </c>
      <c r="BE87" s="31"/>
      <c r="BF87" s="31" t="s">
        <v>796</v>
      </c>
      <c r="BG87" s="31" t="s">
        <v>796</v>
      </c>
      <c r="BH87" s="31" t="s">
        <v>796</v>
      </c>
      <c r="BI87" s="31" t="s">
        <v>796</v>
      </c>
      <c r="BJ87" s="31" t="s">
        <v>796</v>
      </c>
      <c r="BK87" s="31"/>
      <c r="BL87" s="31"/>
      <c r="BM87" s="31" t="s">
        <v>796</v>
      </c>
      <c r="BN87" s="31"/>
    </row>
    <row r="88" spans="1:66">
      <c r="A88" s="2" t="s">
        <v>118</v>
      </c>
      <c r="B88" s="3"/>
      <c r="C88" s="3" t="s">
        <v>119</v>
      </c>
      <c r="D88" s="6">
        <v>37500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23">
        <f t="shared" si="3"/>
        <v>37500</v>
      </c>
      <c r="S88" s="6"/>
      <c r="T88" s="23">
        <f t="shared" si="4"/>
        <v>37500</v>
      </c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 t="s">
        <v>796</v>
      </c>
      <c r="AQ88" s="31"/>
      <c r="AR88" s="31" t="s">
        <v>796</v>
      </c>
      <c r="AS88" s="31" t="s">
        <v>796</v>
      </c>
      <c r="AT88" s="31" t="s">
        <v>796</v>
      </c>
      <c r="AU88" s="31" t="s">
        <v>796</v>
      </c>
      <c r="AV88" s="31" t="s">
        <v>796</v>
      </c>
      <c r="AW88" s="31" t="s">
        <v>796</v>
      </c>
      <c r="AX88" s="31"/>
      <c r="AY88" s="31" t="s">
        <v>796</v>
      </c>
      <c r="AZ88" s="31"/>
      <c r="BA88" s="31" t="s">
        <v>796</v>
      </c>
      <c r="BB88" s="31" t="s">
        <v>796</v>
      </c>
      <c r="BC88" s="31" t="s">
        <v>796</v>
      </c>
      <c r="BD88" s="31" t="s">
        <v>796</v>
      </c>
      <c r="BE88" s="31"/>
      <c r="BF88" s="31" t="s">
        <v>796</v>
      </c>
      <c r="BG88" s="31" t="s">
        <v>796</v>
      </c>
      <c r="BH88" s="31" t="s">
        <v>796</v>
      </c>
      <c r="BI88" s="31" t="s">
        <v>796</v>
      </c>
      <c r="BJ88" s="31" t="s">
        <v>796</v>
      </c>
      <c r="BK88" s="31"/>
      <c r="BL88" s="31"/>
      <c r="BM88" s="31" t="s">
        <v>796</v>
      </c>
      <c r="BN88" s="31"/>
    </row>
    <row r="89" spans="1:66">
      <c r="A89" s="2" t="s">
        <v>120</v>
      </c>
      <c r="B89" s="3"/>
      <c r="C89" s="3" t="s">
        <v>121</v>
      </c>
      <c r="D89" s="6">
        <v>4079.1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3">
        <f t="shared" si="3"/>
        <v>4079.1</v>
      </c>
      <c r="S89" s="6"/>
      <c r="T89" s="23">
        <f t="shared" si="4"/>
        <v>4079.1</v>
      </c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 t="s">
        <v>796</v>
      </c>
      <c r="AN89" s="31" t="s">
        <v>796</v>
      </c>
      <c r="AO89" s="31" t="s">
        <v>796</v>
      </c>
      <c r="AP89" s="31" t="s">
        <v>796</v>
      </c>
      <c r="AQ89" s="31"/>
      <c r="AR89" s="31" t="s">
        <v>796</v>
      </c>
      <c r="AS89" s="31" t="s">
        <v>796</v>
      </c>
      <c r="AT89" s="31" t="s">
        <v>796</v>
      </c>
      <c r="AU89" s="31" t="s">
        <v>796</v>
      </c>
      <c r="AV89" s="31" t="s">
        <v>796</v>
      </c>
      <c r="AW89" s="31" t="s">
        <v>796</v>
      </c>
      <c r="AX89" s="31"/>
      <c r="AY89" s="31" t="s">
        <v>796</v>
      </c>
      <c r="AZ89" s="31"/>
      <c r="BA89" s="31" t="s">
        <v>796</v>
      </c>
      <c r="BB89" s="31" t="s">
        <v>796</v>
      </c>
      <c r="BC89" s="31" t="s">
        <v>796</v>
      </c>
      <c r="BD89" s="31" t="s">
        <v>796</v>
      </c>
      <c r="BE89" s="31"/>
      <c r="BF89" s="31" t="s">
        <v>796</v>
      </c>
      <c r="BG89" s="31" t="s">
        <v>796</v>
      </c>
      <c r="BH89" s="31" t="s">
        <v>796</v>
      </c>
      <c r="BI89" s="31" t="s">
        <v>796</v>
      </c>
      <c r="BJ89" s="31" t="s">
        <v>796</v>
      </c>
      <c r="BK89" s="31"/>
      <c r="BL89" s="31"/>
      <c r="BM89" s="31" t="s">
        <v>796</v>
      </c>
      <c r="BN89" s="31"/>
    </row>
    <row r="90" spans="1:66">
      <c r="A90" s="15" t="s">
        <v>122</v>
      </c>
      <c r="B90" s="16"/>
      <c r="C90" s="16"/>
      <c r="D90" s="23">
        <v>-4500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3">
        <f t="shared" si="3"/>
        <v>-4500</v>
      </c>
      <c r="S90" s="15"/>
      <c r="T90" s="15">
        <f t="shared" si="4"/>
        <v>-4500</v>
      </c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spans="1:66">
      <c r="A91" s="2" t="s">
        <v>123</v>
      </c>
      <c r="B91" s="3"/>
      <c r="C91" s="3">
        <v>9857031023</v>
      </c>
      <c r="D91" s="8">
        <v>149882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23">
        <f t="shared" si="3"/>
        <v>149882</v>
      </c>
      <c r="S91" s="6"/>
      <c r="T91" s="23">
        <f t="shared" si="4"/>
        <v>149882</v>
      </c>
      <c r="U91" s="31"/>
      <c r="V91" s="31"/>
      <c r="W91" s="31" t="s">
        <v>796</v>
      </c>
      <c r="X91" s="31"/>
      <c r="Y91" s="31" t="s">
        <v>796</v>
      </c>
      <c r="Z91" s="31" t="s">
        <v>796</v>
      </c>
      <c r="AA91" s="31" t="s">
        <v>796</v>
      </c>
      <c r="AB91" s="31" t="s">
        <v>795</v>
      </c>
      <c r="AC91" s="31"/>
      <c r="AD91" s="31" t="s">
        <v>795</v>
      </c>
      <c r="AE91" s="31" t="s">
        <v>795</v>
      </c>
      <c r="AF91" s="31" t="s">
        <v>795</v>
      </c>
      <c r="AG91" s="31" t="s">
        <v>795</v>
      </c>
      <c r="AH91" s="31" t="s">
        <v>795</v>
      </c>
      <c r="AI91" s="31" t="s">
        <v>795</v>
      </c>
      <c r="AJ91" s="31"/>
      <c r="AK91" s="31" t="s">
        <v>795</v>
      </c>
      <c r="AL91" s="31" t="s">
        <v>795</v>
      </c>
      <c r="AM91" s="31" t="s">
        <v>795</v>
      </c>
      <c r="AN91" s="31" t="s">
        <v>795</v>
      </c>
      <c r="AO91" s="31" t="s">
        <v>795</v>
      </c>
      <c r="AP91" s="31" t="s">
        <v>795</v>
      </c>
      <c r="AQ91" s="31"/>
      <c r="AR91" s="31" t="s">
        <v>795</v>
      </c>
      <c r="AS91" s="31" t="s">
        <v>795</v>
      </c>
      <c r="AT91" s="31" t="s">
        <v>795</v>
      </c>
      <c r="AU91" s="31" t="s">
        <v>795</v>
      </c>
      <c r="AV91" s="31" t="s">
        <v>795</v>
      </c>
      <c r="AW91" s="31" t="s">
        <v>795</v>
      </c>
      <c r="AX91" s="31"/>
      <c r="AY91" s="31" t="s">
        <v>795</v>
      </c>
      <c r="AZ91" s="31"/>
      <c r="BA91" s="31" t="s">
        <v>795</v>
      </c>
      <c r="BB91" s="31" t="s">
        <v>795</v>
      </c>
      <c r="BC91" s="31" t="s">
        <v>795</v>
      </c>
      <c r="BD91" s="31" t="s">
        <v>795</v>
      </c>
      <c r="BE91" s="31"/>
      <c r="BF91" s="31" t="s">
        <v>795</v>
      </c>
      <c r="BG91" s="31" t="s">
        <v>795</v>
      </c>
      <c r="BH91" s="31" t="s">
        <v>795</v>
      </c>
      <c r="BI91" s="31" t="s">
        <v>795</v>
      </c>
      <c r="BJ91" s="31" t="s">
        <v>795</v>
      </c>
      <c r="BK91" s="31"/>
      <c r="BL91" s="31"/>
      <c r="BM91" s="31" t="s">
        <v>795</v>
      </c>
      <c r="BN91" s="31"/>
    </row>
    <row r="92" spans="1:66">
      <c r="A92" s="2" t="s">
        <v>124</v>
      </c>
      <c r="B92" s="3"/>
      <c r="C92" s="3" t="s">
        <v>125</v>
      </c>
      <c r="D92" s="8">
        <v>3400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23">
        <f t="shared" si="3"/>
        <v>3400</v>
      </c>
      <c r="S92" s="6"/>
      <c r="T92" s="23">
        <f t="shared" si="4"/>
        <v>3400</v>
      </c>
      <c r="U92" s="31"/>
      <c r="V92" s="31"/>
      <c r="W92" s="31"/>
      <c r="X92" s="31"/>
      <c r="Y92" s="31"/>
      <c r="Z92" s="31"/>
      <c r="AA92" s="31"/>
      <c r="AB92" s="31" t="s">
        <v>796</v>
      </c>
      <c r="AC92" s="31"/>
      <c r="AD92" s="31" t="s">
        <v>796</v>
      </c>
      <c r="AE92" s="31" t="s">
        <v>796</v>
      </c>
      <c r="AF92" s="31" t="s">
        <v>796</v>
      </c>
      <c r="AG92" s="31" t="s">
        <v>796</v>
      </c>
      <c r="AH92" s="31" t="s">
        <v>796</v>
      </c>
      <c r="AI92" s="31" t="s">
        <v>796</v>
      </c>
      <c r="AJ92" s="31"/>
      <c r="AK92" s="31" t="s">
        <v>796</v>
      </c>
      <c r="AL92" s="31" t="s">
        <v>796</v>
      </c>
      <c r="AM92" s="31" t="s">
        <v>796</v>
      </c>
      <c r="AN92" s="31" t="s">
        <v>796</v>
      </c>
      <c r="AO92" s="31" t="s">
        <v>796</v>
      </c>
      <c r="AP92" s="31" t="s">
        <v>796</v>
      </c>
      <c r="AQ92" s="31"/>
      <c r="AR92" s="31" t="s">
        <v>796</v>
      </c>
      <c r="AS92" s="31" t="s">
        <v>796</v>
      </c>
      <c r="AT92" s="31" t="s">
        <v>796</v>
      </c>
      <c r="AU92" s="31" t="s">
        <v>796</v>
      </c>
      <c r="AV92" s="31" t="s">
        <v>796</v>
      </c>
      <c r="AW92" s="31" t="s">
        <v>796</v>
      </c>
      <c r="AX92" s="31"/>
      <c r="AY92" s="31" t="s">
        <v>796</v>
      </c>
      <c r="AZ92" s="31"/>
      <c r="BA92" s="31" t="s">
        <v>796</v>
      </c>
      <c r="BB92" s="31" t="s">
        <v>796</v>
      </c>
      <c r="BC92" s="31" t="s">
        <v>796</v>
      </c>
      <c r="BD92" s="31" t="s">
        <v>796</v>
      </c>
      <c r="BE92" s="31"/>
      <c r="BF92" s="31" t="s">
        <v>796</v>
      </c>
      <c r="BG92" s="31" t="s">
        <v>796</v>
      </c>
      <c r="BH92" s="31" t="s">
        <v>796</v>
      </c>
      <c r="BI92" s="31" t="s">
        <v>796</v>
      </c>
      <c r="BJ92" s="31" t="s">
        <v>796</v>
      </c>
      <c r="BK92" s="31"/>
      <c r="BL92" s="31"/>
      <c r="BM92" s="31" t="s">
        <v>796</v>
      </c>
      <c r="BN92" s="31"/>
    </row>
    <row r="93" spans="1:66">
      <c r="A93" s="4" t="s">
        <v>127</v>
      </c>
      <c r="B93" s="5"/>
      <c r="C93" s="5" t="s">
        <v>128</v>
      </c>
      <c r="D93" s="36">
        <v>130000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3">
        <f t="shared" si="3"/>
        <v>130000</v>
      </c>
      <c r="S93" s="30"/>
      <c r="T93" s="23">
        <f t="shared" si="4"/>
        <v>130000</v>
      </c>
      <c r="U93" s="31"/>
      <c r="V93" s="31"/>
      <c r="W93" s="31" t="s">
        <v>796</v>
      </c>
      <c r="X93" s="31"/>
      <c r="Y93" s="31" t="s">
        <v>796</v>
      </c>
      <c r="Z93" s="31" t="s">
        <v>796</v>
      </c>
      <c r="AA93" s="31" t="s">
        <v>796</v>
      </c>
      <c r="AB93" s="31" t="s">
        <v>796</v>
      </c>
      <c r="AC93" s="31"/>
      <c r="AD93" s="31" t="s">
        <v>796</v>
      </c>
      <c r="AE93" s="31" t="s">
        <v>796</v>
      </c>
      <c r="AF93" s="31" t="s">
        <v>796</v>
      </c>
      <c r="AG93" s="31" t="s">
        <v>796</v>
      </c>
      <c r="AH93" s="31" t="s">
        <v>796</v>
      </c>
      <c r="AI93" s="31" t="s">
        <v>796</v>
      </c>
      <c r="AJ93" s="31"/>
      <c r="AK93" s="31" t="s">
        <v>796</v>
      </c>
      <c r="AL93" s="31" t="s">
        <v>796</v>
      </c>
      <c r="AM93" s="31" t="s">
        <v>796</v>
      </c>
      <c r="AN93" s="31" t="s">
        <v>796</v>
      </c>
      <c r="AO93" s="31" t="s">
        <v>796</v>
      </c>
      <c r="AP93" s="31" t="s">
        <v>796</v>
      </c>
      <c r="AQ93" s="31"/>
      <c r="AR93" s="31" t="s">
        <v>796</v>
      </c>
      <c r="AS93" s="31" t="s">
        <v>796</v>
      </c>
      <c r="AT93" s="31" t="s">
        <v>796</v>
      </c>
      <c r="AU93" s="31" t="s">
        <v>796</v>
      </c>
      <c r="AV93" s="31" t="s">
        <v>796</v>
      </c>
      <c r="AW93" s="31" t="s">
        <v>796</v>
      </c>
      <c r="AX93" s="31"/>
      <c r="AY93" s="31" t="s">
        <v>796</v>
      </c>
      <c r="AZ93" s="31"/>
      <c r="BA93" s="31" t="s">
        <v>796</v>
      </c>
      <c r="BB93" s="31" t="s">
        <v>796</v>
      </c>
      <c r="BC93" s="31" t="s">
        <v>796</v>
      </c>
      <c r="BD93" s="31" t="s">
        <v>796</v>
      </c>
      <c r="BE93" s="31"/>
      <c r="BF93" s="31" t="s">
        <v>796</v>
      </c>
      <c r="BG93" s="31" t="s">
        <v>796</v>
      </c>
      <c r="BH93" s="31" t="s">
        <v>796</v>
      </c>
      <c r="BI93" s="31" t="s">
        <v>796</v>
      </c>
      <c r="BJ93" s="31" t="s">
        <v>796</v>
      </c>
      <c r="BK93" s="31"/>
      <c r="BL93" s="31"/>
      <c r="BM93" s="31" t="s">
        <v>796</v>
      </c>
      <c r="BN93" s="31"/>
    </row>
    <row r="94" spans="1:66">
      <c r="A94" s="2" t="s">
        <v>129</v>
      </c>
      <c r="B94" s="3"/>
      <c r="C94" s="3">
        <v>9857030719</v>
      </c>
      <c r="D94" s="8">
        <v>5500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23">
        <f t="shared" si="3"/>
        <v>5500</v>
      </c>
      <c r="S94" s="6"/>
      <c r="T94" s="23">
        <f t="shared" si="4"/>
        <v>5500</v>
      </c>
      <c r="U94" s="31"/>
      <c r="V94" s="31"/>
      <c r="W94" s="31" t="s">
        <v>796</v>
      </c>
      <c r="X94" s="31"/>
      <c r="Y94" s="31" t="s">
        <v>796</v>
      </c>
      <c r="Z94" s="31" t="s">
        <v>796</v>
      </c>
      <c r="AA94" s="31" t="s">
        <v>796</v>
      </c>
      <c r="AB94" s="31" t="s">
        <v>795</v>
      </c>
      <c r="AC94" s="31"/>
      <c r="AD94" s="31" t="s">
        <v>795</v>
      </c>
      <c r="AE94" s="31" t="s">
        <v>795</v>
      </c>
      <c r="AF94" s="31" t="s">
        <v>795</v>
      </c>
      <c r="AG94" s="31" t="s">
        <v>795</v>
      </c>
      <c r="AH94" s="31" t="s">
        <v>795</v>
      </c>
      <c r="AI94" s="31" t="s">
        <v>795</v>
      </c>
      <c r="AJ94" s="31"/>
      <c r="AK94" s="31" t="s">
        <v>795</v>
      </c>
      <c r="AL94" s="31" t="s">
        <v>795</v>
      </c>
      <c r="AM94" s="31" t="s">
        <v>795</v>
      </c>
      <c r="AN94" s="31" t="s">
        <v>795</v>
      </c>
      <c r="AO94" s="31" t="s">
        <v>795</v>
      </c>
      <c r="AP94" s="31" t="s">
        <v>795</v>
      </c>
      <c r="AQ94" s="31"/>
      <c r="AR94" s="31" t="s">
        <v>795</v>
      </c>
      <c r="AS94" s="31" t="s">
        <v>795</v>
      </c>
      <c r="AT94" s="31" t="s">
        <v>795</v>
      </c>
      <c r="AU94" s="31" t="s">
        <v>795</v>
      </c>
      <c r="AV94" s="31" t="s">
        <v>795</v>
      </c>
      <c r="AW94" s="31" t="s">
        <v>795</v>
      </c>
      <c r="AX94" s="31"/>
      <c r="AY94" s="31" t="s">
        <v>795</v>
      </c>
      <c r="AZ94" s="31"/>
      <c r="BA94" s="31" t="s">
        <v>795</v>
      </c>
      <c r="BB94" s="31" t="s">
        <v>795</v>
      </c>
      <c r="BC94" s="31" t="s">
        <v>795</v>
      </c>
      <c r="BD94" s="31" t="s">
        <v>795</v>
      </c>
      <c r="BE94" s="31"/>
      <c r="BF94" s="31" t="s">
        <v>795</v>
      </c>
      <c r="BG94" s="31" t="s">
        <v>795</v>
      </c>
      <c r="BH94" s="31" t="s">
        <v>795</v>
      </c>
      <c r="BI94" s="31" t="s">
        <v>795</v>
      </c>
      <c r="BJ94" s="31" t="s">
        <v>795</v>
      </c>
      <c r="BK94" s="31"/>
      <c r="BL94" s="31"/>
      <c r="BM94" s="31" t="s">
        <v>795</v>
      </c>
      <c r="BN94" s="31"/>
    </row>
    <row r="95" spans="1:66">
      <c r="A95" s="15" t="s">
        <v>130</v>
      </c>
      <c r="B95" s="16"/>
      <c r="C95" s="16">
        <v>9847038203</v>
      </c>
      <c r="D95" s="37">
        <v>-35432</v>
      </c>
      <c r="E95" s="8"/>
      <c r="F95" s="8"/>
      <c r="G95" s="8"/>
      <c r="H95" s="8"/>
      <c r="I95" s="8"/>
      <c r="J95" s="8"/>
      <c r="K95" s="8"/>
      <c r="L95" s="8"/>
      <c r="M95" s="15"/>
      <c r="N95" s="15"/>
      <c r="O95" s="15"/>
      <c r="P95" s="15"/>
      <c r="Q95" s="15"/>
      <c r="R95" s="23">
        <f t="shared" si="3"/>
        <v>-35432</v>
      </c>
      <c r="S95" s="15"/>
      <c r="T95" s="15">
        <f t="shared" si="4"/>
        <v>-35432</v>
      </c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  <row r="96" spans="1:66">
      <c r="A96" s="2" t="s">
        <v>131</v>
      </c>
      <c r="B96" s="3"/>
      <c r="C96" s="3" t="s">
        <v>132</v>
      </c>
      <c r="D96" s="6">
        <v>2900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23">
        <f t="shared" si="3"/>
        <v>2900</v>
      </c>
      <c r="S96" s="6"/>
      <c r="T96" s="23">
        <f t="shared" si="4"/>
        <v>2900</v>
      </c>
      <c r="U96" s="31"/>
      <c r="V96" s="31"/>
      <c r="W96" s="31" t="s">
        <v>793</v>
      </c>
      <c r="X96" s="31"/>
      <c r="Y96" s="31" t="s">
        <v>793</v>
      </c>
      <c r="Z96" s="31" t="s">
        <v>793</v>
      </c>
      <c r="AA96" s="31" t="s">
        <v>793</v>
      </c>
      <c r="AB96" s="31" t="s">
        <v>828</v>
      </c>
      <c r="AC96" s="31"/>
      <c r="AD96" s="31" t="s">
        <v>828</v>
      </c>
      <c r="AE96" s="31" t="s">
        <v>828</v>
      </c>
      <c r="AF96" s="31" t="s">
        <v>828</v>
      </c>
      <c r="AG96" s="31" t="s">
        <v>793</v>
      </c>
      <c r="AH96" s="31" t="s">
        <v>793</v>
      </c>
      <c r="AI96" s="31" t="s">
        <v>793</v>
      </c>
      <c r="AJ96" s="31"/>
      <c r="AK96" s="31" t="s">
        <v>793</v>
      </c>
      <c r="AL96" s="31" t="s">
        <v>793</v>
      </c>
      <c r="AM96" s="31" t="s">
        <v>793</v>
      </c>
      <c r="AN96" s="31" t="s">
        <v>793</v>
      </c>
      <c r="AO96" s="31" t="s">
        <v>793</v>
      </c>
      <c r="AP96" s="31" t="s">
        <v>793</v>
      </c>
      <c r="AQ96" s="31"/>
      <c r="AR96" s="31" t="s">
        <v>793</v>
      </c>
      <c r="AS96" s="31" t="s">
        <v>793</v>
      </c>
      <c r="AT96" s="31" t="s">
        <v>793</v>
      </c>
      <c r="AU96" s="31" t="s">
        <v>793</v>
      </c>
      <c r="AV96" s="31" t="s">
        <v>793</v>
      </c>
      <c r="AW96" s="31" t="s">
        <v>793</v>
      </c>
      <c r="AX96" s="31"/>
      <c r="AY96" s="31" t="s">
        <v>793</v>
      </c>
      <c r="AZ96" s="31"/>
      <c r="BA96" s="31" t="s">
        <v>796</v>
      </c>
      <c r="BB96" s="31" t="s">
        <v>796</v>
      </c>
      <c r="BC96" s="31" t="s">
        <v>796</v>
      </c>
      <c r="BD96" s="31" t="s">
        <v>796</v>
      </c>
      <c r="BE96" s="31"/>
      <c r="BF96" s="31" t="s">
        <v>796</v>
      </c>
      <c r="BG96" s="31" t="s">
        <v>796</v>
      </c>
      <c r="BH96" s="31" t="s">
        <v>796</v>
      </c>
      <c r="BI96" s="31" t="s">
        <v>796</v>
      </c>
      <c r="BJ96" s="31" t="s">
        <v>796</v>
      </c>
      <c r="BK96" s="31"/>
      <c r="BL96" s="31"/>
      <c r="BM96" s="31" t="s">
        <v>796</v>
      </c>
      <c r="BN96" s="31"/>
    </row>
    <row r="97" spans="1:66">
      <c r="A97" s="2" t="s">
        <v>133</v>
      </c>
      <c r="B97" s="3"/>
      <c r="C97" s="3" t="s">
        <v>134</v>
      </c>
      <c r="D97" s="8">
        <v>6315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23">
        <f t="shared" si="3"/>
        <v>6315</v>
      </c>
      <c r="S97" s="6"/>
      <c r="T97" s="23">
        <f t="shared" si="4"/>
        <v>6315</v>
      </c>
      <c r="U97" s="31"/>
      <c r="V97" s="31"/>
      <c r="W97" s="31" t="s">
        <v>796</v>
      </c>
      <c r="X97" s="31"/>
      <c r="Y97" s="31" t="s">
        <v>796</v>
      </c>
      <c r="Z97" s="31" t="s">
        <v>796</v>
      </c>
      <c r="AA97" s="31" t="s">
        <v>796</v>
      </c>
      <c r="AB97" s="31" t="s">
        <v>795</v>
      </c>
      <c r="AC97" s="31"/>
      <c r="AD97" s="31" t="s">
        <v>795</v>
      </c>
      <c r="AE97" s="31" t="s">
        <v>795</v>
      </c>
      <c r="AF97" s="31" t="s">
        <v>795</v>
      </c>
      <c r="AG97" s="31" t="s">
        <v>795</v>
      </c>
      <c r="AH97" s="31" t="s">
        <v>795</v>
      </c>
      <c r="AI97" s="31" t="s">
        <v>795</v>
      </c>
      <c r="AJ97" s="31"/>
      <c r="AK97" s="31" t="s">
        <v>795</v>
      </c>
      <c r="AL97" s="31" t="s">
        <v>795</v>
      </c>
      <c r="AM97" s="31" t="s">
        <v>795</v>
      </c>
      <c r="AN97" s="31" t="s">
        <v>795</v>
      </c>
      <c r="AO97" s="31" t="s">
        <v>795</v>
      </c>
      <c r="AP97" s="31" t="s">
        <v>795</v>
      </c>
      <c r="AQ97" s="31"/>
      <c r="AR97" s="31" t="s">
        <v>795</v>
      </c>
      <c r="AS97" s="31" t="s">
        <v>795</v>
      </c>
      <c r="AT97" s="31" t="s">
        <v>795</v>
      </c>
      <c r="AU97" s="31" t="s">
        <v>795</v>
      </c>
      <c r="AV97" s="31" t="s">
        <v>795</v>
      </c>
      <c r="AW97" s="31" t="s">
        <v>795</v>
      </c>
      <c r="AX97" s="31"/>
      <c r="AY97" s="31" t="s">
        <v>795</v>
      </c>
      <c r="AZ97" s="31"/>
      <c r="BA97" s="31" t="s">
        <v>796</v>
      </c>
      <c r="BB97" s="31" t="s">
        <v>796</v>
      </c>
      <c r="BC97" s="31" t="s">
        <v>796</v>
      </c>
      <c r="BD97" s="31" t="s">
        <v>796</v>
      </c>
      <c r="BE97" s="31"/>
      <c r="BF97" s="31" t="s">
        <v>796</v>
      </c>
      <c r="BG97" s="31" t="s">
        <v>796</v>
      </c>
      <c r="BH97" s="31" t="s">
        <v>796</v>
      </c>
      <c r="BI97" s="31" t="s">
        <v>796</v>
      </c>
      <c r="BJ97" s="31" t="s">
        <v>796</v>
      </c>
      <c r="BK97" s="31"/>
      <c r="BL97" s="31"/>
      <c r="BM97" s="31" t="s">
        <v>796</v>
      </c>
      <c r="BN97" s="31"/>
    </row>
    <row r="98" spans="1:66" s="50" customFormat="1">
      <c r="A98" s="2" t="s">
        <v>135</v>
      </c>
      <c r="B98" s="3"/>
      <c r="C98" s="3">
        <v>9857038147</v>
      </c>
      <c r="D98" s="8">
        <v>898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23">
        <f t="shared" si="3"/>
        <v>898</v>
      </c>
      <c r="S98" s="6"/>
      <c r="T98" s="23">
        <f t="shared" si="4"/>
        <v>898</v>
      </c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 t="s">
        <v>796</v>
      </c>
      <c r="AQ98" s="31"/>
      <c r="AR98" s="31" t="s">
        <v>796</v>
      </c>
      <c r="AS98" s="31" t="s">
        <v>796</v>
      </c>
      <c r="AT98" s="31" t="s">
        <v>796</v>
      </c>
      <c r="AU98" s="31" t="s">
        <v>796</v>
      </c>
      <c r="AV98" s="31" t="s">
        <v>796</v>
      </c>
      <c r="AW98" s="31" t="s">
        <v>796</v>
      </c>
      <c r="AX98" s="31"/>
      <c r="AY98" s="31" t="s">
        <v>796</v>
      </c>
      <c r="AZ98" s="31"/>
      <c r="BA98" s="49" t="s">
        <v>796</v>
      </c>
      <c r="BB98" s="49" t="s">
        <v>796</v>
      </c>
      <c r="BC98" s="49" t="s">
        <v>796</v>
      </c>
      <c r="BD98" s="49" t="s">
        <v>796</v>
      </c>
      <c r="BE98" s="49"/>
      <c r="BF98" s="49" t="s">
        <v>796</v>
      </c>
      <c r="BG98" s="49" t="s">
        <v>796</v>
      </c>
      <c r="BH98" s="49" t="s">
        <v>796</v>
      </c>
      <c r="BI98" s="49" t="s">
        <v>796</v>
      </c>
      <c r="BJ98" s="49" t="s">
        <v>796</v>
      </c>
      <c r="BK98" s="49"/>
      <c r="BL98" s="49"/>
      <c r="BM98" s="49" t="s">
        <v>796</v>
      </c>
      <c r="BN98" s="49"/>
    </row>
    <row r="99" spans="1:66">
      <c r="A99" s="2" t="s">
        <v>138</v>
      </c>
      <c r="B99" s="3"/>
      <c r="C99" s="3" t="s">
        <v>50</v>
      </c>
      <c r="D99" s="6">
        <v>2750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23">
        <f t="shared" si="3"/>
        <v>2750</v>
      </c>
      <c r="S99" s="6"/>
      <c r="T99" s="23">
        <f t="shared" si="4"/>
        <v>2750</v>
      </c>
      <c r="U99" s="31"/>
      <c r="V99" s="31"/>
      <c r="W99" s="31" t="s">
        <v>796</v>
      </c>
      <c r="X99" s="31"/>
      <c r="Y99" s="31" t="s">
        <v>796</v>
      </c>
      <c r="Z99" s="31" t="s">
        <v>796</v>
      </c>
      <c r="AA99" s="31" t="s">
        <v>796</v>
      </c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 t="s">
        <v>796</v>
      </c>
      <c r="AN99" s="31" t="s">
        <v>796</v>
      </c>
      <c r="AO99" s="31" t="s">
        <v>796</v>
      </c>
      <c r="AP99" s="31" t="s">
        <v>796</v>
      </c>
      <c r="AQ99" s="31"/>
      <c r="AR99" s="31" t="s">
        <v>796</v>
      </c>
      <c r="AS99" s="31" t="s">
        <v>796</v>
      </c>
      <c r="AT99" s="31" t="s">
        <v>796</v>
      </c>
      <c r="AU99" s="31" t="s">
        <v>796</v>
      </c>
      <c r="AV99" s="31" t="s">
        <v>796</v>
      </c>
      <c r="AW99" s="31" t="s">
        <v>796</v>
      </c>
      <c r="AX99" s="31"/>
      <c r="AY99" s="31" t="s">
        <v>796</v>
      </c>
      <c r="AZ99" s="31"/>
      <c r="BA99" s="31" t="s">
        <v>796</v>
      </c>
      <c r="BB99" s="31" t="s">
        <v>796</v>
      </c>
      <c r="BC99" s="31" t="s">
        <v>796</v>
      </c>
      <c r="BD99" s="31" t="s">
        <v>796</v>
      </c>
      <c r="BE99" s="31"/>
      <c r="BF99" s="31" t="s">
        <v>796</v>
      </c>
      <c r="BG99" s="31" t="s">
        <v>796</v>
      </c>
      <c r="BH99" s="31" t="s">
        <v>796</v>
      </c>
      <c r="BI99" s="31" t="s">
        <v>796</v>
      </c>
      <c r="BJ99" s="31" t="s">
        <v>796</v>
      </c>
      <c r="BK99" s="31"/>
      <c r="BL99" s="31"/>
      <c r="BM99" s="31" t="s">
        <v>796</v>
      </c>
      <c r="BN99" s="31"/>
    </row>
    <row r="100" spans="1:66">
      <c r="A100" s="2" t="s">
        <v>803</v>
      </c>
      <c r="B100" s="3"/>
      <c r="C100" s="3"/>
      <c r="D100" s="8">
        <v>11000.09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23">
        <f t="shared" si="3"/>
        <v>11000.09</v>
      </c>
      <c r="S100" s="6"/>
      <c r="T100" s="23">
        <f t="shared" si="4"/>
        <v>11000.09</v>
      </c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 t="s">
        <v>793</v>
      </c>
      <c r="AJ100" s="31"/>
      <c r="AK100" s="31" t="s">
        <v>793</v>
      </c>
      <c r="AL100" s="31" t="s">
        <v>793</v>
      </c>
      <c r="AM100" s="31" t="s">
        <v>793</v>
      </c>
      <c r="AN100" s="31" t="s">
        <v>793</v>
      </c>
      <c r="AO100" s="31" t="s">
        <v>793</v>
      </c>
      <c r="AP100" s="31" t="s">
        <v>793</v>
      </c>
      <c r="AQ100" s="31"/>
      <c r="AR100" s="31" t="s">
        <v>793</v>
      </c>
      <c r="AS100" s="31" t="s">
        <v>793</v>
      </c>
      <c r="AT100" s="31" t="s">
        <v>793</v>
      </c>
      <c r="AU100" s="31" t="s">
        <v>793</v>
      </c>
      <c r="AV100" s="31" t="s">
        <v>793</v>
      </c>
      <c r="AW100" s="31" t="s">
        <v>793</v>
      </c>
      <c r="AX100" s="31"/>
      <c r="AY100" s="31" t="s">
        <v>793</v>
      </c>
      <c r="AZ100" s="31"/>
      <c r="BA100" s="31" t="s">
        <v>796</v>
      </c>
      <c r="BB100" s="31" t="s">
        <v>796</v>
      </c>
      <c r="BC100" s="31" t="s">
        <v>796</v>
      </c>
      <c r="BD100" s="31" t="s">
        <v>796</v>
      </c>
      <c r="BE100" s="31"/>
      <c r="BF100" s="31" t="s">
        <v>796</v>
      </c>
      <c r="BG100" s="31" t="s">
        <v>796</v>
      </c>
      <c r="BH100" s="31" t="s">
        <v>796</v>
      </c>
      <c r="BI100" s="31" t="s">
        <v>796</v>
      </c>
      <c r="BJ100" s="31" t="s">
        <v>796</v>
      </c>
      <c r="BK100" s="31"/>
      <c r="BL100" s="31"/>
      <c r="BM100" s="31" t="s">
        <v>796</v>
      </c>
      <c r="BN100" s="31"/>
    </row>
    <row r="101" spans="1:66">
      <c r="A101" s="2" t="s">
        <v>835</v>
      </c>
      <c r="B101" s="3"/>
      <c r="C101" s="3">
        <v>9851197966</v>
      </c>
      <c r="D101" s="8">
        <v>39000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23">
        <f t="shared" si="3"/>
        <v>39000</v>
      </c>
      <c r="S101" s="6"/>
      <c r="T101" s="23">
        <f t="shared" si="4"/>
        <v>39000</v>
      </c>
      <c r="U101" s="14"/>
      <c r="V101" s="14"/>
      <c r="W101" s="14" t="s">
        <v>796</v>
      </c>
      <c r="X101" s="14"/>
      <c r="Y101" s="14" t="s">
        <v>796</v>
      </c>
      <c r="Z101" s="14" t="s">
        <v>796</v>
      </c>
      <c r="AA101" s="14" t="s">
        <v>796</v>
      </c>
      <c r="AB101" s="14" t="s">
        <v>805</v>
      </c>
      <c r="AC101" s="14"/>
      <c r="AD101" s="14" t="s">
        <v>805</v>
      </c>
      <c r="AE101" s="14" t="s">
        <v>805</v>
      </c>
      <c r="AF101" s="14" t="s">
        <v>805</v>
      </c>
      <c r="AG101" s="14" t="s">
        <v>796</v>
      </c>
      <c r="AH101" s="14" t="s">
        <v>796</v>
      </c>
      <c r="AI101" s="14" t="s">
        <v>796</v>
      </c>
      <c r="AJ101" s="31"/>
      <c r="AK101" s="14" t="s">
        <v>796</v>
      </c>
      <c r="AL101" s="14" t="s">
        <v>796</v>
      </c>
      <c r="AM101" s="31" t="s">
        <v>796</v>
      </c>
      <c r="AN101" s="31" t="s">
        <v>796</v>
      </c>
      <c r="AO101" s="31" t="s">
        <v>796</v>
      </c>
      <c r="AP101" s="31" t="s">
        <v>796</v>
      </c>
      <c r="AQ101" s="31"/>
      <c r="AR101" s="31" t="s">
        <v>796</v>
      </c>
      <c r="AS101" s="31" t="s">
        <v>796</v>
      </c>
      <c r="AT101" s="31" t="s">
        <v>796</v>
      </c>
      <c r="AU101" s="31" t="s">
        <v>796</v>
      </c>
      <c r="AV101" s="31" t="s">
        <v>796</v>
      </c>
      <c r="AW101" s="31" t="s">
        <v>796</v>
      </c>
      <c r="AX101" s="31"/>
      <c r="AY101" s="31" t="s">
        <v>796</v>
      </c>
      <c r="AZ101" s="31"/>
      <c r="BA101" s="31" t="s">
        <v>796</v>
      </c>
      <c r="BB101" s="31" t="s">
        <v>796</v>
      </c>
      <c r="BC101" s="31" t="s">
        <v>796</v>
      </c>
      <c r="BD101" s="31" t="s">
        <v>796</v>
      </c>
      <c r="BE101" s="31"/>
      <c r="BF101" s="31" t="s">
        <v>796</v>
      </c>
      <c r="BG101" s="31" t="s">
        <v>796</v>
      </c>
      <c r="BH101" s="31" t="s">
        <v>796</v>
      </c>
      <c r="BI101" s="31" t="s">
        <v>796</v>
      </c>
      <c r="BJ101" s="31" t="s">
        <v>796</v>
      </c>
      <c r="BK101" s="31"/>
      <c r="BL101" s="31"/>
      <c r="BM101" s="31" t="s">
        <v>796</v>
      </c>
      <c r="BN101" s="31"/>
    </row>
    <row r="102" spans="1:66" s="59" customFormat="1">
      <c r="A102" s="7" t="s">
        <v>139</v>
      </c>
      <c r="B102" s="9"/>
      <c r="C102" s="9"/>
      <c r="D102" s="7">
        <v>65800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23">
        <f t="shared" si="3"/>
        <v>65800</v>
      </c>
      <c r="S102" s="7"/>
      <c r="T102" s="7">
        <f t="shared" ref="T102:T128" si="5">R102-S102</f>
        <v>65800</v>
      </c>
    </row>
    <row r="103" spans="1:66" s="59" customFormat="1">
      <c r="A103" s="7" t="s">
        <v>140</v>
      </c>
      <c r="B103" s="9"/>
      <c r="C103" s="9">
        <v>9847123092</v>
      </c>
      <c r="D103" s="7">
        <v>11000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23">
        <f t="shared" si="3"/>
        <v>11000</v>
      </c>
      <c r="S103" s="7"/>
      <c r="T103" s="7">
        <f t="shared" si="5"/>
        <v>11000</v>
      </c>
    </row>
    <row r="104" spans="1:66" s="59" customFormat="1">
      <c r="A104" s="7" t="s">
        <v>141</v>
      </c>
      <c r="B104" s="9"/>
      <c r="C104" s="9" t="s">
        <v>142</v>
      </c>
      <c r="D104" s="7">
        <v>61331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23">
        <f t="shared" si="3"/>
        <v>61331</v>
      </c>
      <c r="S104" s="7"/>
      <c r="T104" s="7">
        <f t="shared" si="5"/>
        <v>61331</v>
      </c>
    </row>
    <row r="105" spans="1:66" s="59" customFormat="1">
      <c r="A105" s="7" t="s">
        <v>143</v>
      </c>
      <c r="B105" s="9"/>
      <c r="C105" s="9">
        <v>9828936999</v>
      </c>
      <c r="D105" s="7">
        <v>6300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23">
        <f t="shared" si="3"/>
        <v>6300</v>
      </c>
      <c r="S105" s="7"/>
      <c r="T105" s="7">
        <f t="shared" si="5"/>
        <v>6300</v>
      </c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66" s="59" customFormat="1">
      <c r="A106" s="7" t="s">
        <v>144</v>
      </c>
      <c r="B106" s="9"/>
      <c r="C106" s="9" t="s">
        <v>142</v>
      </c>
      <c r="D106" s="7">
        <v>50964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23">
        <f t="shared" si="3"/>
        <v>50964</v>
      </c>
      <c r="S106" s="7"/>
      <c r="T106" s="7">
        <f t="shared" si="5"/>
        <v>50964</v>
      </c>
    </row>
    <row r="107" spans="1:66" s="59" customFormat="1">
      <c r="A107" s="7" t="s">
        <v>145</v>
      </c>
      <c r="B107" s="9"/>
      <c r="C107" s="9">
        <v>9847459832</v>
      </c>
      <c r="D107" s="7">
        <v>5700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23">
        <f t="shared" si="3"/>
        <v>5700</v>
      </c>
      <c r="S107" s="7"/>
      <c r="T107" s="7">
        <f t="shared" si="5"/>
        <v>5700</v>
      </c>
    </row>
    <row r="108" spans="1:66" s="59" customFormat="1">
      <c r="A108" s="7" t="s">
        <v>146</v>
      </c>
      <c r="B108" s="9"/>
      <c r="C108" s="9" t="s">
        <v>50</v>
      </c>
      <c r="D108" s="7">
        <v>6400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23">
        <f t="shared" si="3"/>
        <v>6400</v>
      </c>
      <c r="S108" s="7"/>
      <c r="T108" s="7">
        <f t="shared" si="5"/>
        <v>6400</v>
      </c>
    </row>
    <row r="109" spans="1:66" s="59" customFormat="1">
      <c r="A109" s="7" t="s">
        <v>147</v>
      </c>
      <c r="B109" s="9"/>
      <c r="C109" s="9">
        <v>9847501226</v>
      </c>
      <c r="D109" s="7">
        <v>2200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23">
        <f t="shared" si="3"/>
        <v>2200</v>
      </c>
      <c r="S109" s="7"/>
      <c r="T109" s="7">
        <f t="shared" si="5"/>
        <v>2200</v>
      </c>
    </row>
    <row r="110" spans="1:66" s="59" customFormat="1">
      <c r="A110" s="7" t="s">
        <v>148</v>
      </c>
      <c r="B110" s="9"/>
      <c r="C110" s="9"/>
      <c r="D110" s="7">
        <v>23500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23">
        <f t="shared" si="3"/>
        <v>23500</v>
      </c>
      <c r="S110" s="7"/>
      <c r="T110" s="7">
        <f t="shared" si="5"/>
        <v>23500</v>
      </c>
    </row>
    <row r="111" spans="1:66" s="59" customFormat="1">
      <c r="A111" s="7" t="s">
        <v>149</v>
      </c>
      <c r="B111" s="9"/>
      <c r="C111" s="9">
        <v>9866741197</v>
      </c>
      <c r="D111" s="7">
        <v>106480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23">
        <f t="shared" si="3"/>
        <v>106480</v>
      </c>
      <c r="S111" s="7"/>
      <c r="T111" s="7">
        <f t="shared" si="5"/>
        <v>106480</v>
      </c>
    </row>
    <row r="112" spans="1:66" s="59" customFormat="1">
      <c r="A112" s="7" t="s">
        <v>150</v>
      </c>
      <c r="B112" s="9"/>
      <c r="C112" s="9">
        <v>9851147410</v>
      </c>
      <c r="D112" s="7">
        <v>23660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23">
        <f t="shared" si="3"/>
        <v>23660</v>
      </c>
      <c r="S112" s="7"/>
      <c r="T112" s="7">
        <f t="shared" si="5"/>
        <v>23660</v>
      </c>
    </row>
    <row r="113" spans="1:84" s="59" customFormat="1">
      <c r="A113" s="7" t="s">
        <v>151</v>
      </c>
      <c r="B113" s="9"/>
      <c r="C113" s="9" t="s">
        <v>50</v>
      </c>
      <c r="D113" s="7">
        <v>3500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23">
        <f t="shared" si="3"/>
        <v>3500</v>
      </c>
      <c r="S113" s="7"/>
      <c r="T113" s="7">
        <f t="shared" si="5"/>
        <v>3500</v>
      </c>
    </row>
    <row r="114" spans="1:84" s="59" customFormat="1">
      <c r="A114" s="7" t="s">
        <v>152</v>
      </c>
      <c r="B114" s="9"/>
      <c r="C114" s="9" t="s">
        <v>50</v>
      </c>
      <c r="D114" s="7">
        <v>11000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23">
        <f t="shared" si="3"/>
        <v>11000</v>
      </c>
      <c r="S114" s="7"/>
      <c r="T114" s="7">
        <f t="shared" si="5"/>
        <v>11000</v>
      </c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84" s="60" customFormat="1">
      <c r="A115" s="15" t="s">
        <v>153</v>
      </c>
      <c r="B115" s="16"/>
      <c r="C115" s="16" t="s">
        <v>154</v>
      </c>
      <c r="D115" s="15">
        <v>-490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23">
        <f t="shared" si="3"/>
        <v>-490</v>
      </c>
      <c r="S115" s="15"/>
      <c r="T115" s="15">
        <f t="shared" si="5"/>
        <v>-490</v>
      </c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84" s="60" customFormat="1">
      <c r="A116" s="15" t="s">
        <v>155</v>
      </c>
      <c r="B116" s="16"/>
      <c r="C116" s="16">
        <v>9804471252</v>
      </c>
      <c r="D116" s="15">
        <v>306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23">
        <f t="shared" si="3"/>
        <v>306</v>
      </c>
      <c r="S116" s="15"/>
      <c r="T116" s="15">
        <f t="shared" si="5"/>
        <v>306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84" s="60" customFormat="1">
      <c r="A117" s="15" t="s">
        <v>156</v>
      </c>
      <c r="B117" s="16"/>
      <c r="C117" s="16">
        <v>9857034280</v>
      </c>
      <c r="D117" s="15">
        <v>300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23">
        <f t="shared" si="3"/>
        <v>300</v>
      </c>
      <c r="S117" s="15"/>
      <c r="T117" s="15">
        <f t="shared" si="5"/>
        <v>300</v>
      </c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84" s="60" customFormat="1">
      <c r="A118" s="15" t="s">
        <v>157</v>
      </c>
      <c r="B118" s="16"/>
      <c r="C118" s="16">
        <v>9857038683</v>
      </c>
      <c r="D118" s="15">
        <v>78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23">
        <f t="shared" si="3"/>
        <v>78</v>
      </c>
      <c r="S118" s="15"/>
      <c r="T118" s="15">
        <f t="shared" si="5"/>
        <v>78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84" s="60" customFormat="1">
      <c r="A119" s="15" t="s">
        <v>158</v>
      </c>
      <c r="B119" s="16"/>
      <c r="C119" s="16">
        <v>9857023063</v>
      </c>
      <c r="D119" s="15">
        <v>100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23">
        <f t="shared" si="3"/>
        <v>100</v>
      </c>
      <c r="S119" s="15"/>
      <c r="T119" s="15">
        <f t="shared" si="5"/>
        <v>100</v>
      </c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84" s="60" customFormat="1">
      <c r="A120" s="15" t="s">
        <v>159</v>
      </c>
      <c r="B120" s="16"/>
      <c r="C120" s="16">
        <v>9847367377</v>
      </c>
      <c r="D120" s="15">
        <v>262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23">
        <f t="shared" si="3"/>
        <v>262</v>
      </c>
      <c r="S120" s="15"/>
      <c r="T120" s="15">
        <f t="shared" si="5"/>
        <v>262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84" s="60" customFormat="1">
      <c r="A121" s="15" t="s">
        <v>160</v>
      </c>
      <c r="B121" s="16"/>
      <c r="C121" s="16"/>
      <c r="D121" s="15">
        <v>610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23">
        <f t="shared" si="3"/>
        <v>610</v>
      </c>
      <c r="S121" s="15"/>
      <c r="T121" s="15">
        <f t="shared" si="5"/>
        <v>610</v>
      </c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84" s="60" customFormat="1">
      <c r="A122" s="15" t="s">
        <v>161</v>
      </c>
      <c r="B122" s="16"/>
      <c r="C122" s="16">
        <v>9847098959</v>
      </c>
      <c r="D122" s="15">
        <v>170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23">
        <f t="shared" si="3"/>
        <v>170</v>
      </c>
      <c r="S122" s="15"/>
      <c r="T122" s="15">
        <f t="shared" si="5"/>
        <v>170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84" s="60" customFormat="1">
      <c r="A123" s="15" t="s">
        <v>163</v>
      </c>
      <c r="B123" s="16"/>
      <c r="C123" s="16">
        <v>9867449887</v>
      </c>
      <c r="D123" s="15">
        <v>2500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23">
        <f t="shared" si="3"/>
        <v>2500</v>
      </c>
      <c r="S123" s="15"/>
      <c r="T123" s="15">
        <f t="shared" si="5"/>
        <v>2500</v>
      </c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84">
      <c r="A124" s="7"/>
      <c r="B124" s="3"/>
      <c r="C124" s="7"/>
      <c r="D124" s="6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23">
        <f t="shared" si="3"/>
        <v>0</v>
      </c>
      <c r="S124" s="6"/>
      <c r="T124" s="23">
        <f t="shared" si="5"/>
        <v>0</v>
      </c>
    </row>
    <row r="125" spans="1:84">
      <c r="A125" s="9" t="s">
        <v>164</v>
      </c>
      <c r="B125" s="3"/>
      <c r="C125" s="7"/>
      <c r="D125" s="6">
        <v>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23">
        <f t="shared" si="3"/>
        <v>0</v>
      </c>
      <c r="S125" s="6"/>
      <c r="T125" s="23">
        <f t="shared" si="5"/>
        <v>0</v>
      </c>
    </row>
    <row r="126" spans="1:84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3">
        <f t="shared" si="3"/>
        <v>0</v>
      </c>
      <c r="S126" s="2"/>
      <c r="T126" s="23">
        <f t="shared" si="5"/>
        <v>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84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3">
        <f t="shared" si="3"/>
        <v>0</v>
      </c>
      <c r="S127" s="2"/>
      <c r="T127" s="23">
        <f t="shared" si="5"/>
        <v>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84" ht="18.75">
      <c r="A128" s="22" t="s">
        <v>165</v>
      </c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3">
        <f t="shared" si="3"/>
        <v>0</v>
      </c>
      <c r="S128" s="2"/>
      <c r="T128" s="23">
        <f t="shared" si="5"/>
        <v>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</row>
    <row r="129" spans="1:87" s="62" customFormat="1">
      <c r="A129" s="23" t="s">
        <v>181</v>
      </c>
      <c r="B129" s="29"/>
      <c r="C129" s="29">
        <v>9802630399</v>
      </c>
      <c r="D129" s="23">
        <v>2</v>
      </c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>
        <f>SUM(D129:Q129)</f>
        <v>2</v>
      </c>
      <c r="S129" s="23"/>
      <c r="T129" s="23">
        <f>R129-S129</f>
        <v>2</v>
      </c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</row>
    <row r="130" spans="1:87" s="62" customFormat="1">
      <c r="A130" s="23" t="s">
        <v>166</v>
      </c>
      <c r="B130" s="29"/>
      <c r="C130" s="29">
        <v>9857037227</v>
      </c>
      <c r="D130" s="23">
        <v>0</v>
      </c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>
        <f>SUM(D130:Q130)</f>
        <v>0</v>
      </c>
      <c r="S130" s="23"/>
      <c r="T130" s="23">
        <f>R130-S130</f>
        <v>0</v>
      </c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</row>
    <row r="131" spans="1:87" s="62" customFormat="1">
      <c r="A131" s="23" t="s">
        <v>155</v>
      </c>
      <c r="B131" s="29"/>
      <c r="C131" s="29">
        <v>9851018173</v>
      </c>
      <c r="D131" s="23">
        <v>366</v>
      </c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>
        <f>SUM(D131:Q131)</f>
        <v>366</v>
      </c>
      <c r="S131" s="23"/>
      <c r="T131" s="23">
        <f>R131-S131</f>
        <v>366</v>
      </c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</row>
    <row r="132" spans="1:87" s="62" customFormat="1" ht="18.75">
      <c r="A132" s="79" t="s">
        <v>995</v>
      </c>
      <c r="B132" s="80"/>
      <c r="C132" s="80">
        <v>9857086305</v>
      </c>
      <c r="D132" s="79"/>
      <c r="E132" s="12"/>
      <c r="F132" s="12"/>
      <c r="G132" s="12"/>
      <c r="H132" s="12"/>
      <c r="I132" s="12"/>
      <c r="J132" s="12"/>
      <c r="K132" s="12"/>
      <c r="L132" s="12"/>
      <c r="M132" s="12"/>
      <c r="N132" s="23"/>
      <c r="O132" s="23"/>
      <c r="P132" s="23">
        <v>65000</v>
      </c>
      <c r="Q132" s="23"/>
      <c r="R132" s="23">
        <f>SUM(D132:Q132)</f>
        <v>65000</v>
      </c>
      <c r="S132" s="23">
        <f>BI132</f>
        <v>65000</v>
      </c>
      <c r="T132" s="23">
        <f>R132-S132</f>
        <v>0</v>
      </c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>
        <v>65000</v>
      </c>
      <c r="BJ132" s="35"/>
      <c r="BK132" s="35"/>
      <c r="BL132" s="35"/>
      <c r="BM132" s="35"/>
      <c r="BN132" s="35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35"/>
      <c r="CF132" s="35"/>
    </row>
    <row r="133" spans="1:87" s="62" customFormat="1">
      <c r="A133" s="23" t="s">
        <v>182</v>
      </c>
      <c r="B133" s="29"/>
      <c r="C133" s="29">
        <v>9857836215</v>
      </c>
      <c r="D133" s="23">
        <v>0</v>
      </c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>
        <f>SUM(D133:Q133)</f>
        <v>0</v>
      </c>
      <c r="S133" s="23"/>
      <c r="T133" s="23">
        <f>R133-S133</f>
        <v>0</v>
      </c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</row>
    <row r="134" spans="1:87" s="62" customFormat="1" ht="18.75">
      <c r="A134" s="77" t="s">
        <v>193</v>
      </c>
      <c r="B134" s="78"/>
      <c r="C134" s="78">
        <v>9844772131</v>
      </c>
      <c r="D134" s="77">
        <v>5000</v>
      </c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>
        <f>SUM(D134:Q134)</f>
        <v>5000</v>
      </c>
      <c r="S134" s="23">
        <f>AU134</f>
        <v>5000</v>
      </c>
      <c r="T134" s="23">
        <f>R134-S134</f>
        <v>0</v>
      </c>
      <c r="U134" s="23"/>
      <c r="V134" s="23"/>
      <c r="W134" s="23" t="s">
        <v>795</v>
      </c>
      <c r="X134" s="23" t="s">
        <v>805</v>
      </c>
      <c r="Y134" s="23" t="s">
        <v>805</v>
      </c>
      <c r="Z134" s="23" t="s">
        <v>793</v>
      </c>
      <c r="AA134" s="23" t="s">
        <v>795</v>
      </c>
      <c r="AB134" s="23" t="s">
        <v>805</v>
      </c>
      <c r="AC134" s="23"/>
      <c r="AD134" s="23" t="s">
        <v>795</v>
      </c>
      <c r="AE134" s="23" t="s">
        <v>795</v>
      </c>
      <c r="AF134" s="46" t="s">
        <v>793</v>
      </c>
      <c r="AG134" s="46" t="s">
        <v>793</v>
      </c>
      <c r="AH134" s="46" t="s">
        <v>793</v>
      </c>
      <c r="AI134" s="46" t="s">
        <v>793</v>
      </c>
      <c r="AJ134" s="46"/>
      <c r="AK134" s="46" t="s">
        <v>793</v>
      </c>
      <c r="AL134" s="46" t="s">
        <v>793</v>
      </c>
      <c r="AM134" s="46" t="s">
        <v>805</v>
      </c>
      <c r="AN134" s="46" t="s">
        <v>793</v>
      </c>
      <c r="AO134" s="46" t="s">
        <v>793</v>
      </c>
      <c r="AP134" s="46" t="s">
        <v>793</v>
      </c>
      <c r="AQ134" s="46"/>
      <c r="AR134" s="46" t="s">
        <v>795</v>
      </c>
      <c r="AS134" s="46" t="s">
        <v>805</v>
      </c>
      <c r="AT134" s="46" t="s">
        <v>793</v>
      </c>
      <c r="AU134" s="46">
        <v>5000</v>
      </c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</row>
    <row r="135" spans="1:87" s="35" customFormat="1" ht="18.75">
      <c r="A135" s="77" t="s">
        <v>195</v>
      </c>
      <c r="B135" s="78"/>
      <c r="C135" s="78">
        <v>9857029809</v>
      </c>
      <c r="D135" s="77">
        <v>29000</v>
      </c>
      <c r="E135" s="12"/>
      <c r="F135" s="12"/>
      <c r="G135" s="12"/>
      <c r="H135" s="12"/>
      <c r="I135" s="12"/>
      <c r="J135" s="12"/>
      <c r="K135" s="12"/>
      <c r="L135" s="23"/>
      <c r="M135" s="23"/>
      <c r="N135" s="23"/>
      <c r="O135" s="23"/>
      <c r="P135" s="23"/>
      <c r="Q135" s="23"/>
      <c r="R135" s="23">
        <f>SUM(D135:Q135)</f>
        <v>29000</v>
      </c>
      <c r="S135" s="23">
        <f>U135+9000</f>
        <v>29000</v>
      </c>
      <c r="T135" s="23">
        <f>R135-S135</f>
        <v>0</v>
      </c>
      <c r="U135" s="23">
        <v>20000</v>
      </c>
      <c r="V135" s="46"/>
      <c r="W135" s="46"/>
      <c r="X135" s="46"/>
      <c r="Y135" s="46"/>
      <c r="Z135" s="46"/>
      <c r="AA135" s="46"/>
      <c r="AB135" s="46"/>
      <c r="AC135" s="46"/>
      <c r="AD135" s="46">
        <f>AD133</f>
        <v>0</v>
      </c>
      <c r="AE135" s="46"/>
      <c r="AF135" s="46"/>
      <c r="AG135" s="46">
        <v>15</v>
      </c>
      <c r="AH135" s="46"/>
      <c r="AI135" s="46">
        <v>17</v>
      </c>
      <c r="AJ135" s="46"/>
      <c r="AK135" s="46">
        <v>21</v>
      </c>
      <c r="AL135" s="46"/>
      <c r="AM135" s="46"/>
      <c r="AN135" s="46"/>
      <c r="AO135" s="46">
        <v>24</v>
      </c>
      <c r="AP135" s="46"/>
      <c r="AQ135" s="46"/>
      <c r="AR135" s="46">
        <v>28</v>
      </c>
      <c r="AS135" s="46"/>
      <c r="AT135" s="46"/>
      <c r="AU135" s="46"/>
      <c r="AV135" s="46">
        <v>30</v>
      </c>
      <c r="AW135" s="46"/>
      <c r="AX135" s="46"/>
      <c r="AY135" s="46">
        <v>1</v>
      </c>
      <c r="AZ135" s="46" t="s">
        <v>4</v>
      </c>
      <c r="BA135" s="46"/>
      <c r="BB135" s="46"/>
      <c r="BC135" s="46" t="s">
        <v>830</v>
      </c>
      <c r="BD135" s="46" t="s">
        <v>809</v>
      </c>
      <c r="BE135" s="46"/>
      <c r="BF135" s="46">
        <v>9000</v>
      </c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</row>
    <row r="136" spans="1:87" s="62" customFormat="1">
      <c r="A136" s="12" t="s">
        <v>976</v>
      </c>
      <c r="B136" s="3"/>
      <c r="C136" s="24">
        <v>9857011132</v>
      </c>
      <c r="D136" s="8"/>
      <c r="E136" s="12"/>
      <c r="F136" s="12"/>
      <c r="G136" s="12"/>
      <c r="H136" s="12"/>
      <c r="I136" s="12"/>
      <c r="J136" s="12"/>
      <c r="K136" s="12"/>
      <c r="L136" s="23"/>
      <c r="M136" s="23">
        <v>29000</v>
      </c>
      <c r="N136" s="23"/>
      <c r="O136" s="23"/>
      <c r="P136" s="23"/>
      <c r="Q136" s="23"/>
      <c r="R136" s="23">
        <f>SUM(D136:Q136)</f>
        <v>29000</v>
      </c>
      <c r="S136" s="23">
        <f>BD136</f>
        <v>29000</v>
      </c>
      <c r="T136" s="23">
        <f>R136-S136</f>
        <v>0</v>
      </c>
      <c r="U136" s="23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>
        <v>29000</v>
      </c>
      <c r="BE136" s="35"/>
      <c r="BF136" s="35"/>
      <c r="BG136" s="35"/>
      <c r="BH136" s="35"/>
      <c r="BI136" s="35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35"/>
      <c r="CF136" s="35"/>
    </row>
    <row r="137" spans="1:87" s="62" customFormat="1" ht="18.75">
      <c r="A137" s="77" t="s">
        <v>196</v>
      </c>
      <c r="B137" s="78"/>
      <c r="C137" s="78">
        <v>9857015357</v>
      </c>
      <c r="D137" s="77">
        <v>72000</v>
      </c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>
        <f>SUM(D137:Q137)</f>
        <v>72000</v>
      </c>
      <c r="S137" s="23">
        <f>AH137+42000</f>
        <v>72000</v>
      </c>
      <c r="T137" s="23">
        <f>R137-S137</f>
        <v>0</v>
      </c>
      <c r="W137" s="62">
        <v>6</v>
      </c>
      <c r="Y137" s="62">
        <v>8</v>
      </c>
      <c r="AB137" s="62" t="s">
        <v>805</v>
      </c>
      <c r="AD137" s="62">
        <v>12</v>
      </c>
      <c r="AF137" s="62" t="s">
        <v>809</v>
      </c>
      <c r="AG137" s="62" t="s">
        <v>830</v>
      </c>
      <c r="AH137" s="62">
        <v>30000</v>
      </c>
      <c r="AI137" s="62">
        <v>18</v>
      </c>
      <c r="AK137" s="62">
        <v>42000</v>
      </c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</row>
    <row r="138" spans="1:87" s="62" customFormat="1">
      <c r="A138" s="23" t="s">
        <v>167</v>
      </c>
      <c r="B138" s="29"/>
      <c r="C138" s="29">
        <v>9847043511</v>
      </c>
      <c r="D138" s="23">
        <v>0</v>
      </c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>
        <f>SUM(D138:Q138)</f>
        <v>0</v>
      </c>
      <c r="S138" s="23"/>
      <c r="T138" s="23">
        <f>R138-S138</f>
        <v>0</v>
      </c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</row>
    <row r="139" spans="1:87" s="62" customFormat="1">
      <c r="A139" s="23" t="s">
        <v>168</v>
      </c>
      <c r="B139" s="29"/>
      <c r="C139" s="29">
        <v>9802680021</v>
      </c>
      <c r="D139" s="23">
        <v>0</v>
      </c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>
        <f>SUM(D139:Q139)</f>
        <v>0</v>
      </c>
      <c r="S139" s="23"/>
      <c r="T139" s="23">
        <f>R139-S139</f>
        <v>0</v>
      </c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</row>
    <row r="140" spans="1:87" s="62" customFormat="1" ht="18.75">
      <c r="A140" s="77" t="s">
        <v>168</v>
      </c>
      <c r="B140" s="78"/>
      <c r="C140" s="78">
        <v>9802680021</v>
      </c>
      <c r="D140" s="77">
        <v>4000</v>
      </c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>
        <f>SUM(D140:Q140)</f>
        <v>4000</v>
      </c>
      <c r="S140" s="23">
        <f>BA140</f>
        <v>4000</v>
      </c>
      <c r="T140" s="23">
        <f>R140-S140</f>
        <v>0</v>
      </c>
      <c r="U140" s="46"/>
      <c r="V140" s="46"/>
      <c r="W140" s="46">
        <v>5</v>
      </c>
      <c r="X140" s="46"/>
      <c r="Y140" s="46" t="s">
        <v>794</v>
      </c>
      <c r="Z140" s="46">
        <v>10</v>
      </c>
      <c r="AA140" s="46"/>
      <c r="AB140" s="46"/>
      <c r="AC140" s="46"/>
      <c r="AD140" s="46" t="s">
        <v>794</v>
      </c>
      <c r="AE140" s="46" t="s">
        <v>795</v>
      </c>
      <c r="AF140" s="46" t="s">
        <v>795</v>
      </c>
      <c r="AG140" s="46" t="s">
        <v>794</v>
      </c>
      <c r="AH140" s="46" t="s">
        <v>794</v>
      </c>
      <c r="AI140" s="46" t="s">
        <v>794</v>
      </c>
      <c r="AJ140" s="46"/>
      <c r="AK140" s="46" t="s">
        <v>794</v>
      </c>
      <c r="AL140" s="46" t="s">
        <v>794</v>
      </c>
      <c r="AM140" s="46">
        <v>25</v>
      </c>
      <c r="AN140" s="46"/>
      <c r="AO140" s="46"/>
      <c r="AP140" s="46"/>
      <c r="AQ140" s="46"/>
      <c r="AR140" s="46"/>
      <c r="AS140" s="46" t="s">
        <v>794</v>
      </c>
      <c r="AT140" s="46" t="s">
        <v>794</v>
      </c>
      <c r="AU140" s="46" t="s">
        <v>794</v>
      </c>
      <c r="AV140" s="46" t="s">
        <v>794</v>
      </c>
      <c r="AW140" s="46" t="s">
        <v>794</v>
      </c>
      <c r="AX140" s="46"/>
      <c r="AY140" s="46" t="s">
        <v>794</v>
      </c>
      <c r="AZ140" s="46"/>
      <c r="BA140" s="46">
        <v>4000</v>
      </c>
      <c r="BB140" s="35"/>
      <c r="BC140" s="35"/>
      <c r="BD140" s="35"/>
      <c r="BE140" s="35"/>
      <c r="BF140" s="35"/>
      <c r="BG140" s="35"/>
      <c r="BH140" s="35"/>
      <c r="BI140" s="35"/>
      <c r="BJ140" s="35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</row>
    <row r="141" spans="1:87" s="62" customFormat="1">
      <c r="A141" s="23" t="s">
        <v>836</v>
      </c>
      <c r="B141" s="29"/>
      <c r="C141" s="29">
        <v>9857025031</v>
      </c>
      <c r="D141" s="23"/>
      <c r="E141" s="23"/>
      <c r="F141" s="23">
        <v>15000</v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>
        <f>SUM(D141:Q141)</f>
        <v>15000</v>
      </c>
      <c r="S141" s="23">
        <v>15000</v>
      </c>
      <c r="T141" s="23">
        <f>R141-S141</f>
        <v>0</v>
      </c>
      <c r="AG141" s="62">
        <v>15000</v>
      </c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</row>
    <row r="142" spans="1:87" s="62" customFormat="1">
      <c r="A142" s="23" t="s">
        <v>171</v>
      </c>
      <c r="B142" s="29"/>
      <c r="C142" s="29">
        <v>9857025030</v>
      </c>
      <c r="D142" s="23">
        <v>0</v>
      </c>
      <c r="E142" s="23"/>
      <c r="F142" s="23"/>
      <c r="G142" s="23"/>
      <c r="H142" s="23"/>
      <c r="I142" s="23">
        <v>7300</v>
      </c>
      <c r="J142" s="23"/>
      <c r="K142" s="23"/>
      <c r="L142" s="23"/>
      <c r="M142" s="23"/>
      <c r="N142" s="23"/>
      <c r="O142" s="23"/>
      <c r="P142" s="23"/>
      <c r="Q142" s="23"/>
      <c r="R142" s="23">
        <f>SUM(D142:Q142)</f>
        <v>7300</v>
      </c>
      <c r="S142" s="23">
        <f>AV142</f>
        <v>7300</v>
      </c>
      <c r="T142" s="23">
        <f>R142-S142</f>
        <v>0</v>
      </c>
      <c r="AN142" s="62" t="s">
        <v>800</v>
      </c>
      <c r="AU142" s="62" t="s">
        <v>800</v>
      </c>
      <c r="AV142" s="62">
        <v>7300</v>
      </c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</row>
    <row r="143" spans="1:87" s="62" customFormat="1">
      <c r="A143" s="23" t="s">
        <v>172</v>
      </c>
      <c r="B143" s="29"/>
      <c r="C143" s="29">
        <v>9857030401</v>
      </c>
      <c r="D143" s="23">
        <v>0</v>
      </c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>
        <f>SUM(D143:Q143)</f>
        <v>0</v>
      </c>
      <c r="S143" s="23"/>
      <c r="T143" s="23">
        <f>R143-S143</f>
        <v>0</v>
      </c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</row>
    <row r="144" spans="1:87" s="62" customFormat="1">
      <c r="A144" s="23" t="s">
        <v>854</v>
      </c>
      <c r="B144" s="29"/>
      <c r="C144" s="29">
        <v>9857026592</v>
      </c>
      <c r="D144" s="23"/>
      <c r="E144" s="23"/>
      <c r="F144" s="23"/>
      <c r="G144" s="23">
        <v>10800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>
        <f>SUM(D144:Q144)</f>
        <v>10800</v>
      </c>
      <c r="S144" s="23">
        <f>AF144+6000</f>
        <v>10800</v>
      </c>
      <c r="T144" s="23">
        <f>R144-S144</f>
        <v>0</v>
      </c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>
        <v>4800</v>
      </c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 t="s">
        <v>830</v>
      </c>
      <c r="AZ144" s="46">
        <v>4</v>
      </c>
      <c r="BA144" s="1">
        <v>6000</v>
      </c>
      <c r="BB144" s="35"/>
      <c r="BC144" s="35"/>
      <c r="BD144" s="35"/>
      <c r="BE144" s="35"/>
      <c r="BF144" s="35"/>
      <c r="BG144" s="35"/>
      <c r="BH144" s="35"/>
      <c r="BI144" s="35"/>
      <c r="BJ144" s="35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</row>
    <row r="145" spans="1:87" s="62" customFormat="1">
      <c r="A145" s="23" t="s">
        <v>912</v>
      </c>
      <c r="B145" s="29"/>
      <c r="C145" s="29"/>
      <c r="D145" s="23"/>
      <c r="E145" s="23"/>
      <c r="F145" s="23"/>
      <c r="G145" s="23"/>
      <c r="H145" s="23"/>
      <c r="I145" s="23"/>
      <c r="J145" s="23"/>
      <c r="K145" s="23"/>
      <c r="L145" s="23">
        <v>5300</v>
      </c>
      <c r="M145" s="23"/>
      <c r="N145" s="23"/>
      <c r="O145" s="23"/>
      <c r="P145" s="23"/>
      <c r="Q145" s="23"/>
      <c r="R145" s="23">
        <f>SUM(D145:Q145)</f>
        <v>5300</v>
      </c>
      <c r="S145" s="23">
        <f>AV145</f>
        <v>5300</v>
      </c>
      <c r="T145" s="23">
        <f>R145-S145</f>
        <v>0</v>
      </c>
      <c r="U145" s="61"/>
      <c r="AV145" s="62">
        <v>5300</v>
      </c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</row>
    <row r="146" spans="1:87" s="62" customFormat="1">
      <c r="A146" s="23" t="s">
        <v>801</v>
      </c>
      <c r="B146" s="29"/>
      <c r="C146" s="29">
        <v>9802630181</v>
      </c>
      <c r="D146" s="23"/>
      <c r="E146" s="23">
        <v>83000</v>
      </c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>
        <f>SUM(D146:Q146)</f>
        <v>83000</v>
      </c>
      <c r="S146" s="23">
        <f>AU146</f>
        <v>83000</v>
      </c>
      <c r="T146" s="23">
        <f>R146-S146</f>
        <v>0</v>
      </c>
      <c r="U146" s="61"/>
      <c r="V146" s="61"/>
      <c r="W146" s="61"/>
      <c r="X146" s="61"/>
      <c r="Y146" s="61"/>
      <c r="Z146" s="61"/>
      <c r="AA146" s="61"/>
      <c r="AB146" s="61"/>
      <c r="AC146" s="61"/>
      <c r="AD146" s="61" t="s">
        <v>798</v>
      </c>
      <c r="AE146" s="62" t="s">
        <v>798</v>
      </c>
      <c r="AF146" s="62" t="s">
        <v>798</v>
      </c>
      <c r="AG146" s="62" t="s">
        <v>798</v>
      </c>
      <c r="AH146" s="62" t="s">
        <v>798</v>
      </c>
      <c r="AI146" s="62" t="s">
        <v>798</v>
      </c>
      <c r="AK146" s="62" t="s">
        <v>798</v>
      </c>
      <c r="AL146" s="62" t="s">
        <v>798</v>
      </c>
      <c r="AM146" s="62" t="s">
        <v>798</v>
      </c>
      <c r="AN146" s="62" t="s">
        <v>798</v>
      </c>
      <c r="AO146" s="62" t="s">
        <v>798</v>
      </c>
      <c r="AP146" s="62" t="s">
        <v>798</v>
      </c>
      <c r="AR146" s="62" t="s">
        <v>798</v>
      </c>
      <c r="AS146" s="62" t="s">
        <v>798</v>
      </c>
      <c r="AT146" s="62" t="s">
        <v>798</v>
      </c>
      <c r="AU146" s="1">
        <v>83000</v>
      </c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</row>
    <row r="147" spans="1:87" s="62" customFormat="1">
      <c r="A147" s="17" t="s">
        <v>893</v>
      </c>
      <c r="B147" s="54"/>
      <c r="C147" s="74">
        <v>9857074425</v>
      </c>
      <c r="D147" s="73"/>
      <c r="E147" s="12"/>
      <c r="F147" s="12"/>
      <c r="G147" s="12"/>
      <c r="H147" s="12"/>
      <c r="I147" s="12"/>
      <c r="J147" s="12">
        <v>8500</v>
      </c>
      <c r="K147" s="12"/>
      <c r="L147" s="12"/>
      <c r="M147" s="12"/>
      <c r="N147" s="23"/>
      <c r="O147" s="23"/>
      <c r="P147" s="23"/>
      <c r="Q147" s="23"/>
      <c r="R147" s="23">
        <f>SUM(D147:Q147)</f>
        <v>8500</v>
      </c>
      <c r="S147" s="23">
        <f>BI147</f>
        <v>8300</v>
      </c>
      <c r="T147" s="23">
        <f>R147-S147</f>
        <v>200</v>
      </c>
      <c r="U147" s="14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1"/>
      <c r="AT147" s="31"/>
      <c r="AU147" s="31"/>
      <c r="AV147" s="31">
        <v>5</v>
      </c>
      <c r="AW147" s="31"/>
      <c r="AX147" s="31"/>
      <c r="AY147" s="31"/>
      <c r="AZ147" s="34">
        <v>5</v>
      </c>
      <c r="BA147" s="34"/>
      <c r="BB147" s="34"/>
      <c r="BC147" s="34"/>
      <c r="BD147" s="34">
        <v>7</v>
      </c>
      <c r="BE147" s="34"/>
      <c r="BF147" s="34">
        <v>9</v>
      </c>
      <c r="BG147" s="34"/>
      <c r="BH147" s="31">
        <v>10</v>
      </c>
      <c r="BI147" s="62">
        <v>8300</v>
      </c>
      <c r="BJ147" s="35"/>
      <c r="BK147" s="35"/>
      <c r="BL147" s="35"/>
      <c r="BM147" s="35"/>
      <c r="BN147" s="35"/>
      <c r="BO147" s="35"/>
      <c r="BP147" s="35"/>
      <c r="BQ147" s="35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35"/>
      <c r="CF147" s="35"/>
      <c r="CG147" s="35"/>
      <c r="CH147" s="35"/>
      <c r="CI147" s="35"/>
    </row>
    <row r="148" spans="1:87" s="62" customFormat="1">
      <c r="A148" s="23" t="s">
        <v>782</v>
      </c>
      <c r="B148" s="29"/>
      <c r="C148" s="29">
        <v>9857085400</v>
      </c>
      <c r="D148" s="23"/>
      <c r="E148" s="23">
        <f>6100+6100</f>
        <v>12200</v>
      </c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>
        <f>SUM(D148:Q148)</f>
        <v>12200</v>
      </c>
      <c r="S148" s="23">
        <f>U148</f>
        <v>12200</v>
      </c>
      <c r="T148" s="23">
        <f>R148-S148</f>
        <v>0</v>
      </c>
      <c r="U148" s="62">
        <v>12200</v>
      </c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</row>
    <row r="149" spans="1:87">
      <c r="A149" s="70" t="s">
        <v>211</v>
      </c>
      <c r="B149" s="71"/>
      <c r="C149" s="71">
        <v>9857065573</v>
      </c>
      <c r="D149" s="23">
        <v>0</v>
      </c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>
        <f>SUM(D149:Q149)</f>
        <v>0</v>
      </c>
      <c r="S149" s="23"/>
      <c r="T149" s="23">
        <f>R149-S149</f>
        <v>0</v>
      </c>
      <c r="U149" s="61">
        <v>15</v>
      </c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</row>
    <row r="150" spans="1:87" ht="18.75">
      <c r="A150" s="77" t="s">
        <v>979</v>
      </c>
      <c r="B150" s="78"/>
      <c r="C150" s="78">
        <v>9847123092</v>
      </c>
      <c r="D150" s="77">
        <v>12500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23"/>
      <c r="O150" s="23"/>
      <c r="P150" s="23"/>
      <c r="Q150" s="23"/>
      <c r="R150" s="23">
        <f>SUM(D150:Q150)</f>
        <v>12500</v>
      </c>
      <c r="S150" s="23">
        <f>BM150</f>
        <v>12500</v>
      </c>
      <c r="T150" s="23">
        <f>R150-S150</f>
        <v>0</v>
      </c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>
        <v>29</v>
      </c>
      <c r="AO150" s="46"/>
      <c r="AP150" s="46"/>
      <c r="AQ150" s="46"/>
      <c r="AR150" s="46"/>
      <c r="AS150" s="46"/>
      <c r="AT150" s="46"/>
      <c r="AU150" s="46"/>
      <c r="AV150" s="46"/>
      <c r="AW150" s="46">
        <v>3</v>
      </c>
      <c r="AX150" s="46"/>
      <c r="AY150" s="46"/>
      <c r="AZ150" s="46">
        <v>3</v>
      </c>
      <c r="BA150" s="46"/>
      <c r="BB150" s="46">
        <v>5</v>
      </c>
      <c r="BC150" s="46"/>
      <c r="BD150" s="46" t="s">
        <v>795</v>
      </c>
      <c r="BE150" s="46"/>
      <c r="BF150" s="46" t="s">
        <v>795</v>
      </c>
      <c r="BG150" s="46">
        <v>9</v>
      </c>
      <c r="BH150" s="46">
        <v>10</v>
      </c>
      <c r="BI150" s="46" t="s">
        <v>795</v>
      </c>
      <c r="BJ150" s="46" t="s">
        <v>795</v>
      </c>
      <c r="BK150" s="46" t="s">
        <v>795</v>
      </c>
      <c r="BL150" s="46"/>
      <c r="BM150" s="46">
        <v>12500</v>
      </c>
      <c r="BO150" s="35"/>
      <c r="BP150" s="35"/>
      <c r="BQ150" s="35"/>
    </row>
    <row r="151" spans="1:87" ht="18.75">
      <c r="A151" s="77" t="s">
        <v>214</v>
      </c>
      <c r="B151" s="78"/>
      <c r="C151" s="78">
        <v>9811472125</v>
      </c>
      <c r="D151" s="77">
        <v>7700</v>
      </c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>
        <f>SUM(D151:Q151)</f>
        <v>7700</v>
      </c>
      <c r="S151" s="23">
        <f>AO151+3700</f>
        <v>7700</v>
      </c>
      <c r="T151" s="37">
        <f>R151-S151</f>
        <v>0</v>
      </c>
      <c r="U151" s="23">
        <v>5</v>
      </c>
      <c r="V151" s="46"/>
      <c r="W151" s="46"/>
      <c r="X151" s="46"/>
      <c r="Y151" s="46">
        <v>8</v>
      </c>
      <c r="Z151" s="46"/>
      <c r="AA151" s="46"/>
      <c r="AB151" s="46" t="s">
        <v>783</v>
      </c>
      <c r="AC151" s="46"/>
      <c r="AD151" s="46"/>
      <c r="AE151" s="46"/>
      <c r="AF151" s="46">
        <v>16</v>
      </c>
      <c r="AG151" s="46"/>
      <c r="AH151" s="46"/>
      <c r="AI151" s="46"/>
      <c r="AJ151" s="46" t="s">
        <v>4</v>
      </c>
      <c r="AK151" s="46">
        <v>19</v>
      </c>
      <c r="AL151" s="46"/>
      <c r="AM151" s="46" t="s">
        <v>795</v>
      </c>
      <c r="AN151" s="46">
        <v>23</v>
      </c>
      <c r="AO151" s="46">
        <v>4000</v>
      </c>
      <c r="AP151" s="46"/>
      <c r="AQ151" s="46"/>
      <c r="AR151" s="46">
        <v>28</v>
      </c>
      <c r="AS151" s="46"/>
      <c r="AT151" s="46"/>
      <c r="AU151" s="46"/>
      <c r="AV151" s="46">
        <v>2</v>
      </c>
      <c r="AW151" s="46"/>
      <c r="AX151" s="46"/>
      <c r="AY151" s="46"/>
      <c r="AZ151" s="46">
        <v>2</v>
      </c>
      <c r="BA151" s="1">
        <v>3700</v>
      </c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</row>
    <row r="152" spans="1:87">
      <c r="A152" s="23" t="s">
        <v>174</v>
      </c>
      <c r="B152" s="29"/>
      <c r="C152" s="29">
        <v>9857068227</v>
      </c>
      <c r="D152" s="23">
        <v>0</v>
      </c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>
        <f>SUM(D152:Q152)</f>
        <v>0</v>
      </c>
      <c r="S152" s="23"/>
      <c r="T152" s="23">
        <f>R152-S152</f>
        <v>0</v>
      </c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</row>
    <row r="153" spans="1:87">
      <c r="A153" s="23" t="s">
        <v>815</v>
      </c>
      <c r="B153" s="29"/>
      <c r="C153" s="29">
        <v>9857031359</v>
      </c>
      <c r="D153" s="23"/>
      <c r="E153" s="23">
        <v>15000</v>
      </c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>
        <f>SUM(D153:Q153)</f>
        <v>15000</v>
      </c>
      <c r="S153" s="23">
        <f>AP153</f>
        <v>15000</v>
      </c>
      <c r="T153" s="23">
        <f>R153-S153</f>
        <v>0</v>
      </c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2" t="s">
        <v>800</v>
      </c>
      <c r="AO153" s="62" t="s">
        <v>800</v>
      </c>
      <c r="AP153" s="62">
        <v>15000</v>
      </c>
      <c r="AQ153" s="62"/>
      <c r="AR153" s="62"/>
      <c r="AS153" s="62"/>
      <c r="AT153" s="62"/>
      <c r="AU153" s="62"/>
      <c r="AV153" s="62"/>
      <c r="AW153" s="62"/>
      <c r="AX153" s="62"/>
      <c r="AY153" s="62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</row>
    <row r="154" spans="1:87">
      <c r="A154" s="12" t="s">
        <v>863</v>
      </c>
      <c r="B154" s="3"/>
      <c r="C154" s="18">
        <v>9857025096</v>
      </c>
      <c r="D154" s="12"/>
      <c r="E154" s="12"/>
      <c r="F154" s="12"/>
      <c r="G154" s="12"/>
      <c r="H154" s="12">
        <v>23000</v>
      </c>
      <c r="I154" s="12"/>
      <c r="J154" s="12"/>
      <c r="K154" s="12"/>
      <c r="L154" s="12"/>
      <c r="M154" s="12"/>
      <c r="N154" s="23"/>
      <c r="O154" s="23"/>
      <c r="P154" s="23"/>
      <c r="Q154" s="23"/>
      <c r="R154" s="23">
        <f>SUM(D154:Q154)</f>
        <v>23000</v>
      </c>
      <c r="S154" s="23">
        <f>BK154</f>
        <v>23000</v>
      </c>
      <c r="T154" s="23">
        <f>R154-S154</f>
        <v>0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>
        <v>25</v>
      </c>
      <c r="AO154" s="46"/>
      <c r="AP154" s="46"/>
      <c r="AQ154" s="46"/>
      <c r="AR154" s="46"/>
      <c r="AS154" s="46">
        <v>28</v>
      </c>
      <c r="AT154" s="46"/>
      <c r="AU154" s="46"/>
      <c r="AV154" s="46">
        <v>30</v>
      </c>
      <c r="AW154" s="46"/>
      <c r="AX154" s="46"/>
      <c r="AY154" s="46" t="s">
        <v>913</v>
      </c>
      <c r="AZ154" s="46">
        <v>5</v>
      </c>
      <c r="BA154" s="46"/>
      <c r="BB154" s="46"/>
      <c r="BC154" s="46"/>
      <c r="BD154" s="46">
        <v>7</v>
      </c>
      <c r="BE154" s="46"/>
      <c r="BF154" s="46" t="s">
        <v>800</v>
      </c>
      <c r="BG154" s="46" t="s">
        <v>800</v>
      </c>
      <c r="BH154" s="46" t="s">
        <v>800</v>
      </c>
      <c r="BI154" s="46" t="s">
        <v>800</v>
      </c>
      <c r="BJ154" s="46" t="s">
        <v>800</v>
      </c>
      <c r="BK154" s="46">
        <v>23000</v>
      </c>
      <c r="BO154" s="35"/>
      <c r="BP154" s="35"/>
      <c r="BQ154" s="35"/>
    </row>
    <row r="155" spans="1:87" ht="18.75">
      <c r="A155" s="77" t="s">
        <v>218</v>
      </c>
      <c r="B155" s="78"/>
      <c r="C155" s="78">
        <v>9847001932</v>
      </c>
      <c r="D155" s="77">
        <v>0</v>
      </c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>
        <f>SUM(D155:Q155)</f>
        <v>0</v>
      </c>
      <c r="S155" s="23"/>
      <c r="T155" s="23">
        <f>R155-S155</f>
        <v>0</v>
      </c>
      <c r="U155" s="61"/>
      <c r="V155" s="61"/>
      <c r="W155" s="61">
        <v>6</v>
      </c>
      <c r="X155" s="61"/>
      <c r="Y155" s="61"/>
      <c r="Z155" s="61" t="s">
        <v>819</v>
      </c>
      <c r="AA155" s="61" t="s">
        <v>795</v>
      </c>
      <c r="AB155" s="61" t="s">
        <v>827</v>
      </c>
      <c r="AC155" s="61"/>
      <c r="AD155" s="61"/>
      <c r="AE155" s="62" t="s">
        <v>795</v>
      </c>
      <c r="AF155" s="62" t="s">
        <v>795</v>
      </c>
      <c r="AG155" s="62">
        <v>16</v>
      </c>
      <c r="AH155" s="62"/>
      <c r="AI155" s="62"/>
      <c r="AJ155" s="62" t="s">
        <v>4</v>
      </c>
      <c r="AK155" s="62" t="s">
        <v>870</v>
      </c>
      <c r="AL155" s="62" t="s">
        <v>870</v>
      </c>
      <c r="AM155" s="62" t="s">
        <v>870</v>
      </c>
      <c r="AN155" s="62">
        <v>48100</v>
      </c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</row>
    <row r="156" spans="1:87">
      <c r="A156" s="23" t="s">
        <v>175</v>
      </c>
      <c r="B156" s="29"/>
      <c r="C156" s="29">
        <v>9857065367</v>
      </c>
      <c r="D156" s="23">
        <v>0</v>
      </c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>
        <f>SUM(D156:Q156)</f>
        <v>0</v>
      </c>
      <c r="S156" s="23"/>
      <c r="T156" s="23">
        <f>R156-S156</f>
        <v>0</v>
      </c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</row>
    <row r="157" spans="1:87">
      <c r="A157" s="23" t="s">
        <v>184</v>
      </c>
      <c r="B157" s="29"/>
      <c r="C157" s="29"/>
      <c r="D157" s="23">
        <v>0</v>
      </c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>
        <f>SUM(D157:Q157)</f>
        <v>0</v>
      </c>
      <c r="S157" s="23"/>
      <c r="T157" s="23">
        <f>R157-S157</f>
        <v>0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</row>
    <row r="158" spans="1:87">
      <c r="A158" s="12" t="s">
        <v>904</v>
      </c>
      <c r="B158" s="3"/>
      <c r="C158" s="18">
        <v>9857014672</v>
      </c>
      <c r="D158" s="12"/>
      <c r="E158" s="12"/>
      <c r="F158" s="12"/>
      <c r="G158" s="12"/>
      <c r="H158" s="12"/>
      <c r="I158" s="12"/>
      <c r="J158" s="12"/>
      <c r="K158" s="12">
        <v>40500</v>
      </c>
      <c r="L158" s="12"/>
      <c r="M158" s="12"/>
      <c r="N158" s="23"/>
      <c r="O158" s="23"/>
      <c r="P158" s="23"/>
      <c r="Q158" s="23"/>
      <c r="R158" s="23">
        <f>SUM(D158:Q158)</f>
        <v>40500</v>
      </c>
      <c r="S158" s="23">
        <f>BK158</f>
        <v>40500</v>
      </c>
      <c r="T158" s="23">
        <f>R158-S158</f>
        <v>0</v>
      </c>
      <c r="U158" s="46"/>
      <c r="V158" s="46"/>
      <c r="W158" s="46"/>
      <c r="X158" s="23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>
        <v>3</v>
      </c>
      <c r="BA158" s="46"/>
      <c r="BB158" s="46">
        <v>5</v>
      </c>
      <c r="BC158" s="46"/>
      <c r="BD158" s="46">
        <v>6</v>
      </c>
      <c r="BE158" s="46" t="s">
        <v>4</v>
      </c>
      <c r="BF158" s="46" t="s">
        <v>800</v>
      </c>
      <c r="BG158" s="46" t="s">
        <v>800</v>
      </c>
      <c r="BH158" s="46" t="s">
        <v>800</v>
      </c>
      <c r="BI158" s="46" t="s">
        <v>800</v>
      </c>
      <c r="BJ158" s="46" t="s">
        <v>800</v>
      </c>
      <c r="BK158" s="46">
        <v>40500</v>
      </c>
    </row>
    <row r="159" spans="1:87">
      <c r="A159" s="23" t="s">
        <v>185</v>
      </c>
      <c r="B159" s="29"/>
      <c r="C159" s="29">
        <v>9847459832</v>
      </c>
      <c r="D159" s="23">
        <v>0</v>
      </c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>
        <f>SUM(D159:Q159)</f>
        <v>0</v>
      </c>
      <c r="S159" s="23"/>
      <c r="T159" s="23">
        <f>R159-S159</f>
        <v>0</v>
      </c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CE159" s="35"/>
      <c r="CF159" s="35"/>
      <c r="CG159" s="35"/>
      <c r="CH159" s="35"/>
      <c r="CI159" s="35"/>
    </row>
    <row r="160" spans="1:87" s="62" customFormat="1">
      <c r="A160" s="23" t="s">
        <v>905</v>
      </c>
      <c r="B160" s="29"/>
      <c r="C160" s="29">
        <v>9851049075</v>
      </c>
      <c r="D160" s="23"/>
      <c r="E160" s="23"/>
      <c r="F160" s="23"/>
      <c r="G160" s="23"/>
      <c r="H160" s="23"/>
      <c r="I160" s="23"/>
      <c r="J160" s="23"/>
      <c r="K160" s="23">
        <v>44000</v>
      </c>
      <c r="L160" s="23"/>
      <c r="M160" s="23"/>
      <c r="N160" s="23"/>
      <c r="O160" s="23"/>
      <c r="P160" s="23"/>
      <c r="Q160" s="23"/>
      <c r="R160" s="23">
        <f>SUM(D160:Q160)</f>
        <v>44000</v>
      </c>
      <c r="S160" s="23">
        <f>AT160</f>
        <v>44000</v>
      </c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>
        <v>44000</v>
      </c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35"/>
      <c r="CF160" s="35"/>
      <c r="CG160" s="35"/>
      <c r="CH160" s="35"/>
      <c r="CI160" s="35"/>
    </row>
    <row r="161" spans="1:92">
      <c r="A161" s="23" t="s">
        <v>852</v>
      </c>
      <c r="B161" s="29"/>
      <c r="C161" s="29">
        <v>9857060789</v>
      </c>
      <c r="D161" s="23"/>
      <c r="E161" s="23"/>
      <c r="F161" s="23"/>
      <c r="G161" s="23">
        <v>15600</v>
      </c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>
        <f>SUM(D161:Q161)</f>
        <v>15600</v>
      </c>
      <c r="S161" s="23">
        <f>AK161</f>
        <v>15600</v>
      </c>
      <c r="T161" s="23">
        <f>R161-S161</f>
        <v>0</v>
      </c>
      <c r="U161" s="62"/>
      <c r="V161" s="62"/>
      <c r="W161" s="62"/>
      <c r="X161" s="62"/>
      <c r="Y161" s="62"/>
      <c r="Z161" s="62"/>
      <c r="AA161" s="62"/>
      <c r="AB161" s="62"/>
      <c r="AC161" s="62"/>
      <c r="AD161" s="61"/>
      <c r="AE161" s="61"/>
      <c r="AF161" s="61" t="s">
        <v>800</v>
      </c>
      <c r="AG161" s="62" t="s">
        <v>800</v>
      </c>
      <c r="AH161" s="62" t="s">
        <v>800</v>
      </c>
      <c r="AI161" s="62" t="s">
        <v>800</v>
      </c>
      <c r="AJ161" s="62"/>
      <c r="AK161" s="62">
        <v>15600</v>
      </c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CE161" s="35"/>
      <c r="CF161" s="35"/>
      <c r="CG161" s="35"/>
      <c r="CH161" s="35"/>
      <c r="CI161" s="35"/>
    </row>
    <row r="162" spans="1:92">
      <c r="A162" s="23" t="s">
        <v>980</v>
      </c>
      <c r="B162" s="29"/>
      <c r="C162" s="29">
        <v>9857026400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>
        <v>1950</v>
      </c>
      <c r="O162" s="23"/>
      <c r="P162" s="23"/>
      <c r="Q162" s="23"/>
      <c r="R162" s="23">
        <f>SUM(D162:Q162)</f>
        <v>1950</v>
      </c>
      <c r="S162" s="23">
        <f>BB162</f>
        <v>1950</v>
      </c>
      <c r="T162" s="23">
        <f>R162-S162</f>
        <v>0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1">
        <v>1950</v>
      </c>
      <c r="BC162" s="35"/>
      <c r="BD162" s="35"/>
      <c r="CE162" s="35"/>
      <c r="CF162" s="35"/>
      <c r="CG162" s="35"/>
      <c r="CH162" s="35"/>
      <c r="CI162" s="35"/>
    </row>
    <row r="163" spans="1:92" s="62" customFormat="1">
      <c r="A163" s="23" t="s">
        <v>974</v>
      </c>
      <c r="B163" s="29"/>
      <c r="C163" s="29">
        <v>9801019540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>
        <v>49000</v>
      </c>
      <c r="N163" s="23"/>
      <c r="O163" s="23"/>
      <c r="P163" s="23"/>
      <c r="Q163" s="23"/>
      <c r="R163" s="23">
        <f>SUM(D163:Q163)</f>
        <v>49000</v>
      </c>
      <c r="S163" s="23">
        <f>BA163</f>
        <v>49000</v>
      </c>
      <c r="T163" s="23">
        <f>R163-S163</f>
        <v>0</v>
      </c>
      <c r="U163" s="46"/>
      <c r="V163" s="46"/>
      <c r="W163" s="46"/>
      <c r="X163" s="46"/>
      <c r="Y163" s="46"/>
      <c r="Z163" s="46"/>
      <c r="AA163" s="46"/>
      <c r="AB163" s="46"/>
      <c r="AC163" s="46"/>
      <c r="AD163" s="23"/>
      <c r="AE163" s="23"/>
      <c r="AF163" s="23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>
        <v>49000</v>
      </c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35"/>
      <c r="CF163" s="35"/>
      <c r="CG163" s="35"/>
      <c r="CH163" s="35"/>
      <c r="CI163" s="35"/>
    </row>
    <row r="164" spans="1:92">
      <c r="A164" s="23" t="s">
        <v>864</v>
      </c>
      <c r="B164" s="29"/>
      <c r="C164" s="29">
        <v>9847406087</v>
      </c>
      <c r="D164" s="23"/>
      <c r="E164" s="23"/>
      <c r="F164" s="23"/>
      <c r="G164" s="23"/>
      <c r="H164" s="23">
        <v>31600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>
        <f>SUM(D164:Q164)</f>
        <v>31600</v>
      </c>
      <c r="S164" s="23">
        <f>AV164</f>
        <v>31600</v>
      </c>
      <c r="T164" s="23">
        <f>R164-S164</f>
        <v>0</v>
      </c>
      <c r="U164" s="31"/>
      <c r="V164" s="31"/>
      <c r="W164" s="31"/>
      <c r="X164" s="33"/>
      <c r="Y164" s="14"/>
      <c r="Z164" s="12"/>
      <c r="AA164" s="12"/>
      <c r="AB164" s="53"/>
      <c r="AC164" s="34"/>
      <c r="AD164" s="34"/>
      <c r="AE164" s="34"/>
      <c r="AF164" s="34"/>
      <c r="AG164" s="34"/>
      <c r="AH164" s="34"/>
      <c r="AI164" s="34"/>
      <c r="AJ164" s="34"/>
      <c r="AK164" s="34">
        <v>19</v>
      </c>
      <c r="AL164" s="34"/>
      <c r="AM164" s="34" t="s">
        <v>798</v>
      </c>
      <c r="AN164" s="31" t="s">
        <v>798</v>
      </c>
      <c r="AO164" s="31"/>
      <c r="AP164" s="31"/>
      <c r="AQ164" s="31"/>
      <c r="AR164" s="31"/>
      <c r="AS164" s="31" t="s">
        <v>800</v>
      </c>
      <c r="AT164" s="31" t="s">
        <v>800</v>
      </c>
      <c r="AU164" s="31" t="s">
        <v>800</v>
      </c>
      <c r="AV164" s="62">
        <v>31600</v>
      </c>
    </row>
    <row r="165" spans="1:92">
      <c r="A165" s="23" t="s">
        <v>975</v>
      </c>
      <c r="B165" s="29"/>
      <c r="C165" s="29">
        <v>9857027184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>
        <v>104500</v>
      </c>
      <c r="N165" s="23"/>
      <c r="O165" s="23"/>
      <c r="P165" s="23"/>
      <c r="Q165" s="23"/>
      <c r="R165" s="23">
        <f>SUM(D165:Q165)</f>
        <v>104500</v>
      </c>
      <c r="S165" s="23">
        <f>BA165</f>
        <v>104500</v>
      </c>
      <c r="T165" s="23">
        <f>R165-S165</f>
        <v>0</v>
      </c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1">
        <v>104500</v>
      </c>
      <c r="BB165" s="35"/>
      <c r="BC165" s="35"/>
      <c r="BD165" s="35"/>
      <c r="BE165" s="35"/>
      <c r="BF165" s="35"/>
      <c r="BG165" s="35"/>
      <c r="BH165" s="35"/>
      <c r="BI165" s="35"/>
      <c r="BJ165" s="35"/>
    </row>
    <row r="166" spans="1:92">
      <c r="A166" s="23" t="s">
        <v>176</v>
      </c>
      <c r="B166" s="29"/>
      <c r="C166" s="29">
        <v>9857037656</v>
      </c>
      <c r="D166" s="23">
        <v>0</v>
      </c>
      <c r="E166" s="23"/>
      <c r="F166" s="23"/>
      <c r="G166" s="23"/>
      <c r="H166" s="23"/>
      <c r="I166" s="23"/>
      <c r="J166" s="23"/>
      <c r="K166" s="23">
        <v>26000</v>
      </c>
      <c r="L166" s="23"/>
      <c r="M166" s="23"/>
      <c r="N166" s="23"/>
      <c r="O166" s="23"/>
      <c r="P166" s="23"/>
      <c r="Q166" s="23"/>
      <c r="R166" s="23">
        <f>SUM(D166:Q166)</f>
        <v>26000</v>
      </c>
      <c r="S166" s="23">
        <v>26000</v>
      </c>
      <c r="T166" s="23">
        <f>R166-S166</f>
        <v>0</v>
      </c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>
        <v>26000</v>
      </c>
      <c r="AU166" s="62"/>
      <c r="AV166" s="62"/>
      <c r="AW166" s="62"/>
      <c r="AX166" s="62"/>
      <c r="AY166" s="62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</row>
    <row r="167" spans="1:92">
      <c r="A167" s="23" t="s">
        <v>967</v>
      </c>
      <c r="B167" s="29"/>
      <c r="C167" s="29"/>
      <c r="D167" s="23"/>
      <c r="E167" s="23"/>
      <c r="F167" s="23"/>
      <c r="G167" s="23"/>
      <c r="H167" s="23"/>
      <c r="I167" s="23"/>
      <c r="J167" s="23"/>
      <c r="K167" s="23"/>
      <c r="L167" s="23"/>
      <c r="M167" s="23">
        <v>17500</v>
      </c>
      <c r="N167" s="23">
        <v>46000</v>
      </c>
      <c r="O167" s="23"/>
      <c r="P167" s="23"/>
      <c r="Q167" s="23"/>
      <c r="R167" s="23">
        <f>SUM(D167:Q167)</f>
        <v>63500</v>
      </c>
      <c r="S167" s="23">
        <f>BC167+46000</f>
        <v>63500</v>
      </c>
      <c r="T167" s="23">
        <f>R167-S167</f>
        <v>0</v>
      </c>
      <c r="U167" s="46"/>
      <c r="V167" s="46"/>
      <c r="W167" s="46"/>
      <c r="X167" s="46"/>
      <c r="Y167" s="46"/>
      <c r="Z167" s="46"/>
      <c r="AA167" s="23"/>
      <c r="AB167" s="23"/>
      <c r="AC167" s="23"/>
      <c r="AD167" s="23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1">
        <v>17500</v>
      </c>
      <c r="BD167" s="62">
        <v>46000</v>
      </c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</row>
    <row r="168" spans="1:92">
      <c r="A168" s="23" t="s">
        <v>177</v>
      </c>
      <c r="B168" s="29"/>
      <c r="C168" s="29">
        <v>9847444638</v>
      </c>
      <c r="D168" s="23">
        <v>0</v>
      </c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>
        <f>SUM(D168:Q168)</f>
        <v>0</v>
      </c>
      <c r="S168" s="23"/>
      <c r="T168" s="23">
        <f>R168-S168</f>
        <v>0</v>
      </c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</row>
    <row r="169" spans="1:92" s="62" customFormat="1">
      <c r="A169" s="23" t="s">
        <v>177</v>
      </c>
      <c r="B169" s="29"/>
      <c r="C169" s="29">
        <v>9847444638</v>
      </c>
      <c r="D169" s="23"/>
      <c r="E169" s="23"/>
      <c r="F169" s="23">
        <v>24000</v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>
        <f>SUM(D169:Q169)</f>
        <v>24000</v>
      </c>
      <c r="S169" s="23">
        <f>AD169</f>
        <v>24000</v>
      </c>
      <c r="T169" s="23">
        <f>R169-S169</f>
        <v>0</v>
      </c>
      <c r="U169" s="46"/>
      <c r="V169" s="46"/>
      <c r="W169" s="46"/>
      <c r="X169" s="46"/>
      <c r="Y169" s="46"/>
      <c r="Z169" s="46"/>
      <c r="AA169" s="23"/>
      <c r="AB169" s="23"/>
      <c r="AC169" s="46"/>
      <c r="AD169" s="1">
        <v>24000</v>
      </c>
      <c r="AE169" s="35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</row>
    <row r="170" spans="1:92">
      <c r="A170" s="23" t="s">
        <v>909</v>
      </c>
      <c r="B170" s="29"/>
      <c r="C170" s="29">
        <v>9827494252</v>
      </c>
      <c r="D170" s="23"/>
      <c r="E170" s="23"/>
      <c r="F170" s="23"/>
      <c r="G170" s="23"/>
      <c r="H170" s="23"/>
      <c r="I170" s="23"/>
      <c r="J170" s="23"/>
      <c r="K170" s="23"/>
      <c r="L170" s="23">
        <v>66000</v>
      </c>
      <c r="M170" s="23"/>
      <c r="N170" s="23"/>
      <c r="O170" s="23"/>
      <c r="P170" s="23"/>
      <c r="Q170" s="23"/>
      <c r="R170" s="23">
        <f>SUM(D170:Q170)</f>
        <v>66000</v>
      </c>
      <c r="S170" s="23">
        <f>AU170</f>
        <v>66000</v>
      </c>
      <c r="T170" s="23">
        <f>R170-S170</f>
        <v>0</v>
      </c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>
        <v>66000</v>
      </c>
      <c r="AV170" s="62"/>
      <c r="AW170" s="62"/>
      <c r="AX170" s="62"/>
      <c r="AY170" s="62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</row>
    <row r="171" spans="1:92">
      <c r="A171" s="23" t="s">
        <v>781</v>
      </c>
      <c r="B171" s="29"/>
      <c r="C171" s="29">
        <v>9857032838</v>
      </c>
      <c r="D171" s="23"/>
      <c r="E171" s="23">
        <v>94000</v>
      </c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>
        <f>SUM(D171:Q171)</f>
        <v>94000</v>
      </c>
      <c r="S171" s="23">
        <f>U171+74000</f>
        <v>94000</v>
      </c>
      <c r="T171" s="23">
        <f>R171-S171</f>
        <v>0</v>
      </c>
      <c r="U171" s="62">
        <v>20000</v>
      </c>
      <c r="V171" s="62"/>
      <c r="W171" s="62">
        <v>74000</v>
      </c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</row>
    <row r="172" spans="1:92">
      <c r="A172" s="12" t="s">
        <v>1000</v>
      </c>
      <c r="B172" s="3"/>
      <c r="C172" s="18">
        <v>9867779502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23"/>
      <c r="O172" s="23"/>
      <c r="P172" s="23"/>
      <c r="Q172" s="23">
        <v>35000</v>
      </c>
      <c r="R172" s="23"/>
      <c r="S172" s="23">
        <f>BM172</f>
        <v>14000</v>
      </c>
      <c r="T172" s="23"/>
      <c r="U172" s="46"/>
      <c r="V172" s="46"/>
      <c r="W172" s="46"/>
      <c r="X172" s="46"/>
      <c r="Y172" s="46"/>
      <c r="Z172" s="46"/>
      <c r="AA172" s="46"/>
      <c r="AB172" s="46"/>
      <c r="AC172" s="46"/>
      <c r="AD172" s="23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>
        <v>14000</v>
      </c>
      <c r="BN172" s="35"/>
      <c r="BO172" s="35"/>
      <c r="BP172" s="35"/>
      <c r="BQ172" s="35"/>
    </row>
    <row r="173" spans="1:92">
      <c r="A173" s="23" t="s">
        <v>178</v>
      </c>
      <c r="B173" s="29"/>
      <c r="C173" s="29">
        <v>9857031025</v>
      </c>
      <c r="D173" s="23">
        <v>0</v>
      </c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>
        <f>SUM(D173:Q173)</f>
        <v>0</v>
      </c>
      <c r="S173" s="23"/>
      <c r="T173" s="23">
        <f>R173-S173</f>
        <v>0</v>
      </c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</row>
    <row r="174" spans="1:92">
      <c r="A174" s="23" t="s">
        <v>179</v>
      </c>
      <c r="B174" s="29"/>
      <c r="C174" s="29">
        <v>9857038444</v>
      </c>
      <c r="D174" s="23">
        <v>0</v>
      </c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>
        <f>SUM(D174:Q174)</f>
        <v>0</v>
      </c>
      <c r="S174" s="23"/>
      <c r="T174" s="23">
        <f>R174-S174</f>
        <v>0</v>
      </c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X174" s="35"/>
      <c r="BY174" s="35"/>
      <c r="BZ174" s="35"/>
      <c r="CA174" s="35"/>
      <c r="CB174" s="35"/>
      <c r="CC174" s="35"/>
      <c r="CD174" s="35"/>
    </row>
    <row r="175" spans="1:92">
      <c r="A175" s="23" t="s">
        <v>180</v>
      </c>
      <c r="B175" s="29"/>
      <c r="C175" s="29">
        <v>9847327657</v>
      </c>
      <c r="D175" s="23">
        <v>0</v>
      </c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>
        <f>SUM(D175:Q175)</f>
        <v>0</v>
      </c>
      <c r="S175" s="23"/>
      <c r="T175" s="23">
        <f>R175-S175</f>
        <v>0</v>
      </c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X175" s="35"/>
      <c r="BY175" s="35"/>
      <c r="BZ175" s="35"/>
      <c r="CA175" s="35"/>
      <c r="CB175" s="35"/>
      <c r="CC175" s="35"/>
      <c r="CD175" s="35"/>
    </row>
    <row r="176" spans="1:92">
      <c r="A176" s="12" t="s">
        <v>301</v>
      </c>
      <c r="B176" s="3"/>
      <c r="C176" s="18">
        <v>9857031565</v>
      </c>
      <c r="D176" s="12"/>
      <c r="E176" s="12"/>
      <c r="F176" s="12"/>
      <c r="G176" s="12"/>
      <c r="H176" s="12"/>
      <c r="I176" s="12"/>
      <c r="J176" s="12"/>
      <c r="K176" s="12">
        <v>27000</v>
      </c>
      <c r="L176" s="12"/>
      <c r="M176" s="12"/>
      <c r="N176" s="12"/>
      <c r="O176" s="12"/>
      <c r="P176" s="12"/>
      <c r="Q176" s="12"/>
      <c r="R176" s="23">
        <f>SUM(D176:Q176)</f>
        <v>27000</v>
      </c>
      <c r="S176" s="12"/>
      <c r="T176" s="12">
        <f>R176-S176</f>
        <v>27000</v>
      </c>
      <c r="U176" s="31"/>
      <c r="V176" s="31"/>
      <c r="W176" s="34"/>
      <c r="X176" s="34"/>
      <c r="Y176" s="34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4"/>
      <c r="AT176" s="34"/>
      <c r="AU176" s="34"/>
      <c r="AV176" s="34"/>
      <c r="AW176" s="34"/>
      <c r="AX176" s="34"/>
      <c r="AY176" s="34"/>
      <c r="AZ176" s="34">
        <v>5</v>
      </c>
      <c r="BA176" s="34"/>
      <c r="BB176" s="34"/>
      <c r="BC176" s="34"/>
      <c r="BD176" s="34">
        <v>7</v>
      </c>
      <c r="BE176" s="34"/>
      <c r="BF176" s="34">
        <v>8</v>
      </c>
      <c r="BG176" s="31" t="s">
        <v>795</v>
      </c>
      <c r="BH176" s="31" t="s">
        <v>804</v>
      </c>
      <c r="BI176" s="31" t="s">
        <v>809</v>
      </c>
      <c r="BJ176" s="31" t="s">
        <v>795</v>
      </c>
      <c r="BK176" s="31" t="s">
        <v>795</v>
      </c>
      <c r="BL176" s="31"/>
      <c r="BM176" s="34" t="s">
        <v>804</v>
      </c>
      <c r="BN176" s="34"/>
      <c r="BW176" s="35"/>
      <c r="BX176" s="35"/>
      <c r="BY176" s="35"/>
      <c r="BZ176" s="35"/>
      <c r="CA176" s="35"/>
      <c r="CB176" s="35"/>
      <c r="CC176" s="35"/>
      <c r="CD176" s="35"/>
    </row>
    <row r="177" spans="1:83" s="62" customFormat="1" ht="18.75">
      <c r="A177" s="85" t="s">
        <v>186</v>
      </c>
      <c r="B177" s="86"/>
      <c r="C177" s="86">
        <v>9857044224</v>
      </c>
      <c r="D177" s="79">
        <v>9500</v>
      </c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23">
        <f>SUM(D177:Q177)</f>
        <v>9500</v>
      </c>
      <c r="S177" s="12"/>
      <c r="T177" s="12">
        <f>R177-S177</f>
        <v>9500</v>
      </c>
      <c r="U177" s="31"/>
      <c r="V177" s="31"/>
      <c r="W177" s="31" t="s">
        <v>793</v>
      </c>
      <c r="X177" s="31" t="s">
        <v>804</v>
      </c>
      <c r="Y177" s="31" t="s">
        <v>795</v>
      </c>
      <c r="Z177" s="31" t="s">
        <v>818</v>
      </c>
      <c r="AA177" s="31" t="s">
        <v>793</v>
      </c>
      <c r="AB177" s="31" t="s">
        <v>812</v>
      </c>
      <c r="AC177" s="31"/>
      <c r="AD177" s="31" t="s">
        <v>793</v>
      </c>
      <c r="AE177" s="31" t="s">
        <v>793</v>
      </c>
      <c r="AF177" s="31" t="s">
        <v>818</v>
      </c>
      <c r="AG177" s="31" t="s">
        <v>793</v>
      </c>
      <c r="AH177" s="31" t="s">
        <v>793</v>
      </c>
      <c r="AI177" s="31" t="s">
        <v>793</v>
      </c>
      <c r="AJ177" s="31"/>
      <c r="AK177" s="31" t="s">
        <v>795</v>
      </c>
      <c r="AL177" s="31" t="s">
        <v>795</v>
      </c>
      <c r="AM177" s="31" t="s">
        <v>793</v>
      </c>
      <c r="AN177" s="31" t="s">
        <v>818</v>
      </c>
      <c r="AO177" s="31" t="s">
        <v>793</v>
      </c>
      <c r="AP177" s="31" t="s">
        <v>818</v>
      </c>
      <c r="AQ177" s="31"/>
      <c r="AR177" s="31" t="s">
        <v>795</v>
      </c>
      <c r="AS177" s="31" t="s">
        <v>795</v>
      </c>
      <c r="AT177" s="31" t="s">
        <v>795</v>
      </c>
      <c r="AU177" s="31" t="s">
        <v>793</v>
      </c>
      <c r="AV177" s="31" t="s">
        <v>793</v>
      </c>
      <c r="AW177" s="31" t="s">
        <v>793</v>
      </c>
      <c r="AX177" s="31"/>
      <c r="AY177" s="31" t="s">
        <v>882</v>
      </c>
      <c r="AZ177" s="31" t="s">
        <v>793</v>
      </c>
      <c r="BA177" s="31" t="s">
        <v>795</v>
      </c>
      <c r="BB177" s="31" t="s">
        <v>804</v>
      </c>
      <c r="BC177" s="31" t="s">
        <v>795</v>
      </c>
      <c r="BD177" s="31" t="s">
        <v>795</v>
      </c>
      <c r="BE177" s="31"/>
      <c r="BF177" s="31" t="s">
        <v>804</v>
      </c>
      <c r="BG177" s="31" t="s">
        <v>795</v>
      </c>
      <c r="BH177" s="31" t="s">
        <v>795</v>
      </c>
      <c r="BI177" s="31" t="s">
        <v>795</v>
      </c>
      <c r="BJ177" s="31" t="s">
        <v>804</v>
      </c>
      <c r="BK177" s="31" t="s">
        <v>795</v>
      </c>
      <c r="BL177" s="31"/>
      <c r="BM177" s="34" t="s">
        <v>795</v>
      </c>
      <c r="BN177" s="34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35"/>
    </row>
    <row r="178" spans="1:83" ht="18.75">
      <c r="A178" s="79" t="s">
        <v>181</v>
      </c>
      <c r="B178" s="80"/>
      <c r="C178" s="80">
        <v>9801342500</v>
      </c>
      <c r="D178" s="79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17500</v>
      </c>
      <c r="Q178" s="12"/>
      <c r="R178" s="23">
        <f>SUM(D178:Q178)</f>
        <v>17500</v>
      </c>
      <c r="S178" s="12"/>
      <c r="T178" s="12">
        <f>R178-S178</f>
        <v>17500</v>
      </c>
      <c r="U178" s="31"/>
      <c r="V178" s="31"/>
      <c r="W178" s="34"/>
      <c r="X178" s="34"/>
      <c r="Y178" s="34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4"/>
      <c r="BA178" s="34"/>
      <c r="BB178" s="34"/>
      <c r="BC178" s="34"/>
      <c r="BD178" s="34"/>
      <c r="BE178" s="34"/>
      <c r="BF178" s="31"/>
      <c r="BG178" s="31"/>
      <c r="BH178" s="31"/>
      <c r="BI178" s="31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1" t="s">
        <v>4</v>
      </c>
    </row>
    <row r="179" spans="1:83" ht="18.75">
      <c r="A179" s="79" t="s">
        <v>187</v>
      </c>
      <c r="B179" s="80"/>
      <c r="C179" s="80" t="s">
        <v>188</v>
      </c>
      <c r="D179" s="79">
        <v>63107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23">
        <f>SUM(D179:Q179)</f>
        <v>63107</v>
      </c>
      <c r="S179" s="12"/>
      <c r="T179" s="12">
        <f>R179-S179</f>
        <v>63107</v>
      </c>
      <c r="U179" s="31"/>
      <c r="V179" s="31"/>
      <c r="W179" s="34">
        <v>6</v>
      </c>
      <c r="X179" s="34"/>
      <c r="Y179" s="34"/>
      <c r="Z179" s="31" t="s">
        <v>795</v>
      </c>
      <c r="AA179" s="31" t="s">
        <v>795</v>
      </c>
      <c r="AB179" s="31" t="s">
        <v>812</v>
      </c>
      <c r="AC179" s="31"/>
      <c r="AD179" s="31" t="s">
        <v>795</v>
      </c>
      <c r="AE179" s="31" t="s">
        <v>796</v>
      </c>
      <c r="AF179" s="31" t="s">
        <v>796</v>
      </c>
      <c r="AG179" s="31" t="s">
        <v>793</v>
      </c>
      <c r="AH179" s="31" t="s">
        <v>793</v>
      </c>
      <c r="AI179" s="31" t="s">
        <v>793</v>
      </c>
      <c r="AJ179" s="31"/>
      <c r="AK179" s="31" t="s">
        <v>793</v>
      </c>
      <c r="AL179" s="31" t="s">
        <v>793</v>
      </c>
      <c r="AM179" s="31" t="s">
        <v>793</v>
      </c>
      <c r="AN179" s="31" t="s">
        <v>882</v>
      </c>
      <c r="AO179" s="31" t="s">
        <v>796</v>
      </c>
      <c r="AP179" s="31" t="s">
        <v>793</v>
      </c>
      <c r="AQ179" s="31"/>
      <c r="AR179" s="31" t="s">
        <v>795</v>
      </c>
      <c r="AS179" s="31" t="s">
        <v>796</v>
      </c>
      <c r="AT179" s="31" t="s">
        <v>796</v>
      </c>
      <c r="AU179" s="31" t="s">
        <v>882</v>
      </c>
      <c r="AV179" s="31" t="s">
        <v>796</v>
      </c>
      <c r="AW179" s="31" t="s">
        <v>796</v>
      </c>
      <c r="AX179" s="31"/>
      <c r="AY179" s="31" t="s">
        <v>795</v>
      </c>
      <c r="AZ179" s="34" t="s">
        <v>796</v>
      </c>
      <c r="BA179" s="34">
        <v>7</v>
      </c>
      <c r="BB179" s="34"/>
      <c r="BC179" s="34"/>
      <c r="BD179" s="34"/>
      <c r="BE179" s="34"/>
      <c r="BF179" s="31" t="s">
        <v>796</v>
      </c>
      <c r="BG179" s="31" t="s">
        <v>796</v>
      </c>
      <c r="BH179" s="31" t="s">
        <v>796</v>
      </c>
      <c r="BI179" s="31" t="s">
        <v>796</v>
      </c>
      <c r="BJ179" s="31" t="s">
        <v>795</v>
      </c>
      <c r="BK179" s="31" t="s">
        <v>793</v>
      </c>
      <c r="BL179" s="31"/>
      <c r="BM179" s="34" t="s">
        <v>796</v>
      </c>
      <c r="BN179" s="34"/>
    </row>
    <row r="180" spans="1:83" s="62" customFormat="1" ht="18.75">
      <c r="A180" s="79" t="s">
        <v>166</v>
      </c>
      <c r="B180" s="80"/>
      <c r="C180" s="80">
        <v>9857037227</v>
      </c>
      <c r="D180" s="79"/>
      <c r="E180" s="12"/>
      <c r="F180" s="12"/>
      <c r="G180" s="12"/>
      <c r="H180" s="12">
        <v>6600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23">
        <f>SUM(D180:Q180)</f>
        <v>6600</v>
      </c>
      <c r="S180" s="12"/>
      <c r="T180" s="12">
        <f>R180-S180</f>
        <v>6600</v>
      </c>
      <c r="U180" s="31"/>
      <c r="V180" s="31"/>
      <c r="W180" s="34"/>
      <c r="X180" s="34"/>
      <c r="Y180" s="34"/>
      <c r="Z180" s="31"/>
      <c r="AA180" s="31"/>
      <c r="AB180" s="31"/>
      <c r="AC180" s="31"/>
      <c r="AD180" s="31"/>
      <c r="AE180" s="31"/>
      <c r="AF180" s="31"/>
      <c r="AG180" s="31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1">
        <v>5</v>
      </c>
      <c r="AZ180" s="34">
        <v>5</v>
      </c>
      <c r="BA180" s="34"/>
      <c r="BB180" s="34"/>
      <c r="BC180" s="34"/>
      <c r="BD180" s="34">
        <v>9</v>
      </c>
      <c r="BE180" s="34"/>
      <c r="BF180" s="34"/>
      <c r="BG180" s="34"/>
      <c r="BH180" s="34">
        <v>15</v>
      </c>
      <c r="BI180" s="34"/>
      <c r="BJ180" s="34"/>
      <c r="BK180" s="34"/>
      <c r="BL180" s="34"/>
      <c r="BM180" s="34"/>
      <c r="BN180" s="31" t="s">
        <v>4</v>
      </c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35"/>
    </row>
    <row r="181" spans="1:83" s="62" customFormat="1" ht="18.75">
      <c r="A181" s="79" t="s">
        <v>189</v>
      </c>
      <c r="B181" s="80"/>
      <c r="C181" s="80">
        <v>9847546551</v>
      </c>
      <c r="D181" s="79">
        <v>27000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23">
        <f>SUM(D181:Q181)</f>
        <v>27000</v>
      </c>
      <c r="S181" s="12"/>
      <c r="T181" s="12">
        <f>R181-S181</f>
        <v>27000</v>
      </c>
      <c r="U181" s="12">
        <v>3</v>
      </c>
      <c r="V181" s="12"/>
      <c r="W181" s="34">
        <v>7</v>
      </c>
      <c r="X181" s="34"/>
      <c r="Y181" s="34"/>
      <c r="Z181" s="33"/>
      <c r="AA181" s="31" t="s">
        <v>793</v>
      </c>
      <c r="AB181" s="14" t="s">
        <v>796</v>
      </c>
      <c r="AC181" s="14"/>
      <c r="AD181" s="14" t="s">
        <v>795</v>
      </c>
      <c r="AE181" s="31" t="s">
        <v>795</v>
      </c>
      <c r="AF181" s="31" t="s">
        <v>795</v>
      </c>
      <c r="AG181" s="34">
        <v>16</v>
      </c>
      <c r="AH181" s="34"/>
      <c r="AI181" s="34"/>
      <c r="AJ181" s="31" t="s">
        <v>4</v>
      </c>
      <c r="AK181" s="34">
        <v>19</v>
      </c>
      <c r="AL181" s="34"/>
      <c r="AM181" s="31"/>
      <c r="AN181" s="31" t="s">
        <v>793</v>
      </c>
      <c r="AO181" s="31" t="s">
        <v>793</v>
      </c>
      <c r="AP181" s="31" t="s">
        <v>793</v>
      </c>
      <c r="AQ181" s="31"/>
      <c r="AR181" s="31" t="s">
        <v>793</v>
      </c>
      <c r="AS181" s="31" t="s">
        <v>793</v>
      </c>
      <c r="AT181" s="31" t="s">
        <v>793</v>
      </c>
      <c r="AU181" s="31" t="s">
        <v>795</v>
      </c>
      <c r="AV181" s="31" t="s">
        <v>793</v>
      </c>
      <c r="AW181" s="31" t="s">
        <v>796</v>
      </c>
      <c r="AX181" s="31"/>
      <c r="AY181" s="31" t="s">
        <v>793</v>
      </c>
      <c r="AZ181" s="31" t="s">
        <v>793</v>
      </c>
      <c r="BA181" s="31" t="s">
        <v>793</v>
      </c>
      <c r="BB181" s="31" t="s">
        <v>793</v>
      </c>
      <c r="BC181" s="31" t="s">
        <v>793</v>
      </c>
      <c r="BD181" s="31" t="s">
        <v>793</v>
      </c>
      <c r="BE181" s="31"/>
      <c r="BF181" s="31" t="s">
        <v>793</v>
      </c>
      <c r="BG181" s="31" t="s">
        <v>793</v>
      </c>
      <c r="BH181" s="31" t="s">
        <v>793</v>
      </c>
      <c r="BI181" s="31" t="s">
        <v>793</v>
      </c>
      <c r="BJ181" s="31" t="s">
        <v>793</v>
      </c>
      <c r="BK181" s="31" t="s">
        <v>793</v>
      </c>
      <c r="BL181" s="31"/>
      <c r="BM181" s="31" t="s">
        <v>793</v>
      </c>
      <c r="BN181" s="31" t="s">
        <v>4</v>
      </c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35"/>
    </row>
    <row r="182" spans="1:83">
      <c r="A182" s="12" t="s">
        <v>277</v>
      </c>
      <c r="B182" s="3"/>
      <c r="C182" s="18">
        <v>9857061915</v>
      </c>
      <c r="D182" s="12"/>
      <c r="E182" s="12"/>
      <c r="F182" s="14">
        <v>45000</v>
      </c>
      <c r="G182" s="14">
        <v>149000</v>
      </c>
      <c r="H182" s="14"/>
      <c r="I182" s="14">
        <v>78400</v>
      </c>
      <c r="J182" s="12"/>
      <c r="K182" s="12"/>
      <c r="L182" s="12"/>
      <c r="M182" s="12"/>
      <c r="N182" s="12"/>
      <c r="O182" s="12"/>
      <c r="P182" s="12">
        <v>27900</v>
      </c>
      <c r="Q182" s="12"/>
      <c r="R182" s="23">
        <f>SUM(D182:Q182)</f>
        <v>300300</v>
      </c>
      <c r="S182" s="12"/>
      <c r="T182" s="12">
        <f>R182-S182</f>
        <v>300300</v>
      </c>
      <c r="U182" s="31"/>
      <c r="V182" s="31"/>
      <c r="W182" s="34"/>
      <c r="X182" s="34"/>
      <c r="Y182" s="34"/>
      <c r="Z182" s="31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>
        <v>10</v>
      </c>
      <c r="BA182" s="34"/>
      <c r="BB182" s="34"/>
      <c r="BC182" s="34"/>
      <c r="BD182" s="34"/>
      <c r="BE182" s="34"/>
      <c r="BF182" s="34"/>
      <c r="BG182" s="34"/>
      <c r="BH182" s="34"/>
      <c r="BI182" s="31">
        <v>27</v>
      </c>
      <c r="BJ182" s="31"/>
      <c r="BK182" s="31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1"/>
    </row>
    <row r="183" spans="1:83" ht="18.75">
      <c r="A183" s="85" t="s">
        <v>190</v>
      </c>
      <c r="B183" s="86"/>
      <c r="C183" s="86">
        <v>9857058455</v>
      </c>
      <c r="D183" s="79">
        <v>68500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23">
        <f>SUM(D183:Q183)</f>
        <v>68500</v>
      </c>
      <c r="S183" s="12"/>
      <c r="T183" s="12">
        <f>R183-S183</f>
        <v>68500</v>
      </c>
      <c r="U183" s="31"/>
      <c r="V183" s="31"/>
      <c r="W183" s="31" t="s">
        <v>795</v>
      </c>
      <c r="X183" s="31" t="s">
        <v>795</v>
      </c>
      <c r="Y183" s="31" t="s">
        <v>795</v>
      </c>
      <c r="Z183" s="31" t="s">
        <v>795</v>
      </c>
      <c r="AA183" s="31" t="s">
        <v>795</v>
      </c>
      <c r="AB183" s="31" t="s">
        <v>795</v>
      </c>
      <c r="AC183" s="31"/>
      <c r="AD183" s="31" t="s">
        <v>793</v>
      </c>
      <c r="AE183" s="31" t="s">
        <v>795</v>
      </c>
      <c r="AF183" s="31" t="s">
        <v>795</v>
      </c>
      <c r="AG183" s="31" t="s">
        <v>795</v>
      </c>
      <c r="AH183" s="31" t="s">
        <v>793</v>
      </c>
      <c r="AI183" s="31" t="s">
        <v>793</v>
      </c>
      <c r="AJ183" s="31"/>
      <c r="AK183" s="31" t="s">
        <v>793</v>
      </c>
      <c r="AL183" s="31" t="s">
        <v>793</v>
      </c>
      <c r="AM183" s="31" t="s">
        <v>795</v>
      </c>
      <c r="AN183" s="31" t="s">
        <v>795</v>
      </c>
      <c r="AO183" s="31" t="s">
        <v>795</v>
      </c>
      <c r="AP183" s="31" t="s">
        <v>795</v>
      </c>
      <c r="AQ183" s="31"/>
      <c r="AR183" s="31" t="s">
        <v>795</v>
      </c>
      <c r="AS183" s="31" t="s">
        <v>795</v>
      </c>
      <c r="AT183" s="31" t="s">
        <v>795</v>
      </c>
      <c r="AU183" s="31" t="s">
        <v>805</v>
      </c>
      <c r="AV183" s="31" t="s">
        <v>805</v>
      </c>
      <c r="AW183" s="31" t="s">
        <v>805</v>
      </c>
      <c r="AX183" s="31"/>
      <c r="AY183" s="31" t="s">
        <v>805</v>
      </c>
      <c r="AZ183" s="31" t="s">
        <v>805</v>
      </c>
      <c r="BA183" s="31" t="s">
        <v>795</v>
      </c>
      <c r="BB183" s="31" t="s">
        <v>795</v>
      </c>
      <c r="BC183" s="31" t="s">
        <v>805</v>
      </c>
      <c r="BD183" s="31" t="s">
        <v>795</v>
      </c>
      <c r="BE183" s="31"/>
      <c r="BF183" s="31" t="s">
        <v>795</v>
      </c>
      <c r="BG183" s="31" t="s">
        <v>795</v>
      </c>
      <c r="BH183" s="31" t="s">
        <v>795</v>
      </c>
      <c r="BI183" s="31" t="s">
        <v>795</v>
      </c>
      <c r="BJ183" s="31" t="s">
        <v>796</v>
      </c>
      <c r="BK183" s="31" t="s">
        <v>793</v>
      </c>
      <c r="BL183" s="31"/>
      <c r="BM183" s="31" t="s">
        <v>805</v>
      </c>
      <c r="BN183" s="31" t="s">
        <v>4</v>
      </c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</row>
    <row r="184" spans="1:83" s="62" customFormat="1" ht="18.75">
      <c r="A184" s="87" t="s">
        <v>191</v>
      </c>
      <c r="B184" s="88"/>
      <c r="C184" s="88" t="s">
        <v>9</v>
      </c>
      <c r="D184" s="77">
        <v>350325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23">
        <f>SUM(D184:Q184)</f>
        <v>350325</v>
      </c>
      <c r="S184" s="12"/>
      <c r="T184" s="12">
        <f>R184-S184</f>
        <v>350325</v>
      </c>
      <c r="U184" s="31"/>
      <c r="V184" s="31"/>
      <c r="W184" s="31" t="s">
        <v>793</v>
      </c>
      <c r="X184" s="31" t="s">
        <v>793</v>
      </c>
      <c r="Y184" s="31" t="s">
        <v>793</v>
      </c>
      <c r="Z184" s="31" t="s">
        <v>793</v>
      </c>
      <c r="AA184" s="31" t="s">
        <v>793</v>
      </c>
      <c r="AB184" s="31" t="s">
        <v>812</v>
      </c>
      <c r="AC184" s="31"/>
      <c r="AD184" s="31" t="s">
        <v>793</v>
      </c>
      <c r="AE184" s="31" t="s">
        <v>793</v>
      </c>
      <c r="AF184" s="31" t="s">
        <v>793</v>
      </c>
      <c r="AG184" s="31" t="s">
        <v>795</v>
      </c>
      <c r="AH184" s="31" t="s">
        <v>793</v>
      </c>
      <c r="AI184" s="31" t="s">
        <v>793</v>
      </c>
      <c r="AJ184" s="31"/>
      <c r="AK184" s="31" t="s">
        <v>793</v>
      </c>
      <c r="AL184" s="31" t="s">
        <v>793</v>
      </c>
      <c r="AM184" s="31" t="s">
        <v>795</v>
      </c>
      <c r="AN184" s="31" t="s">
        <v>795</v>
      </c>
      <c r="AO184" s="31" t="s">
        <v>795</v>
      </c>
      <c r="AP184" s="31" t="s">
        <v>795</v>
      </c>
      <c r="AQ184" s="31"/>
      <c r="AR184" s="31" t="s">
        <v>795</v>
      </c>
      <c r="AS184" s="31" t="s">
        <v>796</v>
      </c>
      <c r="AT184" s="31" t="s">
        <v>795</v>
      </c>
      <c r="AU184" s="31" t="s">
        <v>795</v>
      </c>
      <c r="AV184" s="31" t="s">
        <v>795</v>
      </c>
      <c r="AW184" s="31" t="s">
        <v>795</v>
      </c>
      <c r="AX184" s="31"/>
      <c r="AY184" s="31" t="s">
        <v>795</v>
      </c>
      <c r="AZ184" s="31"/>
      <c r="BA184" s="31" t="s">
        <v>795</v>
      </c>
      <c r="BB184" s="31" t="s">
        <v>795</v>
      </c>
      <c r="BC184" s="31" t="s">
        <v>795</v>
      </c>
      <c r="BD184" s="31" t="s">
        <v>795</v>
      </c>
      <c r="BE184" s="31"/>
      <c r="BF184" s="31" t="s">
        <v>795</v>
      </c>
      <c r="BG184" s="31" t="s">
        <v>795</v>
      </c>
      <c r="BH184" s="31" t="s">
        <v>795</v>
      </c>
      <c r="BI184" s="31" t="s">
        <v>795</v>
      </c>
      <c r="BJ184" s="31" t="s">
        <v>795</v>
      </c>
      <c r="BK184" s="31" t="s">
        <v>795</v>
      </c>
      <c r="BL184" s="31"/>
      <c r="BM184" s="31" t="s">
        <v>793</v>
      </c>
      <c r="BN184" s="31" t="s">
        <v>4</v>
      </c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35"/>
    </row>
    <row r="185" spans="1:83" ht="18.75">
      <c r="A185" s="77" t="s">
        <v>192</v>
      </c>
      <c r="B185" s="78"/>
      <c r="C185" s="78">
        <v>9842741098</v>
      </c>
      <c r="D185" s="77">
        <v>121020</v>
      </c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84800</v>
      </c>
      <c r="P185" s="12"/>
      <c r="Q185" s="12"/>
      <c r="R185" s="23">
        <f>SUM(D185:Q185)</f>
        <v>205820</v>
      </c>
      <c r="S185" s="12">
        <f>AV185</f>
        <v>25000</v>
      </c>
      <c r="T185" s="36">
        <f>R185-S185</f>
        <v>180820</v>
      </c>
      <c r="U185" s="31"/>
      <c r="V185" s="31"/>
      <c r="W185" s="33">
        <v>10</v>
      </c>
      <c r="X185" s="33"/>
      <c r="Y185" s="33"/>
      <c r="Z185" s="33"/>
      <c r="AA185" s="33"/>
      <c r="AB185" s="33"/>
      <c r="AC185" s="33"/>
      <c r="AD185" s="34">
        <v>12</v>
      </c>
      <c r="AE185" s="34"/>
      <c r="AF185" s="34">
        <v>16</v>
      </c>
      <c r="AG185" s="34"/>
      <c r="AH185" s="34"/>
      <c r="AI185" s="34"/>
      <c r="AJ185" s="31" t="s">
        <v>4</v>
      </c>
      <c r="AK185" s="31">
        <v>20</v>
      </c>
      <c r="AL185" s="31"/>
      <c r="AM185" s="31"/>
      <c r="AN185" s="34">
        <v>24</v>
      </c>
      <c r="AO185" s="34"/>
      <c r="AP185" s="34"/>
      <c r="AQ185" s="34"/>
      <c r="AR185" s="31"/>
      <c r="AS185" s="34"/>
      <c r="AT185" s="34">
        <v>28</v>
      </c>
      <c r="AU185" s="34"/>
      <c r="AV185" s="62">
        <v>25000</v>
      </c>
      <c r="AW185" s="31"/>
      <c r="AX185" s="31"/>
      <c r="AY185" s="31"/>
      <c r="AZ185" s="34">
        <v>5</v>
      </c>
      <c r="BA185" s="34"/>
      <c r="BB185" s="34"/>
      <c r="BC185" s="34"/>
      <c r="BD185" s="34">
        <v>9</v>
      </c>
      <c r="BE185" s="34"/>
      <c r="BF185" s="34"/>
      <c r="BG185" s="34"/>
      <c r="BH185" s="34"/>
      <c r="BI185" s="34"/>
      <c r="BJ185" s="34"/>
      <c r="BK185" s="34"/>
      <c r="BL185" s="31" t="s">
        <v>4</v>
      </c>
      <c r="BM185" s="34">
        <v>18</v>
      </c>
      <c r="BN185" s="34"/>
      <c r="BO185" s="34"/>
      <c r="BP185" s="34"/>
      <c r="BQ185" s="31" t="s">
        <v>4</v>
      </c>
    </row>
    <row r="186" spans="1:83" ht="18.75">
      <c r="A186" s="77" t="s">
        <v>194</v>
      </c>
      <c r="B186" s="78"/>
      <c r="C186" s="78">
        <v>9858088247</v>
      </c>
      <c r="D186" s="77">
        <v>23000</v>
      </c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23">
        <f>SUM(D186:Q186)</f>
        <v>23000</v>
      </c>
      <c r="S186" s="12">
        <f>AW186</f>
        <v>10000</v>
      </c>
      <c r="T186" s="12">
        <f>R186-S186</f>
        <v>13000</v>
      </c>
      <c r="U186" s="12">
        <v>10</v>
      </c>
      <c r="V186" s="34"/>
      <c r="W186" s="33"/>
      <c r="X186" s="33"/>
      <c r="Y186" s="33"/>
      <c r="Z186" s="33"/>
      <c r="AA186" s="33"/>
      <c r="AB186" s="34"/>
      <c r="AC186" s="34"/>
      <c r="AD186" s="34">
        <v>13</v>
      </c>
      <c r="AE186" s="34"/>
      <c r="AF186" s="34"/>
      <c r="AG186" s="31" t="s">
        <v>795</v>
      </c>
      <c r="AH186" s="31" t="s">
        <v>793</v>
      </c>
      <c r="AI186" s="31" t="s">
        <v>793</v>
      </c>
      <c r="AJ186" s="31"/>
      <c r="AK186" s="31" t="s">
        <v>793</v>
      </c>
      <c r="AL186" s="31" t="s">
        <v>795</v>
      </c>
      <c r="AM186" s="34">
        <v>22</v>
      </c>
      <c r="AN186" s="34"/>
      <c r="AO186" s="34"/>
      <c r="AP186" s="31" t="s">
        <v>795</v>
      </c>
      <c r="AQ186" s="31"/>
      <c r="AR186" s="31" t="s">
        <v>795</v>
      </c>
      <c r="AS186" s="31" t="s">
        <v>795</v>
      </c>
      <c r="AT186" s="31" t="s">
        <v>795</v>
      </c>
      <c r="AU186" s="31" t="s">
        <v>795</v>
      </c>
      <c r="AV186" s="31">
        <v>29</v>
      </c>
      <c r="AW186" s="62">
        <v>10000</v>
      </c>
      <c r="AX186" s="62"/>
      <c r="AY186" s="31"/>
      <c r="AZ186" s="34">
        <v>10</v>
      </c>
      <c r="BA186" s="34"/>
      <c r="BB186" s="34"/>
      <c r="BC186" s="34"/>
      <c r="BD186" s="34"/>
      <c r="BE186" s="34"/>
      <c r="BF186" s="34"/>
      <c r="BG186" s="34"/>
      <c r="BH186" s="34"/>
      <c r="BI186" s="31">
        <v>14</v>
      </c>
      <c r="BJ186" s="31"/>
      <c r="BK186" s="31"/>
      <c r="BL186" s="34"/>
      <c r="BM186" s="34">
        <v>15</v>
      </c>
      <c r="BN186" s="31" t="s">
        <v>4</v>
      </c>
    </row>
    <row r="187" spans="1:83" ht="18.75">
      <c r="A187" s="77" t="s">
        <v>15</v>
      </c>
      <c r="B187" s="78"/>
      <c r="C187" s="78">
        <v>9847025697</v>
      </c>
      <c r="D187" s="77">
        <v>6700</v>
      </c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23">
        <f>SUM(D187:Q187)</f>
        <v>6700</v>
      </c>
      <c r="S187" s="12"/>
      <c r="T187" s="12">
        <f>R187-S187</f>
        <v>6700</v>
      </c>
      <c r="U187" s="31"/>
      <c r="V187" s="31"/>
      <c r="W187" s="33">
        <v>10</v>
      </c>
      <c r="X187" s="33"/>
      <c r="Y187" s="33"/>
      <c r="Z187" s="33"/>
      <c r="AA187" s="33"/>
      <c r="AB187" s="34"/>
      <c r="AC187" s="34"/>
      <c r="AD187" s="34">
        <v>15</v>
      </c>
      <c r="AE187" s="34"/>
      <c r="AF187" s="34"/>
      <c r="AG187" s="34"/>
      <c r="AH187" s="34"/>
      <c r="AI187" s="34">
        <v>19</v>
      </c>
      <c r="AJ187" s="34"/>
      <c r="AK187" s="34"/>
      <c r="AL187" s="34"/>
      <c r="AM187" s="34">
        <v>26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1">
        <v>3</v>
      </c>
      <c r="AZ187" s="34"/>
      <c r="BA187" s="34"/>
      <c r="BB187" s="34"/>
      <c r="BC187" s="34"/>
      <c r="BD187" s="34"/>
      <c r="BE187" s="34"/>
      <c r="BF187" s="34">
        <v>14</v>
      </c>
      <c r="BG187" s="34"/>
      <c r="BH187" s="34"/>
      <c r="BI187" s="34"/>
      <c r="BJ187" s="34"/>
      <c r="BK187" s="34"/>
      <c r="BL187" s="34" t="s">
        <v>4</v>
      </c>
      <c r="BM187" s="34">
        <v>20</v>
      </c>
      <c r="BN187" s="34"/>
      <c r="BO187" s="34"/>
      <c r="BP187" s="34"/>
      <c r="BQ187" s="34"/>
      <c r="BR187" s="34"/>
      <c r="BS187" s="31" t="s">
        <v>4</v>
      </c>
      <c r="BW187" s="35"/>
      <c r="BX187" s="35"/>
      <c r="BY187" s="35"/>
      <c r="BZ187" s="35"/>
      <c r="CA187" s="35"/>
      <c r="CB187" s="35"/>
      <c r="CC187" s="35"/>
      <c r="CD187" s="35"/>
    </row>
    <row r="188" spans="1:83">
      <c r="A188" s="12" t="s">
        <v>167</v>
      </c>
      <c r="B188" s="3"/>
      <c r="C188" s="18">
        <v>9857032849</v>
      </c>
      <c r="D188" s="12"/>
      <c r="E188" s="14">
        <v>47000</v>
      </c>
      <c r="F188" s="12"/>
      <c r="G188" s="12"/>
      <c r="H188" s="12"/>
      <c r="I188" s="12"/>
      <c r="J188" s="12"/>
      <c r="K188" s="12"/>
      <c r="L188" s="12">
        <v>33000</v>
      </c>
      <c r="M188" s="12"/>
      <c r="N188" s="12">
        <v>40500</v>
      </c>
      <c r="O188" s="12"/>
      <c r="P188" s="12"/>
      <c r="Q188" s="12"/>
      <c r="R188" s="23">
        <f>SUM(D188:Q188)</f>
        <v>120500</v>
      </c>
      <c r="S188" s="12"/>
      <c r="T188" s="12">
        <f>R188-S188</f>
        <v>120500</v>
      </c>
      <c r="U188" s="31"/>
      <c r="V188" s="31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>
        <v>27</v>
      </c>
      <c r="AO188" s="34"/>
      <c r="AP188" s="34"/>
      <c r="AQ188" s="34"/>
      <c r="AR188" s="34"/>
      <c r="AS188" s="34"/>
      <c r="AT188" s="34"/>
      <c r="AU188" s="34">
        <v>31</v>
      </c>
      <c r="AV188" s="34"/>
      <c r="AW188" s="34"/>
      <c r="AX188" s="34"/>
      <c r="AY188" s="31"/>
      <c r="AZ188" s="34">
        <v>5</v>
      </c>
      <c r="BA188" s="34"/>
      <c r="BB188" s="34"/>
      <c r="BC188" s="34"/>
      <c r="BD188" s="34">
        <v>12</v>
      </c>
      <c r="BE188" s="34"/>
      <c r="BF188" s="34"/>
      <c r="BG188" s="34"/>
      <c r="BH188" s="34"/>
      <c r="BI188" s="34"/>
      <c r="BJ188" s="34"/>
      <c r="BK188" s="31">
        <v>15</v>
      </c>
      <c r="BL188" s="31"/>
      <c r="BM188" s="31"/>
      <c r="BN188" s="31"/>
    </row>
    <row r="189" spans="1:83" ht="18.75">
      <c r="A189" s="77" t="s">
        <v>161</v>
      </c>
      <c r="B189" s="78"/>
      <c r="C189" s="78">
        <v>9847098959</v>
      </c>
      <c r="D189" s="77">
        <v>226990</v>
      </c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23">
        <f>SUM(D189:Q189)</f>
        <v>226990</v>
      </c>
      <c r="S189" s="12">
        <f>X189</f>
        <v>50000</v>
      </c>
      <c r="T189" s="12">
        <f>R189-S189</f>
        <v>176990</v>
      </c>
      <c r="U189" s="31"/>
      <c r="V189" s="31"/>
      <c r="W189" s="34">
        <v>4</v>
      </c>
      <c r="X189" s="1">
        <v>50000</v>
      </c>
      <c r="Y189" s="33"/>
      <c r="Z189" s="33"/>
      <c r="AA189" s="33"/>
      <c r="AB189" s="34"/>
      <c r="AC189" s="34"/>
      <c r="AD189" s="34"/>
      <c r="AE189" s="34"/>
      <c r="AF189" s="34"/>
      <c r="AG189" s="34"/>
      <c r="AH189" s="34"/>
      <c r="AI189" s="34">
        <v>20</v>
      </c>
      <c r="AJ189" s="34"/>
      <c r="AK189" s="34"/>
      <c r="AL189" s="34"/>
      <c r="AM189" s="34"/>
      <c r="AN189" s="34">
        <v>25</v>
      </c>
      <c r="AO189" s="34"/>
      <c r="AP189" s="34"/>
      <c r="AQ189" s="34"/>
      <c r="AR189" s="34"/>
      <c r="AS189" s="31"/>
      <c r="AT189" s="31"/>
      <c r="AU189" s="34">
        <v>30</v>
      </c>
      <c r="AV189" s="34"/>
      <c r="AW189" s="34"/>
      <c r="AX189" s="34"/>
      <c r="AY189" s="31" t="s">
        <v>795</v>
      </c>
      <c r="AZ189" s="31" t="s">
        <v>795</v>
      </c>
      <c r="BA189" s="31" t="s">
        <v>795</v>
      </c>
      <c r="BB189" s="31" t="s">
        <v>795</v>
      </c>
      <c r="BC189" s="31" t="s">
        <v>795</v>
      </c>
      <c r="BD189" s="31" t="s">
        <v>795</v>
      </c>
      <c r="BE189" s="31"/>
      <c r="BF189" s="31" t="s">
        <v>796</v>
      </c>
      <c r="BG189" s="34">
        <v>11</v>
      </c>
      <c r="BH189" s="34"/>
      <c r="BI189" s="34"/>
      <c r="BJ189" s="31">
        <v>15</v>
      </c>
      <c r="BK189" s="31"/>
      <c r="BL189" s="31"/>
      <c r="BM189" s="31"/>
      <c r="BN189" s="31"/>
    </row>
    <row r="190" spans="1:83" ht="18.75">
      <c r="A190" s="77" t="s">
        <v>197</v>
      </c>
      <c r="B190" s="78"/>
      <c r="C190" s="78">
        <v>9805411460</v>
      </c>
      <c r="D190" s="77">
        <v>121000</v>
      </c>
      <c r="E190" s="12"/>
      <c r="F190" s="12"/>
      <c r="G190" s="12"/>
      <c r="H190" s="12"/>
      <c r="I190" s="12"/>
      <c r="J190" s="12"/>
      <c r="K190" s="12">
        <v>34500</v>
      </c>
      <c r="L190" s="12"/>
      <c r="M190" s="12"/>
      <c r="N190" s="12"/>
      <c r="O190" s="12"/>
      <c r="P190" s="12">
        <v>2000</v>
      </c>
      <c r="Q190" s="12"/>
      <c r="R190" s="23">
        <f>SUM(D190:Q190)</f>
        <v>157500</v>
      </c>
      <c r="S190" s="12">
        <f>BK190</f>
        <v>50000</v>
      </c>
      <c r="T190" s="12">
        <f>R190-S190</f>
        <v>107500</v>
      </c>
      <c r="U190" s="12">
        <v>5</v>
      </c>
      <c r="V190" s="34"/>
      <c r="W190" s="34"/>
      <c r="X190" s="34"/>
      <c r="Y190" s="33">
        <v>10</v>
      </c>
      <c r="Z190" s="33"/>
      <c r="AA190" s="33"/>
      <c r="AB190" s="34"/>
      <c r="AC190" s="34"/>
      <c r="AD190" s="34">
        <v>14</v>
      </c>
      <c r="AE190" s="34"/>
      <c r="AF190" s="34"/>
      <c r="AG190" s="34"/>
      <c r="AH190" s="34">
        <v>19</v>
      </c>
      <c r="AI190" s="34"/>
      <c r="AJ190" s="34"/>
      <c r="AK190" s="34"/>
      <c r="AL190" s="34"/>
      <c r="AM190" s="34"/>
      <c r="AN190" s="34"/>
      <c r="AO190" s="34"/>
      <c r="AP190" s="34"/>
      <c r="AQ190" s="34"/>
      <c r="AR190" s="31">
        <v>30</v>
      </c>
      <c r="AS190" s="34"/>
      <c r="AT190" s="34"/>
      <c r="AU190" s="34"/>
      <c r="AV190" s="34"/>
      <c r="AW190" s="34"/>
      <c r="AX190" s="34"/>
      <c r="AY190" s="31" t="s">
        <v>800</v>
      </c>
      <c r="AZ190" s="34"/>
      <c r="BA190" s="34"/>
      <c r="BB190" s="31">
        <v>5</v>
      </c>
      <c r="BC190" s="31"/>
      <c r="BD190" s="31" t="s">
        <v>800</v>
      </c>
      <c r="BE190" s="31"/>
      <c r="BF190" s="31" t="s">
        <v>795</v>
      </c>
      <c r="BG190" s="31" t="s">
        <v>800</v>
      </c>
      <c r="BH190" s="31" t="s">
        <v>800</v>
      </c>
      <c r="BI190" s="31" t="s">
        <v>800</v>
      </c>
      <c r="BJ190" s="31" t="s">
        <v>800</v>
      </c>
      <c r="BK190" s="93">
        <v>50000</v>
      </c>
      <c r="BL190" s="34"/>
      <c r="BM190" s="34"/>
      <c r="BN190" s="34"/>
      <c r="BO190" s="34"/>
      <c r="BP190" s="34"/>
      <c r="BQ190" s="34"/>
      <c r="BR190" s="34"/>
      <c r="BS190" s="34"/>
      <c r="BT190" s="31" t="s">
        <v>4</v>
      </c>
    </row>
    <row r="191" spans="1:83" ht="18.75">
      <c r="A191" s="12" t="s">
        <v>985</v>
      </c>
      <c r="B191" s="90"/>
      <c r="C191" s="90">
        <v>9849500942</v>
      </c>
      <c r="D191" s="89"/>
      <c r="E191" s="23"/>
      <c r="F191" s="23"/>
      <c r="G191" s="23"/>
      <c r="H191" s="23"/>
      <c r="I191" s="23"/>
      <c r="J191" s="23"/>
      <c r="K191" s="23"/>
      <c r="L191" s="12"/>
      <c r="M191" s="12"/>
      <c r="N191" s="12">
        <v>170000</v>
      </c>
      <c r="O191" s="12"/>
      <c r="P191" s="12"/>
      <c r="Q191" s="12"/>
      <c r="R191" s="23">
        <f>SUM(D191:Q191)</f>
        <v>170000</v>
      </c>
      <c r="S191" s="12">
        <f>BD191+8000</f>
        <v>68000</v>
      </c>
      <c r="T191" s="12">
        <f>R191-S191</f>
        <v>102000</v>
      </c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62">
        <v>60000</v>
      </c>
      <c r="BE191" s="34"/>
      <c r="BF191" s="34"/>
      <c r="BG191" s="34"/>
      <c r="BH191" s="34"/>
      <c r="BI191" s="62">
        <v>8000</v>
      </c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1"/>
      <c r="BY191" s="35"/>
      <c r="BZ191" s="35"/>
      <c r="CA191" s="35"/>
      <c r="CB191" s="35"/>
      <c r="CC191" s="35"/>
      <c r="CD191" s="35"/>
    </row>
    <row r="192" spans="1:83" s="62" customFormat="1" ht="18.75">
      <c r="A192" s="77" t="s">
        <v>991</v>
      </c>
      <c r="B192" s="78"/>
      <c r="C192" s="78">
        <v>9860227938</v>
      </c>
      <c r="D192" s="77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>
        <v>83000</v>
      </c>
      <c r="P192" s="12"/>
      <c r="Q192" s="12"/>
      <c r="R192" s="23">
        <f>SUM(D192:Q192)</f>
        <v>83000</v>
      </c>
      <c r="S192" s="12"/>
      <c r="T192" s="12">
        <f>R192-S192</f>
        <v>83000</v>
      </c>
      <c r="U192" s="31"/>
      <c r="V192" s="31"/>
      <c r="W192" s="34"/>
      <c r="X192" s="1"/>
      <c r="Y192" s="33"/>
      <c r="Z192" s="33"/>
      <c r="AA192" s="33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1"/>
      <c r="AT192" s="31"/>
      <c r="AU192" s="34"/>
      <c r="AV192" s="34"/>
      <c r="AW192" s="34"/>
      <c r="AX192" s="34"/>
      <c r="AY192" s="31"/>
      <c r="AZ192" s="31"/>
      <c r="BA192" s="31"/>
      <c r="BB192" s="31"/>
      <c r="BC192" s="31"/>
      <c r="BD192" s="31"/>
      <c r="BE192" s="31"/>
      <c r="BF192" s="31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21"/>
      <c r="BY192" s="21"/>
      <c r="BZ192" s="21"/>
      <c r="CA192" s="21"/>
      <c r="CB192" s="21"/>
      <c r="CC192" s="21"/>
      <c r="CD192" s="21"/>
      <c r="CE192" s="35"/>
    </row>
    <row r="193" spans="1:82">
      <c r="A193" s="12" t="s">
        <v>865</v>
      </c>
      <c r="B193" s="3"/>
      <c r="C193" s="18">
        <v>9847170197</v>
      </c>
      <c r="D193" s="12"/>
      <c r="E193" s="12"/>
      <c r="F193" s="12"/>
      <c r="G193" s="12"/>
      <c r="H193" s="12">
        <v>34000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23">
        <f>SUM(D193:Q193)</f>
        <v>34000</v>
      </c>
      <c r="S193" s="12">
        <f>AH193</f>
        <v>17000</v>
      </c>
      <c r="T193" s="12">
        <f>R193-S193</f>
        <v>17000</v>
      </c>
      <c r="U193" s="8"/>
      <c r="V193" s="34"/>
      <c r="W193" s="33"/>
      <c r="X193" s="33"/>
      <c r="Y193" s="33"/>
      <c r="Z193" s="33"/>
      <c r="AA193" s="33"/>
      <c r="AB193" s="34"/>
      <c r="AC193" s="34"/>
      <c r="AD193" s="34"/>
      <c r="AE193" s="34"/>
      <c r="AF193" s="34"/>
      <c r="AG193" s="34"/>
      <c r="AH193" s="62">
        <v>17000</v>
      </c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>
        <v>15</v>
      </c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1" t="s">
        <v>4</v>
      </c>
    </row>
    <row r="194" spans="1:82" ht="18.75">
      <c r="A194" s="87" t="s">
        <v>198</v>
      </c>
      <c r="B194" s="88"/>
      <c r="C194" s="88">
        <v>9847500433</v>
      </c>
      <c r="D194" s="87">
        <v>4835</v>
      </c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23">
        <f>SUM(D194:Q194)</f>
        <v>4835</v>
      </c>
      <c r="S194" s="87"/>
      <c r="T194" s="87">
        <f>R194-S194</f>
        <v>4835</v>
      </c>
      <c r="U194" s="31"/>
      <c r="V194" s="31"/>
      <c r="W194" s="34">
        <v>7</v>
      </c>
      <c r="X194" s="34"/>
      <c r="Y194" s="33"/>
      <c r="Z194" s="33"/>
      <c r="AA194" s="33">
        <v>11</v>
      </c>
      <c r="AB194" s="34"/>
      <c r="AC194" s="34"/>
      <c r="AD194" s="34"/>
      <c r="AE194" s="34">
        <v>15</v>
      </c>
      <c r="AF194" s="34"/>
      <c r="AG194" s="34"/>
      <c r="AH194" s="34"/>
      <c r="AI194" s="31" t="s">
        <v>796</v>
      </c>
      <c r="AJ194" s="31"/>
      <c r="AK194" s="31" t="s">
        <v>796</v>
      </c>
      <c r="AL194" s="31">
        <v>25</v>
      </c>
      <c r="AM194" s="31"/>
      <c r="AN194" s="31"/>
      <c r="AO194" s="31"/>
      <c r="AP194" s="31"/>
      <c r="AQ194" s="31"/>
      <c r="AR194" s="31"/>
      <c r="AS194" s="34">
        <v>28</v>
      </c>
      <c r="AT194" s="34"/>
      <c r="AU194" s="34"/>
      <c r="AV194" s="31">
        <v>31</v>
      </c>
      <c r="AW194" s="31"/>
      <c r="AX194" s="31"/>
      <c r="AY194" s="31"/>
      <c r="AZ194" s="34">
        <v>5</v>
      </c>
      <c r="BA194" s="34"/>
      <c r="BB194" s="34"/>
      <c r="BC194" s="34"/>
      <c r="BD194" s="34">
        <v>8</v>
      </c>
      <c r="BE194" s="34"/>
      <c r="BF194" s="34"/>
      <c r="BG194" s="34"/>
      <c r="BH194" s="34"/>
      <c r="BI194" s="34"/>
      <c r="BJ194" s="31">
        <v>16</v>
      </c>
      <c r="BK194" s="31"/>
      <c r="BL194" s="34"/>
      <c r="BM194" s="34"/>
      <c r="BN194" s="34"/>
      <c r="BO194" s="31" t="s">
        <v>4</v>
      </c>
      <c r="BW194" s="35"/>
      <c r="BX194" s="35"/>
      <c r="BY194" s="35"/>
      <c r="BZ194" s="35"/>
      <c r="CA194" s="35"/>
      <c r="CB194" s="35"/>
      <c r="CC194" s="35"/>
      <c r="CD194" s="35"/>
    </row>
    <row r="195" spans="1:82" s="62" customFormat="1" ht="18.75">
      <c r="A195" s="87" t="s">
        <v>199</v>
      </c>
      <c r="B195" s="88"/>
      <c r="C195" s="88" t="s">
        <v>200</v>
      </c>
      <c r="D195" s="77">
        <v>450484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23">
        <f>SUM(D195:Q195)</f>
        <v>450484</v>
      </c>
      <c r="S195" s="12"/>
      <c r="T195" s="37">
        <f>R195-S195</f>
        <v>450484</v>
      </c>
      <c r="U195" s="14"/>
      <c r="V195" s="14"/>
      <c r="W195" s="14" t="s">
        <v>795</v>
      </c>
      <c r="X195" s="14" t="s">
        <v>795</v>
      </c>
      <c r="Y195" s="14" t="s">
        <v>794</v>
      </c>
      <c r="Z195" s="14" t="s">
        <v>795</v>
      </c>
      <c r="AA195" s="14" t="s">
        <v>795</v>
      </c>
      <c r="AB195" s="14" t="s">
        <v>795</v>
      </c>
      <c r="AC195" s="14"/>
      <c r="AD195" s="14" t="s">
        <v>795</v>
      </c>
      <c r="AE195" s="31" t="s">
        <v>795</v>
      </c>
      <c r="AF195" s="31" t="s">
        <v>793</v>
      </c>
      <c r="AG195" s="34">
        <v>18</v>
      </c>
      <c r="AH195" s="34"/>
      <c r="AI195" s="34"/>
      <c r="AJ195" s="34"/>
      <c r="AK195" s="34"/>
      <c r="AL195" s="34">
        <v>22</v>
      </c>
      <c r="AM195" s="34"/>
      <c r="AN195" s="34"/>
      <c r="AO195" s="34"/>
      <c r="AP195" s="31">
        <v>27</v>
      </c>
      <c r="AQ195" s="31"/>
      <c r="AR195" s="31"/>
      <c r="AS195" s="31"/>
      <c r="AT195" s="31"/>
      <c r="AU195" s="31" t="s">
        <v>795</v>
      </c>
      <c r="AV195" s="31">
        <v>2</v>
      </c>
      <c r="AW195" s="31"/>
      <c r="AX195" s="31"/>
      <c r="AY195" s="31"/>
      <c r="AZ195" s="34">
        <v>2</v>
      </c>
      <c r="BA195" s="34">
        <v>10</v>
      </c>
      <c r="BB195" s="34"/>
      <c r="BC195" s="34"/>
      <c r="BD195" s="34"/>
      <c r="BE195" s="34"/>
      <c r="BF195" s="34"/>
      <c r="BG195" s="34"/>
      <c r="BH195" s="34"/>
      <c r="BI195" s="31" t="s">
        <v>793</v>
      </c>
      <c r="BJ195" s="31" t="s">
        <v>793</v>
      </c>
      <c r="BK195" s="31" t="s">
        <v>793</v>
      </c>
      <c r="BL195" s="31"/>
      <c r="BM195" s="31" t="s">
        <v>793</v>
      </c>
      <c r="BN195" s="3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</row>
    <row r="196" spans="1:82" ht="18.75">
      <c r="A196" s="77" t="s">
        <v>201</v>
      </c>
      <c r="B196" s="78"/>
      <c r="C196" s="78">
        <v>9857037480</v>
      </c>
      <c r="D196" s="77">
        <v>8270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23">
        <f>SUM(D196:Q196)</f>
        <v>8270</v>
      </c>
      <c r="S196" s="12"/>
      <c r="T196" s="37">
        <f>R196-S196</f>
        <v>8270</v>
      </c>
      <c r="U196" s="31"/>
      <c r="V196" s="31"/>
      <c r="W196" s="33">
        <v>10</v>
      </c>
      <c r="X196" s="33"/>
      <c r="Y196" s="33"/>
      <c r="Z196" s="33"/>
      <c r="AA196" s="33"/>
      <c r="AB196" s="34"/>
      <c r="AC196" s="34"/>
      <c r="AD196" s="34">
        <v>22</v>
      </c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1">
        <v>28</v>
      </c>
      <c r="AQ196" s="31"/>
      <c r="AR196" s="31"/>
      <c r="AS196" s="34"/>
      <c r="AT196" s="34"/>
      <c r="AU196" s="34"/>
      <c r="AV196" s="31"/>
      <c r="AW196" s="31"/>
      <c r="AX196" s="31"/>
      <c r="AY196" s="31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1" t="s">
        <v>4</v>
      </c>
    </row>
    <row r="197" spans="1:82" ht="18.75">
      <c r="A197" s="77" t="s">
        <v>269</v>
      </c>
      <c r="B197" s="78"/>
      <c r="C197" s="78">
        <v>9857060900</v>
      </c>
      <c r="D197" s="77">
        <v>37000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23">
        <f>SUM(D197:Q197)</f>
        <v>37000</v>
      </c>
      <c r="S197" s="12"/>
      <c r="T197" s="12">
        <f>R197-S197</f>
        <v>37000</v>
      </c>
      <c r="AZ197" s="31"/>
      <c r="BA197" s="31" t="s">
        <v>972</v>
      </c>
      <c r="BB197" s="31" t="s">
        <v>972</v>
      </c>
      <c r="BC197" s="31" t="s">
        <v>972</v>
      </c>
      <c r="BD197" s="31" t="s">
        <v>972</v>
      </c>
      <c r="BE197" s="31"/>
      <c r="BF197" s="31" t="s">
        <v>972</v>
      </c>
      <c r="BG197" s="31" t="s">
        <v>972</v>
      </c>
      <c r="BH197" s="31" t="s">
        <v>972</v>
      </c>
      <c r="BI197" s="31" t="s">
        <v>972</v>
      </c>
      <c r="BJ197" s="31" t="s">
        <v>972</v>
      </c>
      <c r="BK197" s="31" t="s">
        <v>972</v>
      </c>
      <c r="BL197" s="31"/>
      <c r="BM197" s="31" t="s">
        <v>972</v>
      </c>
      <c r="BN197" s="31"/>
    </row>
    <row r="198" spans="1:82">
      <c r="A198" s="12" t="s">
        <v>170</v>
      </c>
      <c r="B198" s="3"/>
      <c r="C198" s="72">
        <v>9857030277</v>
      </c>
      <c r="D198" s="73">
        <v>0</v>
      </c>
      <c r="E198" s="14">
        <v>67000</v>
      </c>
      <c r="F198" s="12"/>
      <c r="G198" s="12"/>
      <c r="H198" s="12">
        <f>78000+78000</f>
        <v>156000</v>
      </c>
      <c r="I198" s="12"/>
      <c r="J198" s="12"/>
      <c r="K198" s="12"/>
      <c r="L198" s="12"/>
      <c r="M198" s="12">
        <v>156000</v>
      </c>
      <c r="N198" s="12"/>
      <c r="O198" s="12">
        <v>40500</v>
      </c>
      <c r="P198" s="12"/>
      <c r="Q198" s="12"/>
      <c r="R198" s="23">
        <f>SUM(D198:Q198)</f>
        <v>419500</v>
      </c>
      <c r="S198" s="12">
        <f>AG198+46000+100000+100000</f>
        <v>266000</v>
      </c>
      <c r="T198" s="12">
        <f>R198-S198</f>
        <v>153500</v>
      </c>
      <c r="U198" s="34"/>
      <c r="V198" s="34"/>
      <c r="W198" s="33"/>
      <c r="X198" s="33"/>
      <c r="Y198" s="33"/>
      <c r="Z198" s="33"/>
      <c r="AA198" s="33"/>
      <c r="AB198" s="34"/>
      <c r="AC198" s="34"/>
      <c r="AD198" s="34">
        <v>15</v>
      </c>
      <c r="AE198" s="34"/>
      <c r="AF198" s="34"/>
      <c r="AG198" s="1">
        <v>20000</v>
      </c>
      <c r="AH198" s="34"/>
      <c r="AI198" s="1">
        <v>46000</v>
      </c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1">
        <v>30</v>
      </c>
      <c r="AW198" s="31"/>
      <c r="AX198" s="31"/>
      <c r="AY198" s="31" t="s">
        <v>795</v>
      </c>
      <c r="AZ198" s="31" t="s">
        <v>830</v>
      </c>
      <c r="BA198" s="1">
        <v>100000</v>
      </c>
      <c r="BB198" s="34"/>
      <c r="BC198" s="34"/>
      <c r="BD198" s="34"/>
      <c r="BE198" s="34"/>
      <c r="BF198" s="34"/>
      <c r="BG198" s="34"/>
      <c r="BH198" s="34"/>
      <c r="BI198" s="62">
        <v>100000</v>
      </c>
      <c r="BJ198" s="34"/>
      <c r="BK198" s="34"/>
      <c r="BL198" s="34"/>
      <c r="BM198" s="34"/>
      <c r="BN198" s="31" t="s">
        <v>4</v>
      </c>
    </row>
    <row r="199" spans="1:82" s="62" customFormat="1" ht="18.75">
      <c r="A199" s="77" t="s">
        <v>202</v>
      </c>
      <c r="B199" s="78"/>
      <c r="C199" s="78">
        <v>9841784572</v>
      </c>
      <c r="D199" s="77">
        <v>40000</v>
      </c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23">
        <f>SUM(D199:Q199)</f>
        <v>40000</v>
      </c>
      <c r="S199" s="12"/>
      <c r="T199" s="12">
        <f>R199-S199</f>
        <v>40000</v>
      </c>
      <c r="U199" s="31"/>
      <c r="V199" s="34"/>
      <c r="W199" s="33">
        <v>5</v>
      </c>
      <c r="X199" s="33">
        <v>8</v>
      </c>
      <c r="Y199" s="33"/>
      <c r="Z199" s="33"/>
      <c r="AA199" s="33"/>
      <c r="AB199" s="34" t="s">
        <v>829</v>
      </c>
      <c r="AC199" s="34"/>
      <c r="AD199" s="34"/>
      <c r="AE199" s="34"/>
      <c r="AF199" s="34"/>
      <c r="AG199" s="34"/>
      <c r="AH199" s="34"/>
      <c r="AI199" s="34"/>
      <c r="AJ199" s="34"/>
      <c r="AK199" s="34">
        <v>21</v>
      </c>
      <c r="AL199" s="34"/>
      <c r="AM199" s="34"/>
      <c r="AN199" s="34"/>
      <c r="AO199" s="34" t="s">
        <v>887</v>
      </c>
      <c r="AP199" s="34"/>
      <c r="AQ199" s="34"/>
      <c r="AR199" s="31">
        <v>27</v>
      </c>
      <c r="AS199" s="31"/>
      <c r="AT199" s="31"/>
      <c r="AU199" s="34">
        <v>29</v>
      </c>
      <c r="AV199" s="34"/>
      <c r="AW199" s="31" t="s">
        <v>795</v>
      </c>
      <c r="AX199" s="31"/>
      <c r="AY199" s="31">
        <v>3</v>
      </c>
      <c r="AZ199" s="34">
        <v>3</v>
      </c>
      <c r="BA199" s="34"/>
      <c r="BB199" s="34">
        <v>6</v>
      </c>
      <c r="BC199" s="34"/>
      <c r="BD199" s="34"/>
      <c r="BE199" s="34" t="s">
        <v>4</v>
      </c>
      <c r="BF199" s="34">
        <v>10</v>
      </c>
      <c r="BG199" s="34"/>
      <c r="BH199" s="34"/>
      <c r="BI199" s="31" t="s">
        <v>795</v>
      </c>
      <c r="BJ199" s="31" t="s">
        <v>796</v>
      </c>
      <c r="BK199" s="31" t="s">
        <v>795</v>
      </c>
      <c r="BL199" s="34"/>
      <c r="BM199" s="34">
        <v>16</v>
      </c>
      <c r="BN199" s="34"/>
      <c r="BO199" s="34"/>
      <c r="BP199" s="31" t="s">
        <v>4</v>
      </c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</row>
    <row r="200" spans="1:82">
      <c r="A200" s="12" t="s">
        <v>172</v>
      </c>
      <c r="B200" s="3"/>
      <c r="C200" s="18">
        <v>9857030401</v>
      </c>
      <c r="D200" s="12"/>
      <c r="E200" s="12"/>
      <c r="F200" s="12"/>
      <c r="G200" s="14"/>
      <c r="H200" s="14"/>
      <c r="I200" s="14"/>
      <c r="J200" s="12"/>
      <c r="K200" s="12"/>
      <c r="L200" s="12"/>
      <c r="M200" s="12">
        <v>15500</v>
      </c>
      <c r="N200" s="12"/>
      <c r="O200" s="12"/>
      <c r="P200" s="12"/>
      <c r="Q200" s="12"/>
      <c r="R200" s="23">
        <f>SUM(D200:Q200)</f>
        <v>15500</v>
      </c>
      <c r="S200" s="12"/>
      <c r="T200" s="12">
        <f>R200-S200</f>
        <v>15500</v>
      </c>
      <c r="U200" s="34"/>
      <c r="V200" s="34"/>
      <c r="W200" s="33"/>
      <c r="X200" s="33"/>
      <c r="Y200" s="33"/>
      <c r="Z200" s="33"/>
      <c r="AA200" s="33"/>
      <c r="AB200" s="34"/>
      <c r="AC200" s="34"/>
      <c r="AD200" s="34"/>
      <c r="AE200" s="34"/>
      <c r="AF200" s="1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1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1" t="s">
        <v>4</v>
      </c>
    </row>
    <row r="201" spans="1:82" ht="18.75">
      <c r="A201" s="77" t="s">
        <v>203</v>
      </c>
      <c r="B201" s="78"/>
      <c r="C201" s="78">
        <v>9847840110</v>
      </c>
      <c r="D201" s="77">
        <v>154912</v>
      </c>
      <c r="E201" s="12"/>
      <c r="F201" s="12"/>
      <c r="G201" s="14">
        <v>84400</v>
      </c>
      <c r="H201" s="14"/>
      <c r="I201" s="14">
        <v>246700</v>
      </c>
      <c r="J201" s="12"/>
      <c r="K201" s="12"/>
      <c r="L201" s="12"/>
      <c r="M201" s="12"/>
      <c r="N201" s="12">
        <v>174800</v>
      </c>
      <c r="O201" s="12">
        <v>54600</v>
      </c>
      <c r="P201" s="12"/>
      <c r="Q201" s="12"/>
      <c r="R201" s="23">
        <f>SUM(D201:Q201)</f>
        <v>715412</v>
      </c>
      <c r="S201" s="12">
        <f>Z201+50000+60000+50000</f>
        <v>210000</v>
      </c>
      <c r="T201" s="37">
        <f>R201-S201</f>
        <v>505412</v>
      </c>
      <c r="U201" s="12">
        <v>4</v>
      </c>
      <c r="V201" s="34"/>
      <c r="W201" s="33"/>
      <c r="X201" s="33">
        <v>5</v>
      </c>
      <c r="Y201" s="33">
        <v>8</v>
      </c>
      <c r="Z201" s="1">
        <v>50000</v>
      </c>
      <c r="AA201" s="1"/>
      <c r="AB201" s="31" t="s">
        <v>830</v>
      </c>
      <c r="AC201" s="34"/>
      <c r="AD201" s="34"/>
      <c r="AE201" s="34"/>
      <c r="AF201" s="34">
        <v>15</v>
      </c>
      <c r="AG201" s="34"/>
      <c r="AH201" s="34"/>
      <c r="AI201" s="34">
        <v>19</v>
      </c>
      <c r="AJ201" s="34"/>
      <c r="AK201" s="34"/>
      <c r="AL201" s="34"/>
      <c r="AM201" s="31">
        <v>21</v>
      </c>
      <c r="AN201" s="31"/>
      <c r="AO201" s="31">
        <v>24</v>
      </c>
      <c r="AP201" s="31"/>
      <c r="AQ201" s="31"/>
      <c r="AR201" s="31">
        <v>27</v>
      </c>
      <c r="AS201" s="31"/>
      <c r="AT201" s="62">
        <v>50000</v>
      </c>
      <c r="AU201" s="34">
        <v>31</v>
      </c>
      <c r="AV201" s="34"/>
      <c r="AW201" s="34"/>
      <c r="AX201" s="34"/>
      <c r="AY201" s="34"/>
      <c r="AZ201" s="34">
        <v>5</v>
      </c>
      <c r="BA201" s="34"/>
      <c r="BB201" s="34"/>
      <c r="BC201" s="1">
        <v>60000</v>
      </c>
      <c r="BD201" s="34"/>
      <c r="BE201" s="34"/>
      <c r="BF201" s="34"/>
      <c r="BG201" s="34"/>
      <c r="BH201" s="1">
        <v>50000</v>
      </c>
      <c r="BI201" s="34"/>
      <c r="BJ201" s="34"/>
      <c r="BK201" s="34"/>
      <c r="BL201" s="34"/>
      <c r="BM201" s="34"/>
      <c r="BN201" s="31" t="s">
        <v>4</v>
      </c>
    </row>
    <row r="202" spans="1:82">
      <c r="A202" s="12" t="s">
        <v>173</v>
      </c>
      <c r="B202" s="18"/>
      <c r="C202" s="18">
        <v>985720831</v>
      </c>
      <c r="D202" s="12">
        <v>23104</v>
      </c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23">
        <f>SUM(D202:Q202)</f>
        <v>23104</v>
      </c>
      <c r="S202" s="12"/>
      <c r="T202" s="12">
        <f>R202-S202</f>
        <v>23104</v>
      </c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1" t="s">
        <v>798</v>
      </c>
      <c r="AV202" s="31" t="s">
        <v>798</v>
      </c>
      <c r="AW202" s="31" t="s">
        <v>798</v>
      </c>
      <c r="AX202" s="31"/>
      <c r="AY202" s="31" t="s">
        <v>798</v>
      </c>
      <c r="AZ202" s="31"/>
      <c r="BA202" s="31"/>
      <c r="BB202" s="31" t="s">
        <v>798</v>
      </c>
      <c r="BC202" s="31" t="s">
        <v>798</v>
      </c>
      <c r="BD202" s="31" t="s">
        <v>798</v>
      </c>
      <c r="BE202" s="31"/>
      <c r="BF202" s="31" t="s">
        <v>798</v>
      </c>
      <c r="BG202" s="31" t="s">
        <v>798</v>
      </c>
      <c r="BH202" s="31" t="s">
        <v>798</v>
      </c>
      <c r="BI202" s="31" t="s">
        <v>798</v>
      </c>
      <c r="BJ202" s="31" t="s">
        <v>798</v>
      </c>
      <c r="BK202" s="31" t="s">
        <v>798</v>
      </c>
      <c r="BL202" s="31"/>
      <c r="BM202" s="31" t="s">
        <v>798</v>
      </c>
      <c r="BN202" s="31"/>
    </row>
    <row r="203" spans="1:82">
      <c r="A203" s="12" t="s">
        <v>156</v>
      </c>
      <c r="B203" s="3"/>
      <c r="C203" s="18">
        <v>9857034280</v>
      </c>
      <c r="D203" s="12">
        <v>133850</v>
      </c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23">
        <f>SUM(D203:Q203)</f>
        <v>133850</v>
      </c>
      <c r="S203" s="12"/>
      <c r="T203" s="23">
        <f>R203-S203</f>
        <v>133850</v>
      </c>
      <c r="U203" s="12">
        <v>10</v>
      </c>
      <c r="V203" s="34"/>
      <c r="W203" s="34"/>
      <c r="X203" s="34"/>
      <c r="Y203" s="34"/>
      <c r="Z203" s="34"/>
      <c r="AA203" s="34"/>
      <c r="AB203" s="34"/>
      <c r="AC203" s="34"/>
      <c r="AD203" s="34">
        <v>16</v>
      </c>
      <c r="AE203" s="34"/>
      <c r="AF203" s="34"/>
      <c r="AG203" s="34"/>
      <c r="AH203" s="34"/>
      <c r="AI203" s="34"/>
      <c r="AJ203" s="31" t="s">
        <v>4</v>
      </c>
      <c r="AK203" s="34">
        <v>23</v>
      </c>
      <c r="AL203" s="34"/>
      <c r="AM203" s="34"/>
      <c r="AN203" s="34"/>
      <c r="AO203" s="34"/>
      <c r="AP203" s="34">
        <v>30</v>
      </c>
      <c r="AQ203" s="31"/>
      <c r="AR203" s="31"/>
      <c r="AS203" s="34"/>
      <c r="AT203" s="34"/>
      <c r="AU203" s="34"/>
      <c r="AV203" s="34"/>
      <c r="AW203" s="34"/>
      <c r="AX203" s="34"/>
      <c r="AY203" s="31">
        <v>5</v>
      </c>
      <c r="AZ203" s="34">
        <v>5</v>
      </c>
      <c r="BA203" s="34"/>
      <c r="BB203" s="34"/>
      <c r="BC203" s="34"/>
      <c r="BD203" s="34">
        <v>10</v>
      </c>
      <c r="BE203" s="34"/>
      <c r="BF203" s="34"/>
      <c r="BG203" s="34"/>
      <c r="BH203" s="34"/>
      <c r="BI203" s="31">
        <v>18</v>
      </c>
      <c r="BJ203" s="31"/>
      <c r="BK203" s="31"/>
      <c r="BL203" s="34"/>
      <c r="BM203" s="34"/>
      <c r="BN203" s="34"/>
      <c r="BO203" s="34"/>
      <c r="BP203" s="34"/>
      <c r="BQ203" s="31" t="s">
        <v>4</v>
      </c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</row>
    <row r="204" spans="1:82" ht="18.75">
      <c r="A204" s="77" t="s">
        <v>204</v>
      </c>
      <c r="B204" s="78"/>
      <c r="C204" s="78">
        <v>9847370779</v>
      </c>
      <c r="D204" s="77">
        <v>41500</v>
      </c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23">
        <f>SUM(D204:Q204)</f>
        <v>41500</v>
      </c>
      <c r="S204" s="12"/>
      <c r="T204" s="23">
        <f>R204-S204</f>
        <v>41500</v>
      </c>
      <c r="U204" s="12">
        <v>10</v>
      </c>
      <c r="V204" s="34"/>
      <c r="W204" s="34"/>
      <c r="X204" s="34"/>
      <c r="Y204" s="34"/>
      <c r="Z204" s="34"/>
      <c r="AA204" s="34"/>
      <c r="AB204" s="34"/>
      <c r="AC204" s="34"/>
      <c r="AD204" s="34">
        <v>16</v>
      </c>
      <c r="AE204" s="34"/>
      <c r="AF204" s="34"/>
      <c r="AG204" s="34"/>
      <c r="AH204" s="34"/>
      <c r="AI204" s="34"/>
      <c r="AJ204" s="31" t="s">
        <v>4</v>
      </c>
      <c r="AK204" s="34">
        <v>23</v>
      </c>
      <c r="AL204" s="34"/>
      <c r="AM204" s="34"/>
      <c r="AN204" s="34"/>
      <c r="AO204" s="34"/>
      <c r="AP204" s="34">
        <v>30</v>
      </c>
      <c r="AQ204" s="31"/>
      <c r="AR204" s="31"/>
      <c r="AS204" s="34"/>
      <c r="AT204" s="34"/>
      <c r="AU204" s="34"/>
      <c r="AV204" s="34"/>
      <c r="AW204" s="34"/>
      <c r="AX204" s="34"/>
      <c r="AY204" s="31">
        <v>5</v>
      </c>
      <c r="AZ204" s="34">
        <v>5</v>
      </c>
      <c r="BA204" s="34"/>
      <c r="BB204" s="34"/>
      <c r="BC204" s="34"/>
      <c r="BD204" s="34">
        <v>10</v>
      </c>
      <c r="BE204" s="34"/>
      <c r="BF204" s="34"/>
      <c r="BG204" s="34"/>
      <c r="BH204" s="34"/>
      <c r="BI204" s="31">
        <v>18</v>
      </c>
      <c r="BJ204" s="31"/>
      <c r="BK204" s="31"/>
      <c r="BL204" s="34"/>
      <c r="BM204" s="34"/>
      <c r="BN204" s="34"/>
      <c r="BO204" s="34"/>
      <c r="BP204" s="34"/>
      <c r="BQ204" s="31" t="s">
        <v>4</v>
      </c>
    </row>
    <row r="205" spans="1:82" ht="18.75">
      <c r="A205" s="77" t="s">
        <v>205</v>
      </c>
      <c r="B205" s="78"/>
      <c r="C205" s="78">
        <v>9748800844</v>
      </c>
      <c r="D205" s="77">
        <v>94000</v>
      </c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23">
        <f>SUM(D205:Q205)</f>
        <v>94000</v>
      </c>
      <c r="S205" s="12"/>
      <c r="T205" s="23">
        <f>R205-S205</f>
        <v>94000</v>
      </c>
      <c r="U205" s="12">
        <v>10</v>
      </c>
      <c r="V205" s="34"/>
      <c r="W205" s="34"/>
      <c r="X205" s="34"/>
      <c r="Y205" s="34"/>
      <c r="Z205" s="34"/>
      <c r="AA205" s="34"/>
      <c r="AB205" s="34"/>
      <c r="AC205" s="34"/>
      <c r="AD205" s="34">
        <v>16</v>
      </c>
      <c r="AE205" s="34"/>
      <c r="AF205" s="34"/>
      <c r="AG205" s="34"/>
      <c r="AH205" s="34"/>
      <c r="AI205" s="34"/>
      <c r="AJ205" s="31" t="s">
        <v>4</v>
      </c>
      <c r="AK205" s="34">
        <v>23</v>
      </c>
      <c r="AL205" s="34"/>
      <c r="AM205" s="34"/>
      <c r="AN205" s="34"/>
      <c r="AO205" s="34"/>
      <c r="AP205" s="34">
        <v>30</v>
      </c>
      <c r="AQ205" s="31"/>
      <c r="AR205" s="31"/>
      <c r="AS205" s="34"/>
      <c r="AT205" s="34"/>
      <c r="AU205" s="34"/>
      <c r="AV205" s="34"/>
      <c r="AW205" s="34"/>
      <c r="AX205" s="34"/>
      <c r="AY205" s="31">
        <v>5</v>
      </c>
      <c r="AZ205" s="34">
        <v>5</v>
      </c>
      <c r="BA205" s="34"/>
      <c r="BB205" s="34"/>
      <c r="BC205" s="34"/>
      <c r="BD205" s="34">
        <v>10</v>
      </c>
      <c r="BE205" s="34"/>
      <c r="BF205" s="34"/>
      <c r="BG205" s="34"/>
      <c r="BH205" s="34"/>
      <c r="BI205" s="31">
        <v>18</v>
      </c>
      <c r="BJ205" s="31"/>
      <c r="BK205" s="31"/>
      <c r="BL205" s="34"/>
      <c r="BM205" s="34"/>
      <c r="BN205" s="34"/>
      <c r="BO205" s="34"/>
      <c r="BP205" s="34"/>
      <c r="BQ205" s="31" t="s">
        <v>4</v>
      </c>
    </row>
    <row r="206" spans="1:82" s="62" customFormat="1" ht="18.75">
      <c r="A206" s="77" t="s">
        <v>206</v>
      </c>
      <c r="B206" s="78"/>
      <c r="C206" s="78">
        <v>9867858760</v>
      </c>
      <c r="D206" s="77">
        <v>97000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23">
        <f>SUM(D206:Q206)</f>
        <v>97000</v>
      </c>
      <c r="S206" s="12"/>
      <c r="T206" s="23">
        <f>R206-S206</f>
        <v>97000</v>
      </c>
      <c r="U206" s="12">
        <v>10</v>
      </c>
      <c r="V206" s="12"/>
      <c r="W206" s="12"/>
      <c r="X206" s="12"/>
      <c r="Y206" s="12"/>
      <c r="Z206" s="12"/>
      <c r="AA206" s="12"/>
      <c r="AB206" s="12"/>
      <c r="AC206" s="12"/>
      <c r="AD206" s="34">
        <v>16</v>
      </c>
      <c r="AE206" s="34"/>
      <c r="AF206" s="34"/>
      <c r="AG206" s="34"/>
      <c r="AH206" s="34"/>
      <c r="AI206" s="34"/>
      <c r="AJ206" s="31" t="s">
        <v>4</v>
      </c>
      <c r="AK206" s="34">
        <v>23</v>
      </c>
      <c r="AL206" s="34"/>
      <c r="AM206" s="34"/>
      <c r="AN206" s="34"/>
      <c r="AO206" s="34"/>
      <c r="AP206" s="34">
        <v>30</v>
      </c>
      <c r="AQ206" s="31"/>
      <c r="AR206" s="31"/>
      <c r="AS206" s="34"/>
      <c r="AT206" s="34"/>
      <c r="AU206" s="34"/>
      <c r="AV206" s="34"/>
      <c r="AW206" s="34"/>
      <c r="AX206" s="34"/>
      <c r="AY206" s="31">
        <v>5</v>
      </c>
      <c r="AZ206" s="34">
        <v>5</v>
      </c>
      <c r="BA206" s="34"/>
      <c r="BB206" s="34"/>
      <c r="BC206" s="34"/>
      <c r="BD206" s="34">
        <v>10</v>
      </c>
      <c r="BE206" s="34"/>
      <c r="BF206" s="34"/>
      <c r="BG206" s="34"/>
      <c r="BH206" s="34"/>
      <c r="BI206" s="31">
        <v>18</v>
      </c>
      <c r="BJ206" s="31"/>
      <c r="BK206" s="31"/>
      <c r="BL206" s="34"/>
      <c r="BM206" s="34"/>
      <c r="BN206" s="34"/>
      <c r="BO206" s="34"/>
      <c r="BP206" s="34"/>
      <c r="BQ206" s="31" t="s">
        <v>4</v>
      </c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</row>
    <row r="207" spans="1:82" ht="18.75">
      <c r="A207" s="77" t="s">
        <v>207</v>
      </c>
      <c r="B207" s="78"/>
      <c r="C207" s="78">
        <v>9857035848</v>
      </c>
      <c r="D207" s="77">
        <v>24300</v>
      </c>
      <c r="E207" s="12"/>
      <c r="F207" s="12"/>
      <c r="G207" s="12"/>
      <c r="H207" s="12">
        <v>56000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23">
        <f>SUM(D207:Q207)</f>
        <v>80300</v>
      </c>
      <c r="S207" s="12"/>
      <c r="T207" s="12">
        <f>R207-S207</f>
        <v>80300</v>
      </c>
      <c r="U207" s="12">
        <f>S207-T207</f>
        <v>-80300</v>
      </c>
      <c r="V207" s="12">
        <f>T207-U207</f>
        <v>160600</v>
      </c>
      <c r="W207" s="12">
        <f>U207-V207</f>
        <v>-240900</v>
      </c>
      <c r="X207" s="12">
        <f>V207-W207</f>
        <v>401500</v>
      </c>
      <c r="Y207" s="12">
        <f>W207-X207</f>
        <v>-642400</v>
      </c>
      <c r="Z207" s="12">
        <f>X207-Y207</f>
        <v>1043900</v>
      </c>
      <c r="AA207" s="12">
        <f>Y207-Z207</f>
        <v>-1686300</v>
      </c>
      <c r="AB207" s="12">
        <f>Z207-AA207</f>
        <v>2730200</v>
      </c>
      <c r="AC207" s="12">
        <f>AA207-AB207</f>
        <v>-4416500</v>
      </c>
      <c r="AD207" s="12">
        <f>AB207-AC207</f>
        <v>7146700</v>
      </c>
      <c r="AE207" s="12">
        <f>AC207-AD207</f>
        <v>-11563200</v>
      </c>
      <c r="AF207" s="12">
        <f>AD207-AE207</f>
        <v>18709900</v>
      </c>
      <c r="AG207" s="12">
        <f>AE207-AF207</f>
        <v>-30273100</v>
      </c>
      <c r="AH207" s="12">
        <f>AF207-AG207</f>
        <v>48983000</v>
      </c>
      <c r="AI207" s="12">
        <f>AG207-AH207</f>
        <v>-79256100</v>
      </c>
      <c r="AJ207" s="12">
        <f>AH207-AI207</f>
        <v>128239100</v>
      </c>
      <c r="AK207" s="12">
        <f>AI207-AJ207</f>
        <v>-207495200</v>
      </c>
      <c r="AL207" s="12">
        <f>AJ207-AK207</f>
        <v>335734300</v>
      </c>
      <c r="AM207" s="12">
        <f>AK207-AL207</f>
        <v>-543229500</v>
      </c>
      <c r="AN207" s="12">
        <f>AL207-AM207</f>
        <v>878963800</v>
      </c>
      <c r="AO207" s="12">
        <f>AM207-AN207</f>
        <v>-1422193300</v>
      </c>
      <c r="AP207" s="12">
        <f>AN207-AO207</f>
        <v>2301157100</v>
      </c>
      <c r="AQ207" s="12">
        <f>AO207-AP207</f>
        <v>-3723350400</v>
      </c>
      <c r="AR207" s="12">
        <f>AP207-AQ207</f>
        <v>6024507500</v>
      </c>
      <c r="AS207" s="12">
        <f>AQ207-AR207</f>
        <v>-9747857900</v>
      </c>
      <c r="AT207" s="12">
        <f>AR207-AS207</f>
        <v>15772365400</v>
      </c>
      <c r="AU207" s="34">
        <v>29</v>
      </c>
      <c r="AV207" s="34"/>
      <c r="AW207" s="31">
        <v>31</v>
      </c>
      <c r="AX207" s="31"/>
      <c r="AY207" s="31" t="s">
        <v>794</v>
      </c>
      <c r="AZ207" s="34">
        <v>4</v>
      </c>
      <c r="BA207" s="34"/>
      <c r="BB207" s="34"/>
      <c r="BC207" s="34" t="s">
        <v>913</v>
      </c>
      <c r="BD207" s="34">
        <v>7</v>
      </c>
      <c r="BE207" s="34"/>
      <c r="BF207" s="34">
        <v>8</v>
      </c>
      <c r="BG207" s="31" t="s">
        <v>794</v>
      </c>
      <c r="BH207" s="31">
        <v>11</v>
      </c>
      <c r="BI207" s="34"/>
      <c r="BJ207" s="31">
        <v>13</v>
      </c>
      <c r="BK207" s="31"/>
      <c r="BL207" s="34"/>
      <c r="BM207" s="34">
        <v>15</v>
      </c>
      <c r="BN207" s="31" t="s">
        <v>4</v>
      </c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</row>
    <row r="208" spans="1:82" s="62" customFormat="1" ht="18.75">
      <c r="A208" s="87" t="s">
        <v>208</v>
      </c>
      <c r="B208" s="88"/>
      <c r="C208" s="88" t="s">
        <v>209</v>
      </c>
      <c r="D208" s="77">
        <v>41500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23">
        <f>SUM(D208:Q208)</f>
        <v>41500</v>
      </c>
      <c r="S208" s="12"/>
      <c r="T208" s="12">
        <f>R208-S208</f>
        <v>41500</v>
      </c>
      <c r="U208" s="31"/>
      <c r="V208" s="31"/>
      <c r="W208" s="31" t="s">
        <v>795</v>
      </c>
      <c r="X208" s="31" t="s">
        <v>795</v>
      </c>
      <c r="Y208" s="31" t="s">
        <v>795</v>
      </c>
      <c r="Z208" s="31" t="s">
        <v>795</v>
      </c>
      <c r="AA208" s="31" t="s">
        <v>795</v>
      </c>
      <c r="AB208" s="31" t="s">
        <v>795</v>
      </c>
      <c r="AC208" s="31"/>
      <c r="AD208" s="31" t="s">
        <v>795</v>
      </c>
      <c r="AE208" s="31" t="s">
        <v>795</v>
      </c>
      <c r="AF208" s="31" t="s">
        <v>795</v>
      </c>
      <c r="AG208" s="31" t="s">
        <v>795</v>
      </c>
      <c r="AH208" s="31" t="s">
        <v>795</v>
      </c>
      <c r="AI208" s="31" t="s">
        <v>793</v>
      </c>
      <c r="AJ208" s="31"/>
      <c r="AK208" s="31" t="s">
        <v>795</v>
      </c>
      <c r="AL208" s="31" t="s">
        <v>795</v>
      </c>
      <c r="AM208" s="31" t="s">
        <v>795</v>
      </c>
      <c r="AN208" s="31" t="s">
        <v>795</v>
      </c>
      <c r="AO208" s="31" t="s">
        <v>795</v>
      </c>
      <c r="AP208" s="31" t="s">
        <v>795</v>
      </c>
      <c r="AQ208" s="31"/>
      <c r="AR208" s="31" t="s">
        <v>795</v>
      </c>
      <c r="AS208" s="31" t="s">
        <v>795</v>
      </c>
      <c r="AT208" s="31" t="s">
        <v>795</v>
      </c>
      <c r="AU208" s="31" t="s">
        <v>793</v>
      </c>
      <c r="AV208" s="31" t="s">
        <v>795</v>
      </c>
      <c r="AW208" s="31" t="s">
        <v>795</v>
      </c>
      <c r="AX208" s="31"/>
      <c r="AY208" s="31" t="s">
        <v>795</v>
      </c>
      <c r="AZ208" s="31"/>
      <c r="BA208" s="31"/>
      <c r="BB208" s="31"/>
      <c r="BC208" s="31" t="s">
        <v>795</v>
      </c>
      <c r="BD208" s="31" t="s">
        <v>795</v>
      </c>
      <c r="BE208" s="31"/>
      <c r="BF208" s="31" t="s">
        <v>795</v>
      </c>
      <c r="BG208" s="31" t="s">
        <v>795</v>
      </c>
      <c r="BH208" s="31" t="s">
        <v>795</v>
      </c>
      <c r="BI208" s="31" t="s">
        <v>795</v>
      </c>
      <c r="BJ208" s="31" t="s">
        <v>793</v>
      </c>
      <c r="BK208" s="31" t="s">
        <v>795</v>
      </c>
      <c r="BL208" s="31"/>
      <c r="BM208" s="31"/>
      <c r="BN208" s="31"/>
      <c r="BO208" s="35"/>
      <c r="BP208" s="35"/>
      <c r="BQ208" s="35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</row>
    <row r="209" spans="1:84" ht="18.75">
      <c r="A209" s="77" t="s">
        <v>210</v>
      </c>
      <c r="B209" s="78"/>
      <c r="C209" s="78">
        <v>985737480</v>
      </c>
      <c r="D209" s="77">
        <v>4600</v>
      </c>
      <c r="E209" s="12"/>
      <c r="F209" s="12"/>
      <c r="G209" s="12"/>
      <c r="H209" s="12"/>
      <c r="I209" s="12"/>
      <c r="J209" s="12">
        <v>16600</v>
      </c>
      <c r="K209" s="12"/>
      <c r="L209" s="12"/>
      <c r="M209" s="12"/>
      <c r="N209" s="12"/>
      <c r="O209" s="12"/>
      <c r="P209" s="12"/>
      <c r="Q209" s="12"/>
      <c r="R209" s="23">
        <f>SUM(D209:Q209)</f>
        <v>21200</v>
      </c>
      <c r="S209" s="12">
        <f>AP209</f>
        <v>4600</v>
      </c>
      <c r="T209" s="12">
        <f>R209-S209</f>
        <v>16600</v>
      </c>
      <c r="U209" s="12">
        <v>5</v>
      </c>
      <c r="V209" s="34"/>
      <c r="W209" s="34"/>
      <c r="X209" s="34"/>
      <c r="Y209" s="34">
        <v>11</v>
      </c>
      <c r="Z209" s="34"/>
      <c r="AA209" s="34"/>
      <c r="AB209" s="34"/>
      <c r="AC209" s="34"/>
      <c r="AD209" s="34"/>
      <c r="AE209" s="34">
        <v>16</v>
      </c>
      <c r="AF209" s="34"/>
      <c r="AG209" s="34"/>
      <c r="AH209" s="34"/>
      <c r="AI209" s="34"/>
      <c r="AJ209" s="31"/>
      <c r="AK209" s="34">
        <v>19</v>
      </c>
      <c r="AL209" s="34"/>
      <c r="AM209" s="31"/>
      <c r="AN209" s="34"/>
      <c r="AO209" s="34"/>
      <c r="AP209" s="62">
        <v>4600</v>
      </c>
      <c r="AQ209" s="31"/>
      <c r="AR209" s="31"/>
      <c r="AS209" s="34"/>
      <c r="AT209" s="34"/>
      <c r="AU209" s="34"/>
      <c r="AV209" s="34"/>
      <c r="AW209" s="34"/>
      <c r="AX209" s="34"/>
      <c r="AY209" s="34"/>
      <c r="AZ209" s="34">
        <v>10</v>
      </c>
      <c r="BA209" s="34"/>
      <c r="BB209" s="34"/>
      <c r="BC209" s="34"/>
      <c r="BD209" s="34"/>
      <c r="BE209" s="34"/>
      <c r="BF209" s="34"/>
      <c r="BG209" s="34"/>
      <c r="BH209" s="34"/>
      <c r="BI209" s="31">
        <v>14</v>
      </c>
      <c r="BJ209" s="31"/>
      <c r="BK209" s="31"/>
      <c r="BL209" s="34"/>
      <c r="BM209" s="34">
        <v>20</v>
      </c>
      <c r="BN209" s="34"/>
      <c r="BO209" s="34"/>
      <c r="BP209" s="34"/>
      <c r="BQ209" s="34"/>
      <c r="BR209" s="34"/>
      <c r="BS209" s="31" t="s">
        <v>4</v>
      </c>
    </row>
    <row r="210" spans="1:84">
      <c r="A210" s="15" t="s">
        <v>237</v>
      </c>
      <c r="B210" s="3"/>
      <c r="C210" s="16">
        <v>9857022973</v>
      </c>
      <c r="D210" s="23">
        <v>-5750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23">
        <f>SUM(D210:Q210)</f>
        <v>-5750</v>
      </c>
      <c r="S210" s="15"/>
      <c r="T210" s="15">
        <f>R210-S210</f>
        <v>-5750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</row>
    <row r="211" spans="1:84" ht="18.75">
      <c r="A211" s="77" t="s">
        <v>212</v>
      </c>
      <c r="B211" s="78"/>
      <c r="C211" s="78">
        <v>9847329589</v>
      </c>
      <c r="D211" s="77">
        <v>77122</v>
      </c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23">
        <f>SUM(D211:Q211)</f>
        <v>77122</v>
      </c>
      <c r="S211" s="12"/>
      <c r="T211" s="23">
        <f>R211-S211</f>
        <v>77122</v>
      </c>
      <c r="U211" s="31"/>
      <c r="V211" s="31"/>
      <c r="W211" s="31" t="s">
        <v>794</v>
      </c>
      <c r="X211" s="31" t="s">
        <v>794</v>
      </c>
      <c r="Y211" s="31" t="s">
        <v>794</v>
      </c>
      <c r="Z211" s="31" t="s">
        <v>794</v>
      </c>
      <c r="AA211" s="31" t="s">
        <v>794</v>
      </c>
      <c r="AB211" s="31" t="s">
        <v>795</v>
      </c>
      <c r="AC211" s="31" t="s">
        <v>794</v>
      </c>
      <c r="AD211" s="31" t="s">
        <v>794</v>
      </c>
      <c r="AE211" s="31" t="s">
        <v>794</v>
      </c>
      <c r="AF211" s="31" t="s">
        <v>794</v>
      </c>
      <c r="AG211" s="31" t="s">
        <v>794</v>
      </c>
      <c r="AH211" s="31" t="s">
        <v>794</v>
      </c>
      <c r="AI211" s="31" t="s">
        <v>794</v>
      </c>
      <c r="AJ211" s="31"/>
      <c r="AK211" s="31" t="s">
        <v>794</v>
      </c>
      <c r="AL211" s="31" t="s">
        <v>794</v>
      </c>
      <c r="AM211" s="31" t="s">
        <v>794</v>
      </c>
      <c r="AN211" s="31" t="s">
        <v>794</v>
      </c>
      <c r="AO211" s="31" t="s">
        <v>794</v>
      </c>
      <c r="AP211" s="31" t="s">
        <v>794</v>
      </c>
      <c r="AQ211" s="31"/>
      <c r="AR211" s="31" t="s">
        <v>794</v>
      </c>
      <c r="AS211" s="34">
        <v>31</v>
      </c>
      <c r="AT211" s="34"/>
      <c r="AU211" s="34"/>
      <c r="AV211" s="34"/>
      <c r="AW211" s="34"/>
      <c r="AX211" s="34"/>
      <c r="AY211" s="34"/>
      <c r="AZ211" s="34">
        <v>4</v>
      </c>
      <c r="BA211" s="34"/>
      <c r="BB211" s="34"/>
      <c r="BC211" s="31" t="s">
        <v>794</v>
      </c>
      <c r="BD211" s="31" t="s">
        <v>794</v>
      </c>
      <c r="BE211" s="31"/>
      <c r="BF211" s="31" t="s">
        <v>794</v>
      </c>
      <c r="BG211" s="31" t="s">
        <v>794</v>
      </c>
      <c r="BH211" s="31" t="s">
        <v>794</v>
      </c>
      <c r="BI211" s="31" t="s">
        <v>794</v>
      </c>
      <c r="BJ211" s="31" t="s">
        <v>794</v>
      </c>
      <c r="BK211" s="31" t="s">
        <v>794</v>
      </c>
      <c r="BL211" s="31"/>
      <c r="BM211" s="31" t="s">
        <v>794</v>
      </c>
      <c r="BN211" s="31"/>
      <c r="BO211" s="35"/>
      <c r="BP211" s="35"/>
      <c r="BQ211" s="35"/>
    </row>
    <row r="212" spans="1:84" ht="18.75">
      <c r="A212" s="91" t="s">
        <v>213</v>
      </c>
      <c r="B212" s="92"/>
      <c r="C212" s="92">
        <v>9857034615</v>
      </c>
      <c r="D212" s="77">
        <v>142100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>
        <v>67000</v>
      </c>
      <c r="P212" s="12"/>
      <c r="Q212" s="12"/>
      <c r="R212" s="23">
        <f>SUM(D212:Q212)</f>
        <v>209100</v>
      </c>
      <c r="S212" s="12">
        <f>AZ212+46500</f>
        <v>77500</v>
      </c>
      <c r="T212" s="12">
        <f>R212-S212</f>
        <v>131600</v>
      </c>
      <c r="U212" s="12">
        <f>S212-T212</f>
        <v>-54100</v>
      </c>
      <c r="V212" s="12">
        <f>T212-U212</f>
        <v>185700</v>
      </c>
      <c r="W212" s="12">
        <f>U212-V212</f>
        <v>-239800</v>
      </c>
      <c r="X212" s="12">
        <f>V212-W212</f>
        <v>425500</v>
      </c>
      <c r="Y212" s="12">
        <f>W212-X212</f>
        <v>-665300</v>
      </c>
      <c r="Z212" s="12">
        <f>X212-Y212</f>
        <v>1090800</v>
      </c>
      <c r="AA212" s="12">
        <f>Y212-Z212</f>
        <v>-1756100</v>
      </c>
      <c r="AB212" s="12">
        <f>Z212-AA212</f>
        <v>2846900</v>
      </c>
      <c r="AC212" s="12">
        <f>AA212-AB212</f>
        <v>-4603000</v>
      </c>
      <c r="AD212" s="12">
        <f>AB212-AC212</f>
        <v>7449900</v>
      </c>
      <c r="AE212" s="12">
        <f>AC212-AD212</f>
        <v>-12052900</v>
      </c>
      <c r="AF212" s="12">
        <f>AD212-AE212</f>
        <v>19502800</v>
      </c>
      <c r="AG212" s="12">
        <f>AE212-AF212</f>
        <v>-31555700</v>
      </c>
      <c r="AH212" s="12">
        <f>AF212-AG212</f>
        <v>51058500</v>
      </c>
      <c r="AI212" s="12">
        <f>AG212-AH212</f>
        <v>-82614200</v>
      </c>
      <c r="AJ212" s="12">
        <f>AH212-AI212</f>
        <v>133672700</v>
      </c>
      <c r="AK212" s="12">
        <f>AI212-AJ212</f>
        <v>-216286900</v>
      </c>
      <c r="AL212" s="12">
        <f>AJ212-AK212</f>
        <v>349959600</v>
      </c>
      <c r="AM212" s="12">
        <f>AK212-AL212</f>
        <v>-566246500</v>
      </c>
      <c r="AN212" s="12">
        <f>AL212-AM212</f>
        <v>916206100</v>
      </c>
      <c r="AO212" s="12">
        <f>AM212-AN212</f>
        <v>-1482452600</v>
      </c>
      <c r="AP212" s="34"/>
      <c r="AQ212" s="34"/>
      <c r="AR212" s="34"/>
      <c r="AS212" s="31"/>
      <c r="AT212" s="34"/>
      <c r="AU212" s="34">
        <v>30</v>
      </c>
      <c r="AV212" s="34"/>
      <c r="AW212" s="34"/>
      <c r="AX212" s="34"/>
      <c r="AY212" s="31">
        <v>31000</v>
      </c>
      <c r="AZ212" s="1">
        <v>31000</v>
      </c>
      <c r="BA212" s="34"/>
      <c r="BB212" s="34"/>
      <c r="BC212" s="34"/>
      <c r="BD212" s="34"/>
      <c r="BE212" s="34"/>
      <c r="BF212" s="34"/>
      <c r="BG212" s="34"/>
      <c r="BH212" s="34"/>
      <c r="BI212" s="62">
        <v>46500</v>
      </c>
      <c r="BJ212" s="34"/>
      <c r="BK212" s="34"/>
      <c r="BL212" s="34"/>
      <c r="BM212" s="34"/>
      <c r="BN212" s="34"/>
      <c r="BO212" s="34"/>
      <c r="BP212" s="34"/>
      <c r="BQ212" s="34"/>
      <c r="BR212" s="34"/>
      <c r="BS212" s="31" t="s">
        <v>4</v>
      </c>
    </row>
    <row r="213" spans="1:84" ht="18.75">
      <c r="A213" s="87" t="s">
        <v>215</v>
      </c>
      <c r="B213" s="88"/>
      <c r="C213" s="88" t="s">
        <v>9</v>
      </c>
      <c r="D213" s="77">
        <v>24000</v>
      </c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23">
        <f>SUM(D213:Q213)</f>
        <v>24000</v>
      </c>
      <c r="S213" s="12"/>
      <c r="T213" s="12">
        <f>R213-S213</f>
        <v>24000</v>
      </c>
      <c r="U213" s="31"/>
      <c r="V213" s="31"/>
      <c r="W213" s="31" t="s">
        <v>795</v>
      </c>
      <c r="X213" s="31" t="s">
        <v>793</v>
      </c>
      <c r="Y213" s="31" t="s">
        <v>793</v>
      </c>
      <c r="Z213" s="31" t="s">
        <v>793</v>
      </c>
      <c r="AA213" s="31" t="s">
        <v>793</v>
      </c>
      <c r="AB213" s="31" t="s">
        <v>795</v>
      </c>
      <c r="AC213" s="31"/>
      <c r="AD213" s="31" t="s">
        <v>793</v>
      </c>
      <c r="AE213" s="31" t="s">
        <v>795</v>
      </c>
      <c r="AF213" s="31" t="s">
        <v>795</v>
      </c>
      <c r="AG213" s="31" t="s">
        <v>795</v>
      </c>
      <c r="AH213" s="31" t="s">
        <v>795</v>
      </c>
      <c r="AI213" s="31" t="s">
        <v>793</v>
      </c>
      <c r="AJ213" s="31"/>
      <c r="AK213" s="31" t="s">
        <v>795</v>
      </c>
      <c r="AL213" s="31" t="s">
        <v>795</v>
      </c>
      <c r="AM213" s="31" t="s">
        <v>795</v>
      </c>
      <c r="AN213" s="31" t="s">
        <v>795</v>
      </c>
      <c r="AO213" s="31" t="s">
        <v>795</v>
      </c>
      <c r="AP213" s="31" t="s">
        <v>795</v>
      </c>
      <c r="AQ213" s="31"/>
      <c r="AR213" s="31" t="s">
        <v>795</v>
      </c>
      <c r="AS213" s="31" t="s">
        <v>795</v>
      </c>
      <c r="AT213" s="31" t="s">
        <v>795</v>
      </c>
      <c r="AU213" s="31" t="s">
        <v>795</v>
      </c>
      <c r="AV213" s="31" t="s">
        <v>796</v>
      </c>
      <c r="AW213" s="31" t="s">
        <v>795</v>
      </c>
      <c r="AX213" s="31"/>
      <c r="AY213" s="31" t="s">
        <v>795</v>
      </c>
      <c r="AZ213" s="31"/>
      <c r="BA213" s="31" t="s">
        <v>795</v>
      </c>
      <c r="BB213" s="31" t="s">
        <v>795</v>
      </c>
      <c r="BC213" s="31" t="s">
        <v>795</v>
      </c>
      <c r="BD213" s="31" t="s">
        <v>795</v>
      </c>
      <c r="BE213" s="31"/>
      <c r="BF213" s="31" t="s">
        <v>796</v>
      </c>
      <c r="BG213" s="31" t="s">
        <v>795</v>
      </c>
      <c r="BH213" s="31" t="s">
        <v>795</v>
      </c>
      <c r="BI213" s="31" t="s">
        <v>795</v>
      </c>
      <c r="BJ213" s="31" t="s">
        <v>793</v>
      </c>
      <c r="BK213" s="31" t="s">
        <v>795</v>
      </c>
      <c r="BL213" s="31"/>
      <c r="BM213" s="31" t="s">
        <v>793</v>
      </c>
      <c r="BN213" s="31"/>
      <c r="BO213" s="35"/>
      <c r="BP213" s="35"/>
      <c r="BQ213" s="35"/>
    </row>
    <row r="214" spans="1:84">
      <c r="A214" s="17" t="s">
        <v>183</v>
      </c>
      <c r="B214" s="54"/>
      <c r="C214" s="48">
        <v>98039144</v>
      </c>
      <c r="D214" s="8">
        <v>0</v>
      </c>
      <c r="E214" s="14">
        <v>65000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>
        <v>30500</v>
      </c>
      <c r="P214" s="12"/>
      <c r="Q214" s="12"/>
      <c r="R214" s="23">
        <f>SUM(D214:Q214)</f>
        <v>95500</v>
      </c>
      <c r="S214" s="12"/>
      <c r="T214" s="12">
        <f>R214-S214</f>
        <v>95500</v>
      </c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>
        <v>24</v>
      </c>
      <c r="AO214" s="34"/>
      <c r="AP214" s="34"/>
      <c r="AQ214" s="34"/>
      <c r="AR214" s="31">
        <v>28</v>
      </c>
      <c r="AS214" s="31"/>
      <c r="AT214" s="34"/>
      <c r="AU214" s="34"/>
      <c r="AV214" s="31"/>
      <c r="AW214" s="31"/>
      <c r="AX214" s="31"/>
      <c r="AY214" s="31"/>
      <c r="AZ214" s="34">
        <v>2</v>
      </c>
      <c r="BA214" s="34">
        <v>10</v>
      </c>
      <c r="BB214" s="34"/>
      <c r="BC214" s="34"/>
      <c r="BD214" s="34"/>
      <c r="BE214" s="34"/>
      <c r="BF214" s="34"/>
      <c r="BG214" s="34"/>
      <c r="BH214" s="34"/>
      <c r="BI214" s="31">
        <v>15</v>
      </c>
      <c r="BJ214" s="31"/>
      <c r="BK214" s="31"/>
      <c r="BL214" s="31"/>
      <c r="BM214" s="31"/>
      <c r="BN214" s="31"/>
      <c r="BO214" s="35"/>
      <c r="BP214" s="35"/>
      <c r="BQ214" s="35"/>
      <c r="BR214" s="35"/>
      <c r="BS214" s="35"/>
      <c r="BT214" s="35"/>
      <c r="BU214" s="35"/>
      <c r="BV214" s="35"/>
      <c r="BW214" s="35"/>
      <c r="BX214" s="62"/>
      <c r="BY214" s="62"/>
      <c r="BZ214" s="62"/>
      <c r="CA214" s="62"/>
      <c r="CB214" s="62"/>
      <c r="CC214" s="62"/>
      <c r="CD214" s="62"/>
    </row>
    <row r="215" spans="1:84" ht="18.75">
      <c r="A215" s="77" t="s">
        <v>238</v>
      </c>
      <c r="B215" s="78"/>
      <c r="C215" s="78">
        <v>9847951616</v>
      </c>
      <c r="D215" s="77">
        <v>15243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23">
        <f>SUM(D215:Q215)</f>
        <v>15243</v>
      </c>
      <c r="S215" s="8"/>
      <c r="T215" s="8">
        <f>R215-S215</f>
        <v>15243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84" ht="18.75">
      <c r="A216" s="87" t="s">
        <v>216</v>
      </c>
      <c r="B216" s="88"/>
      <c r="C216" s="88" t="s">
        <v>217</v>
      </c>
      <c r="D216" s="77">
        <v>16300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23">
        <f>SUM(D216:Q216)</f>
        <v>16300</v>
      </c>
      <c r="S216" s="12"/>
      <c r="T216" s="23">
        <f>R216-S216</f>
        <v>16300</v>
      </c>
      <c r="U216" s="14"/>
      <c r="V216" s="14"/>
      <c r="W216" s="14" t="s">
        <v>793</v>
      </c>
      <c r="X216" s="14" t="s">
        <v>805</v>
      </c>
      <c r="Y216" s="14" t="s">
        <v>795</v>
      </c>
      <c r="Z216" s="14" t="s">
        <v>795</v>
      </c>
      <c r="AA216" s="14" t="s">
        <v>795</v>
      </c>
      <c r="AB216" s="14" t="s">
        <v>795</v>
      </c>
      <c r="AC216" s="14"/>
      <c r="AD216" s="14" t="s">
        <v>793</v>
      </c>
      <c r="AE216" s="31" t="s">
        <v>793</v>
      </c>
      <c r="AF216" s="31" t="s">
        <v>793</v>
      </c>
      <c r="AG216" s="31" t="s">
        <v>793</v>
      </c>
      <c r="AH216" s="31" t="s">
        <v>793</v>
      </c>
      <c r="AI216" s="31" t="s">
        <v>795</v>
      </c>
      <c r="AJ216" s="31"/>
      <c r="AK216" s="31" t="s">
        <v>793</v>
      </c>
      <c r="AL216" s="31" t="s">
        <v>805</v>
      </c>
      <c r="AM216" s="31" t="s">
        <v>793</v>
      </c>
      <c r="AN216" s="31" t="s">
        <v>795</v>
      </c>
      <c r="AO216" s="31" t="s">
        <v>795</v>
      </c>
      <c r="AP216" s="31" t="s">
        <v>793</v>
      </c>
      <c r="AQ216" s="31"/>
      <c r="AR216" s="31" t="s">
        <v>795</v>
      </c>
      <c r="AS216" s="31" t="s">
        <v>805</v>
      </c>
      <c r="AT216" s="31" t="s">
        <v>795</v>
      </c>
      <c r="AU216" s="31" t="s">
        <v>793</v>
      </c>
      <c r="AV216" s="31" t="s">
        <v>795</v>
      </c>
      <c r="AW216" s="31" t="s">
        <v>795</v>
      </c>
      <c r="AX216" s="31"/>
      <c r="AY216" s="31" t="s">
        <v>795</v>
      </c>
      <c r="AZ216" s="31"/>
      <c r="BA216" s="31" t="s">
        <v>795</v>
      </c>
      <c r="BB216" s="31"/>
      <c r="BC216" s="31" t="s">
        <v>795</v>
      </c>
      <c r="BD216" s="31" t="s">
        <v>795</v>
      </c>
      <c r="BE216" s="31"/>
      <c r="BF216" s="31" t="s">
        <v>795</v>
      </c>
      <c r="BG216" s="31" t="s">
        <v>795</v>
      </c>
      <c r="BH216" s="31" t="s">
        <v>795</v>
      </c>
      <c r="BI216" s="31" t="s">
        <v>795</v>
      </c>
      <c r="BJ216" s="31" t="s">
        <v>793</v>
      </c>
      <c r="BK216" s="31" t="s">
        <v>805</v>
      </c>
      <c r="BL216" s="31"/>
      <c r="BM216" s="31" t="s">
        <v>795</v>
      </c>
      <c r="BN216" s="31"/>
      <c r="BO216" s="35"/>
      <c r="BP216" s="35"/>
      <c r="BQ216" s="35"/>
    </row>
    <row r="217" spans="1:84" ht="18.75">
      <c r="A217" s="77" t="s">
        <v>239</v>
      </c>
      <c r="B217" s="78"/>
      <c r="C217" s="78">
        <v>9847495376</v>
      </c>
      <c r="D217" s="77">
        <v>-3500</v>
      </c>
      <c r="E217" s="8"/>
      <c r="F217" s="8"/>
      <c r="G217" s="8"/>
      <c r="H217" s="8"/>
      <c r="I217" s="8"/>
      <c r="J217" s="8"/>
      <c r="K217" s="8"/>
      <c r="L217" s="8"/>
      <c r="M217" s="15"/>
      <c r="N217" s="12"/>
      <c r="O217" s="12">
        <v>17000</v>
      </c>
      <c r="P217" s="12"/>
      <c r="Q217" s="12"/>
      <c r="R217" s="23">
        <f>SUM(D217:Q217)</f>
        <v>13500</v>
      </c>
      <c r="S217" s="12">
        <f>BG217</f>
        <v>7500</v>
      </c>
      <c r="T217" s="12">
        <f>R217-S217</f>
        <v>6000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62">
        <f>2500+5000</f>
        <v>7500</v>
      </c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1" t="s">
        <v>4</v>
      </c>
    </row>
    <row r="218" spans="1:84" s="62" customFormat="1">
      <c r="A218" s="12" t="s">
        <v>989</v>
      </c>
      <c r="B218" s="3"/>
      <c r="C218" s="18">
        <v>9862252561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>
        <v>42600</v>
      </c>
      <c r="P218" s="12"/>
      <c r="Q218" s="12"/>
      <c r="R218" s="23">
        <f>SUM(D218:Q218)</f>
        <v>42600</v>
      </c>
      <c r="S218" s="12"/>
      <c r="T218" s="12">
        <f>R218-S218</f>
        <v>42600</v>
      </c>
      <c r="U218" s="14"/>
      <c r="V218" s="14"/>
      <c r="W218" s="14"/>
      <c r="X218" s="32"/>
      <c r="Y218" s="32"/>
      <c r="Z218" s="14"/>
      <c r="AA218" s="14"/>
      <c r="AB218" s="12"/>
      <c r="AC218" s="12"/>
      <c r="AD218" s="12"/>
      <c r="AE218" s="31"/>
      <c r="AF218" s="31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1"/>
      <c r="AW218" s="31"/>
      <c r="AX218" s="31"/>
      <c r="AY218" s="31"/>
      <c r="AZ218" s="34"/>
      <c r="BA218" s="34"/>
      <c r="BB218" s="34"/>
      <c r="BC218" s="34"/>
      <c r="BD218" s="34"/>
      <c r="BE218" s="34"/>
      <c r="BF218" s="1"/>
      <c r="BG218" s="31"/>
      <c r="BH218" s="31"/>
      <c r="BI218" s="31"/>
      <c r="BJ218" s="31"/>
      <c r="BK218" s="31">
        <v>14</v>
      </c>
      <c r="BL218" s="31"/>
      <c r="BM218" s="34">
        <v>15</v>
      </c>
      <c r="BN218" s="31"/>
      <c r="BO218" s="35"/>
      <c r="BP218" s="35"/>
      <c r="BQ218" s="35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35"/>
      <c r="CF218" s="35"/>
    </row>
    <row r="219" spans="1:84" s="62" customFormat="1" ht="18.75">
      <c r="A219" s="77" t="s">
        <v>994</v>
      </c>
      <c r="B219" s="78"/>
      <c r="C219" s="78">
        <v>9857030867</v>
      </c>
      <c r="D219" s="77"/>
      <c r="E219" s="8"/>
      <c r="F219" s="8"/>
      <c r="G219" s="8"/>
      <c r="H219" s="8"/>
      <c r="I219" s="8"/>
      <c r="J219" s="8"/>
      <c r="K219" s="8"/>
      <c r="L219" s="8"/>
      <c r="M219" s="15"/>
      <c r="N219" s="12"/>
      <c r="O219" s="12"/>
      <c r="P219" s="12">
        <v>13000</v>
      </c>
      <c r="Q219" s="12"/>
      <c r="R219" s="23">
        <f>SUM(D219:Q219)</f>
        <v>13000</v>
      </c>
      <c r="S219" s="12"/>
      <c r="T219" s="12">
        <f>R219-S219</f>
        <v>13000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21"/>
      <c r="BZ219" s="21"/>
      <c r="CA219" s="21"/>
      <c r="CB219" s="21"/>
      <c r="CC219" s="21"/>
      <c r="CD219" s="21"/>
      <c r="CE219" s="35"/>
      <c r="CF219" s="35"/>
    </row>
    <row r="220" spans="1:84" s="62" customFormat="1" ht="18.75">
      <c r="A220" s="77" t="s">
        <v>219</v>
      </c>
      <c r="B220" s="78"/>
      <c r="C220" s="78">
        <v>9857038683</v>
      </c>
      <c r="D220" s="77">
        <v>71115</v>
      </c>
      <c r="E220" s="12"/>
      <c r="F220" s="14">
        <v>19160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23">
        <f>SUM(D220:Q220)</f>
        <v>90275</v>
      </c>
      <c r="S220" s="12">
        <f>AA220</f>
        <v>25000</v>
      </c>
      <c r="T220" s="23">
        <f>R220-S220</f>
        <v>65275</v>
      </c>
      <c r="U220" s="14"/>
      <c r="V220" s="14"/>
      <c r="W220" s="14">
        <v>5</v>
      </c>
      <c r="X220" s="32"/>
      <c r="Y220" s="14" t="s">
        <v>795</v>
      </c>
      <c r="Z220" s="14">
        <v>7</v>
      </c>
      <c r="AA220" s="8">
        <v>25000</v>
      </c>
      <c r="AB220" s="12"/>
      <c r="AC220" s="12"/>
      <c r="AD220" s="12"/>
      <c r="AE220" s="34">
        <v>18</v>
      </c>
      <c r="AF220" s="34"/>
      <c r="AG220" s="12"/>
      <c r="AH220" s="34"/>
      <c r="AI220" s="12"/>
      <c r="AJ220" s="12"/>
      <c r="AK220" s="12"/>
      <c r="AL220" s="34">
        <v>20</v>
      </c>
      <c r="AM220" s="34"/>
      <c r="AN220" s="34">
        <v>23</v>
      </c>
      <c r="AO220" s="34"/>
      <c r="AP220" s="34"/>
      <c r="AQ220" s="31"/>
      <c r="AR220" s="31"/>
      <c r="AS220" s="31">
        <v>27</v>
      </c>
      <c r="AT220" s="31"/>
      <c r="AU220" s="31" t="s">
        <v>795</v>
      </c>
      <c r="AV220" s="31">
        <v>31</v>
      </c>
      <c r="AW220" s="31"/>
      <c r="AX220" s="31"/>
      <c r="AY220" s="31"/>
      <c r="AZ220" s="34">
        <v>4</v>
      </c>
      <c r="BA220" s="34"/>
      <c r="BB220" s="34">
        <v>8</v>
      </c>
      <c r="BC220" s="34"/>
      <c r="BD220" s="34"/>
      <c r="BE220" s="34"/>
      <c r="BF220" s="34"/>
      <c r="BG220" s="31"/>
      <c r="BH220" s="31">
        <v>10</v>
      </c>
      <c r="BI220" s="31" t="s">
        <v>795</v>
      </c>
      <c r="BJ220" s="31">
        <v>14</v>
      </c>
      <c r="BK220" s="31"/>
      <c r="BL220" s="31"/>
      <c r="BM220" s="34">
        <v>15</v>
      </c>
      <c r="BN220" s="31"/>
      <c r="BO220" s="35"/>
      <c r="BP220" s="35"/>
      <c r="BQ220" s="35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35"/>
      <c r="CF220" s="35"/>
    </row>
    <row r="221" spans="1:84">
      <c r="A221" s="12" t="s">
        <v>220</v>
      </c>
      <c r="B221" s="3"/>
      <c r="C221" s="18">
        <v>9857035807</v>
      </c>
      <c r="D221" s="12">
        <v>187626</v>
      </c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23">
        <f>SUM(D221:Q221)</f>
        <v>187626</v>
      </c>
      <c r="S221" s="12"/>
      <c r="T221" s="36">
        <f>R221-S221</f>
        <v>187626</v>
      </c>
      <c r="U221" s="14">
        <v>7</v>
      </c>
      <c r="V221" s="33"/>
      <c r="W221" s="33"/>
      <c r="X221" s="33"/>
      <c r="Y221" s="33"/>
      <c r="Z221" s="33"/>
      <c r="AA221" s="12">
        <v>12</v>
      </c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>
        <v>25</v>
      </c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1"/>
      <c r="AZ221" s="34">
        <v>5</v>
      </c>
      <c r="BA221" s="34"/>
      <c r="BB221" s="34"/>
      <c r="BC221" s="34"/>
      <c r="BD221" s="34"/>
      <c r="BE221" s="34"/>
      <c r="BF221" s="34"/>
      <c r="BG221" s="34"/>
      <c r="BH221" s="34">
        <v>20</v>
      </c>
      <c r="BI221" s="31"/>
      <c r="BJ221" s="31"/>
      <c r="BK221" s="34"/>
      <c r="BL221" s="34"/>
      <c r="BM221" s="34"/>
      <c r="BN221" s="34"/>
      <c r="BO221" s="34"/>
      <c r="BP221" s="34"/>
      <c r="BQ221" s="34"/>
      <c r="BR221" s="34"/>
      <c r="BS221" s="31" t="s">
        <v>4</v>
      </c>
    </row>
    <row r="222" spans="1:84" ht="18.75">
      <c r="A222" s="77" t="s">
        <v>221</v>
      </c>
      <c r="B222" s="78"/>
      <c r="C222" s="78">
        <v>9857029720</v>
      </c>
      <c r="D222" s="77">
        <v>27800</v>
      </c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23">
        <f>SUM(D222:Q222)</f>
        <v>27800</v>
      </c>
      <c r="S222" s="12"/>
      <c r="T222" s="23">
        <f>R222-S222</f>
        <v>27800</v>
      </c>
      <c r="U222" s="14"/>
      <c r="V222" s="31"/>
      <c r="W222" s="31" t="s">
        <v>795</v>
      </c>
      <c r="X222" s="31" t="s">
        <v>795</v>
      </c>
      <c r="Y222" s="31" t="s">
        <v>795</v>
      </c>
      <c r="Z222" s="31" t="s">
        <v>793</v>
      </c>
      <c r="AA222" s="31" t="s">
        <v>793</v>
      </c>
      <c r="AB222" s="31" t="s">
        <v>831</v>
      </c>
      <c r="AC222" s="31"/>
      <c r="AD222" s="31" t="s">
        <v>793</v>
      </c>
      <c r="AE222" s="31" t="s">
        <v>793</v>
      </c>
      <c r="AF222" s="31" t="s">
        <v>793</v>
      </c>
      <c r="AG222" s="31" t="s">
        <v>795</v>
      </c>
      <c r="AH222" s="31" t="s">
        <v>795</v>
      </c>
      <c r="AI222" s="31" t="s">
        <v>795</v>
      </c>
      <c r="AJ222" s="31"/>
      <c r="AK222" s="31" t="s">
        <v>795</v>
      </c>
      <c r="AL222" s="31" t="s">
        <v>795</v>
      </c>
      <c r="AM222" s="31" t="s">
        <v>795</v>
      </c>
      <c r="AN222" s="31" t="s">
        <v>793</v>
      </c>
      <c r="AO222" s="31" t="s">
        <v>793</v>
      </c>
      <c r="AP222" s="31" t="s">
        <v>793</v>
      </c>
      <c r="AQ222" s="31"/>
      <c r="AR222" s="31" t="s">
        <v>793</v>
      </c>
      <c r="AS222" s="31" t="s">
        <v>793</v>
      </c>
      <c r="AT222" s="31" t="s">
        <v>793</v>
      </c>
      <c r="AU222" s="31" t="s">
        <v>795</v>
      </c>
      <c r="AV222" s="31"/>
      <c r="AW222" s="31" t="s">
        <v>793</v>
      </c>
      <c r="AX222" s="31"/>
      <c r="AY222" s="31" t="s">
        <v>793</v>
      </c>
      <c r="AZ222" s="31" t="s">
        <v>795</v>
      </c>
      <c r="BA222" s="31" t="s">
        <v>795</v>
      </c>
      <c r="BB222" s="31" t="s">
        <v>795</v>
      </c>
      <c r="BC222" s="31" t="s">
        <v>795</v>
      </c>
      <c r="BD222" s="31" t="s">
        <v>793</v>
      </c>
      <c r="BE222" s="31"/>
      <c r="BF222" s="31" t="s">
        <v>793</v>
      </c>
      <c r="BG222" s="31" t="s">
        <v>793</v>
      </c>
      <c r="BH222" s="31" t="s">
        <v>795</v>
      </c>
      <c r="BI222" s="31" t="s">
        <v>795</v>
      </c>
      <c r="BJ222" s="31" t="s">
        <v>795</v>
      </c>
      <c r="BK222" s="31" t="s">
        <v>795</v>
      </c>
      <c r="BL222" s="31"/>
      <c r="BM222" s="31" t="s">
        <v>793</v>
      </c>
      <c r="BN222" s="31"/>
      <c r="BO222" s="35"/>
      <c r="BP222" s="35"/>
      <c r="BQ222" s="35"/>
    </row>
    <row r="223" spans="1:84" ht="18.75">
      <c r="A223" s="77" t="s">
        <v>222</v>
      </c>
      <c r="B223" s="78"/>
      <c r="C223" s="78">
        <v>9857028222</v>
      </c>
      <c r="D223" s="77">
        <v>6000</v>
      </c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23">
        <f>SUM(D223:Q223)</f>
        <v>6000</v>
      </c>
      <c r="S223" s="12"/>
      <c r="T223" s="23">
        <f>R223-S223</f>
        <v>6000</v>
      </c>
      <c r="U223" s="31"/>
      <c r="V223" s="31"/>
      <c r="W223" s="31" t="s">
        <v>795</v>
      </c>
      <c r="X223" s="31" t="s">
        <v>794</v>
      </c>
      <c r="Y223" s="31" t="s">
        <v>794</v>
      </c>
      <c r="Z223" s="31" t="s">
        <v>794</v>
      </c>
      <c r="AA223" s="31" t="s">
        <v>794</v>
      </c>
      <c r="AB223" s="31" t="s">
        <v>795</v>
      </c>
      <c r="AC223" s="31"/>
      <c r="AD223" s="31" t="s">
        <v>794</v>
      </c>
      <c r="AE223" s="31" t="s">
        <v>794</v>
      </c>
      <c r="AF223" s="31" t="s">
        <v>794</v>
      </c>
      <c r="AG223" s="31" t="s">
        <v>794</v>
      </c>
      <c r="AH223" s="31" t="s">
        <v>794</v>
      </c>
      <c r="AI223" s="31" t="s">
        <v>794</v>
      </c>
      <c r="AJ223" s="31"/>
      <c r="AK223" s="31" t="s">
        <v>794</v>
      </c>
      <c r="AL223" s="31" t="s">
        <v>794</v>
      </c>
      <c r="AM223" s="31" t="s">
        <v>794</v>
      </c>
      <c r="AN223" s="31" t="s">
        <v>794</v>
      </c>
      <c r="AO223" s="31" t="s">
        <v>794</v>
      </c>
      <c r="AP223" s="31" t="s">
        <v>793</v>
      </c>
      <c r="AQ223" s="31"/>
      <c r="AR223" s="31" t="s">
        <v>794</v>
      </c>
      <c r="AS223" s="31" t="s">
        <v>794</v>
      </c>
      <c r="AT223" s="31" t="s">
        <v>794</v>
      </c>
      <c r="AU223" s="31" t="s">
        <v>794</v>
      </c>
      <c r="AV223" s="31" t="s">
        <v>793</v>
      </c>
      <c r="AW223" s="31" t="s">
        <v>794</v>
      </c>
      <c r="AX223" s="31"/>
      <c r="AY223" s="31"/>
      <c r="AZ223" s="31"/>
      <c r="BA223" s="31" t="s">
        <v>795</v>
      </c>
      <c r="BB223" s="31" t="s">
        <v>794</v>
      </c>
      <c r="BC223" s="31" t="s">
        <v>794</v>
      </c>
      <c r="BD223" s="31" t="s">
        <v>794</v>
      </c>
      <c r="BE223" s="31"/>
      <c r="BF223" s="31" t="s">
        <v>794</v>
      </c>
      <c r="BG223" s="31" t="s">
        <v>794</v>
      </c>
      <c r="BH223" s="31" t="s">
        <v>794</v>
      </c>
      <c r="BI223" s="31" t="s">
        <v>794</v>
      </c>
      <c r="BJ223" s="31" t="s">
        <v>794</v>
      </c>
      <c r="BK223" s="31" t="s">
        <v>794</v>
      </c>
      <c r="BL223" s="31"/>
      <c r="BM223" s="31"/>
      <c r="BN223" s="31"/>
      <c r="BO223" s="35"/>
      <c r="BP223" s="35"/>
      <c r="BQ223" s="35"/>
    </row>
    <row r="224" spans="1:84" ht="18.75">
      <c r="A224" s="87" t="s">
        <v>223</v>
      </c>
      <c r="B224" s="88"/>
      <c r="C224" s="88">
        <v>9817422907</v>
      </c>
      <c r="D224" s="77">
        <v>497371</v>
      </c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23">
        <f>SUM(D224:Q224)</f>
        <v>497371</v>
      </c>
      <c r="S224" s="12">
        <f>AF224+20000</f>
        <v>40000</v>
      </c>
      <c r="T224" s="23">
        <f>R224-S224</f>
        <v>457371</v>
      </c>
      <c r="U224" s="14"/>
      <c r="V224" s="14"/>
      <c r="W224" s="14">
        <v>5</v>
      </c>
      <c r="X224" s="12"/>
      <c r="Y224" s="14" t="s">
        <v>794</v>
      </c>
      <c r="Z224" s="14" t="s">
        <v>794</v>
      </c>
      <c r="AA224" s="14" t="s">
        <v>794</v>
      </c>
      <c r="AB224" s="53" t="s">
        <v>827</v>
      </c>
      <c r="AC224" s="12"/>
      <c r="AD224" s="12"/>
      <c r="AE224" s="31" t="s">
        <v>794</v>
      </c>
      <c r="AF224" s="1">
        <v>20000</v>
      </c>
      <c r="AG224" s="34" t="s">
        <v>847</v>
      </c>
      <c r="AH224" s="34"/>
      <c r="AI224" s="34"/>
      <c r="AJ224" s="34"/>
      <c r="AK224" s="34"/>
      <c r="AL224" s="31" t="s">
        <v>794</v>
      </c>
      <c r="AM224" s="31" t="s">
        <v>794</v>
      </c>
      <c r="AN224" s="31" t="s">
        <v>795</v>
      </c>
      <c r="AO224" s="31" t="s">
        <v>795</v>
      </c>
      <c r="AP224" s="31">
        <v>24</v>
      </c>
      <c r="AQ224" s="31"/>
      <c r="AR224" s="31" t="s">
        <v>794</v>
      </c>
      <c r="AS224" s="31" t="s">
        <v>794</v>
      </c>
      <c r="AT224" s="31" t="s">
        <v>794</v>
      </c>
      <c r="AU224" s="31" t="s">
        <v>794</v>
      </c>
      <c r="AV224" s="31" t="s">
        <v>794</v>
      </c>
      <c r="AW224" s="31" t="s">
        <v>794</v>
      </c>
      <c r="AX224" s="31"/>
      <c r="AY224" s="31" t="s">
        <v>794</v>
      </c>
      <c r="AZ224" s="31"/>
      <c r="BA224" s="34">
        <v>5</v>
      </c>
      <c r="BB224" s="34"/>
      <c r="BC224" s="34"/>
      <c r="BD224" s="31" t="s">
        <v>794</v>
      </c>
      <c r="BE224" s="31"/>
      <c r="BF224" s="52">
        <v>0.79166666666666663</v>
      </c>
      <c r="BG224" s="62">
        <v>20000</v>
      </c>
      <c r="BH224" s="34"/>
      <c r="BI224" s="34"/>
      <c r="BJ224" s="34"/>
      <c r="BK224" s="34"/>
      <c r="BL224" s="34"/>
      <c r="BM224" s="34"/>
      <c r="BN224" s="34"/>
      <c r="BO224" s="34"/>
      <c r="BP224" s="31" t="s">
        <v>4</v>
      </c>
      <c r="BQ224" s="35"/>
    </row>
    <row r="225" spans="1:86" ht="18.75">
      <c r="A225" s="77" t="s">
        <v>224</v>
      </c>
      <c r="B225" s="78"/>
      <c r="C225" s="78">
        <v>9857030778</v>
      </c>
      <c r="D225" s="77">
        <v>31000</v>
      </c>
      <c r="E225" s="23"/>
      <c r="F225" s="23"/>
      <c r="G225" s="23"/>
      <c r="H225" s="23"/>
      <c r="I225" s="23"/>
      <c r="J225" s="23"/>
      <c r="K225" s="23"/>
      <c r="L225" s="23"/>
      <c r="M225" s="23"/>
      <c r="N225" s="12"/>
      <c r="O225" s="12"/>
      <c r="P225" s="12"/>
      <c r="Q225" s="12"/>
      <c r="R225" s="12">
        <f>SUM(D225:Q225)</f>
        <v>31000</v>
      </c>
      <c r="S225" s="12">
        <f>AN225</f>
        <v>19000</v>
      </c>
      <c r="T225" s="12">
        <f>R225-S225</f>
        <v>12000</v>
      </c>
      <c r="U225" s="12">
        <v>10</v>
      </c>
      <c r="V225" s="34"/>
      <c r="W225" s="34"/>
      <c r="X225" s="34"/>
      <c r="Y225" s="34"/>
      <c r="Z225" s="34"/>
      <c r="AA225" s="34"/>
      <c r="AB225" s="34"/>
      <c r="AC225" s="34"/>
      <c r="AD225" s="34">
        <v>13</v>
      </c>
      <c r="AE225" s="34"/>
      <c r="AF225" s="34"/>
      <c r="AG225" s="34">
        <v>20</v>
      </c>
      <c r="AH225" s="34"/>
      <c r="AI225" s="34"/>
      <c r="AJ225" s="34"/>
      <c r="AK225" s="34"/>
      <c r="AL225" s="34"/>
      <c r="AM225" s="34"/>
      <c r="AN225" s="34">
        <v>19000</v>
      </c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1" t="s">
        <v>4</v>
      </c>
    </row>
    <row r="226" spans="1:86" ht="18.75">
      <c r="A226" s="77" t="s">
        <v>30</v>
      </c>
      <c r="B226" s="78"/>
      <c r="C226" s="78">
        <v>9847007976</v>
      </c>
      <c r="D226" s="77">
        <v>207000</v>
      </c>
      <c r="E226" s="12"/>
      <c r="F226" s="12"/>
      <c r="G226" s="12"/>
      <c r="H226" s="12"/>
      <c r="I226" s="12"/>
      <c r="J226" s="12">
        <v>176000</v>
      </c>
      <c r="K226" s="12">
        <v>26500</v>
      </c>
      <c r="L226" s="12">
        <f>83000+176000</f>
        <v>259000</v>
      </c>
      <c r="M226" s="12"/>
      <c r="N226" s="12"/>
      <c r="O226" s="12"/>
      <c r="P226" s="12">
        <v>83000</v>
      </c>
      <c r="Q226" s="12"/>
      <c r="R226" s="23">
        <f>SUM(D226:Q226)</f>
        <v>751500</v>
      </c>
      <c r="S226" s="12">
        <f>AI226+70000+30000+50000</f>
        <v>158500</v>
      </c>
      <c r="T226" s="23">
        <f>R226-S226</f>
        <v>593000</v>
      </c>
      <c r="U226" s="12">
        <v>15</v>
      </c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1">
        <v>8500</v>
      </c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62">
        <f>70000+30000</f>
        <v>100000</v>
      </c>
      <c r="AX226" s="62"/>
      <c r="AY226" s="31"/>
      <c r="AZ226" s="34" t="s">
        <v>962</v>
      </c>
      <c r="BA226" s="34"/>
      <c r="BB226" s="34"/>
      <c r="BC226" s="1">
        <v>50000</v>
      </c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1" t="s">
        <v>4</v>
      </c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</row>
    <row r="227" spans="1:86">
      <c r="A227" s="12" t="s">
        <v>892</v>
      </c>
      <c r="B227" s="3"/>
      <c r="C227" s="18">
        <v>9851010550</v>
      </c>
      <c r="D227" s="12"/>
      <c r="E227" s="12"/>
      <c r="F227" s="12"/>
      <c r="G227" s="12"/>
      <c r="H227" s="12"/>
      <c r="I227" s="12"/>
      <c r="J227" s="12">
        <v>30500</v>
      </c>
      <c r="K227" s="12"/>
      <c r="L227" s="12"/>
      <c r="M227" s="12"/>
      <c r="N227" s="12"/>
      <c r="O227" s="12"/>
      <c r="P227" s="12"/>
      <c r="Q227" s="12"/>
      <c r="R227" s="23">
        <f>SUM(D227:Q227)</f>
        <v>30500</v>
      </c>
      <c r="S227" s="12"/>
      <c r="T227" s="23">
        <f>R227-S227</f>
        <v>30500</v>
      </c>
      <c r="U227" s="12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1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1" t="s">
        <v>913</v>
      </c>
      <c r="AZ227" s="34">
        <v>5</v>
      </c>
      <c r="BA227" s="34"/>
      <c r="BB227" s="34"/>
      <c r="BC227" s="34"/>
      <c r="BD227" s="34">
        <v>7</v>
      </c>
      <c r="BE227" s="34"/>
      <c r="BF227" s="31" t="s">
        <v>794</v>
      </c>
      <c r="BG227" s="34">
        <v>11</v>
      </c>
      <c r="BH227" s="34"/>
      <c r="BI227" s="34"/>
      <c r="BJ227" s="31">
        <v>14</v>
      </c>
      <c r="BK227" s="34"/>
      <c r="BL227" s="34"/>
      <c r="BM227" s="31" t="s">
        <v>794</v>
      </c>
      <c r="BN227" s="31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</row>
    <row r="228" spans="1:86">
      <c r="A228" s="12" t="s">
        <v>960</v>
      </c>
      <c r="B228" s="18"/>
      <c r="C228" s="18"/>
      <c r="D228" s="12"/>
      <c r="E228" s="12"/>
      <c r="F228" s="12"/>
      <c r="G228" s="12"/>
      <c r="H228" s="12"/>
      <c r="I228" s="12"/>
      <c r="J228" s="12"/>
      <c r="K228" s="12"/>
      <c r="L228" s="12">
        <v>26000</v>
      </c>
      <c r="M228" s="12"/>
      <c r="N228" s="12"/>
      <c r="O228" s="12">
        <v>3500</v>
      </c>
      <c r="P228" s="12"/>
      <c r="Q228" s="12"/>
      <c r="R228" s="23">
        <f>SUM(D228:Q228)</f>
        <v>29500</v>
      </c>
      <c r="S228" s="12">
        <f>AW228+3500</f>
        <v>29500</v>
      </c>
      <c r="T228" s="12">
        <f>R228-S228</f>
        <v>0</v>
      </c>
      <c r="U228" s="12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1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62">
        <v>26000</v>
      </c>
      <c r="AX228" s="62"/>
      <c r="AY228" s="31"/>
      <c r="AZ228" s="35"/>
      <c r="BA228" s="35"/>
      <c r="BB228" s="34"/>
      <c r="BC228" s="34"/>
      <c r="BD228" s="34"/>
      <c r="BE228" s="34">
        <v>10</v>
      </c>
      <c r="BF228" s="34"/>
      <c r="BG228" s="34"/>
      <c r="BH228" s="34"/>
      <c r="BI228" s="62">
        <v>3500</v>
      </c>
      <c r="BJ228" s="35"/>
      <c r="BK228" s="35"/>
      <c r="BL228" s="35"/>
      <c r="BM228" s="35"/>
      <c r="BN228" s="35"/>
      <c r="BX228" s="35"/>
      <c r="BY228" s="35"/>
      <c r="BZ228" s="35"/>
      <c r="CA228" s="35"/>
      <c r="CB228" s="35"/>
      <c r="CC228" s="35"/>
      <c r="CD228" s="35"/>
    </row>
    <row r="229" spans="1:86" ht="18.75">
      <c r="A229" s="77" t="s">
        <v>225</v>
      </c>
      <c r="B229" s="78"/>
      <c r="C229" s="78">
        <v>9813274660</v>
      </c>
      <c r="D229" s="77">
        <v>146000</v>
      </c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23">
        <f>SUM(D229:Q229)</f>
        <v>146000</v>
      </c>
      <c r="S229" s="12"/>
      <c r="T229" s="23">
        <f>R229-S229</f>
        <v>146000</v>
      </c>
      <c r="U229" s="31"/>
      <c r="V229" s="31"/>
      <c r="W229" s="31" t="s">
        <v>795</v>
      </c>
      <c r="X229" s="14" t="s">
        <v>795</v>
      </c>
      <c r="Y229" s="31" t="s">
        <v>795</v>
      </c>
      <c r="Z229" s="31" t="s">
        <v>795</v>
      </c>
      <c r="AA229" s="31" t="s">
        <v>795</v>
      </c>
      <c r="AB229" s="31" t="s">
        <v>795</v>
      </c>
      <c r="AC229" s="31"/>
      <c r="AD229" s="31" t="s">
        <v>795</v>
      </c>
      <c r="AE229" s="31" t="s">
        <v>795</v>
      </c>
      <c r="AF229" s="31" t="s">
        <v>795</v>
      </c>
      <c r="AG229" s="31" t="s">
        <v>793</v>
      </c>
      <c r="AH229" s="31" t="s">
        <v>795</v>
      </c>
      <c r="AI229" s="31" t="s">
        <v>795</v>
      </c>
      <c r="AJ229" s="31"/>
      <c r="AK229" s="34">
        <v>19</v>
      </c>
      <c r="AL229" s="34"/>
      <c r="AM229" s="31" t="s">
        <v>795</v>
      </c>
      <c r="AN229" s="31" t="s">
        <v>796</v>
      </c>
      <c r="AO229" s="31" t="s">
        <v>796</v>
      </c>
      <c r="AP229" s="31">
        <v>24</v>
      </c>
      <c r="AQ229" s="31"/>
      <c r="AR229" s="31" t="s">
        <v>795</v>
      </c>
      <c r="AS229" s="31" t="s">
        <v>809</v>
      </c>
      <c r="AT229" s="31" t="s">
        <v>795</v>
      </c>
      <c r="AU229" s="31" t="s">
        <v>795</v>
      </c>
      <c r="AV229" s="31" t="s">
        <v>805</v>
      </c>
      <c r="AW229" s="31">
        <v>31</v>
      </c>
      <c r="AX229" s="31"/>
      <c r="AY229" s="31"/>
      <c r="AZ229" s="31"/>
      <c r="BA229" s="31" t="s">
        <v>795</v>
      </c>
      <c r="BB229" s="31" t="s">
        <v>795</v>
      </c>
      <c r="BC229" s="31" t="s">
        <v>795</v>
      </c>
      <c r="BD229" s="31" t="s">
        <v>795</v>
      </c>
      <c r="BE229" s="31"/>
      <c r="BF229" s="31" t="s">
        <v>795</v>
      </c>
      <c r="BG229" s="31" t="s">
        <v>794</v>
      </c>
      <c r="BH229" s="31" t="s">
        <v>795</v>
      </c>
      <c r="BI229" s="31" t="s">
        <v>795</v>
      </c>
      <c r="BJ229" s="31" t="s">
        <v>795</v>
      </c>
      <c r="BK229" s="31" t="s">
        <v>793</v>
      </c>
      <c r="BL229" s="31"/>
      <c r="BM229" s="31" t="s">
        <v>795</v>
      </c>
      <c r="BN229" s="31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</row>
    <row r="230" spans="1:86" ht="18.75">
      <c r="A230" s="77" t="s">
        <v>226</v>
      </c>
      <c r="B230" s="78"/>
      <c r="C230" s="78">
        <v>9857030252</v>
      </c>
      <c r="D230" s="77">
        <v>21000</v>
      </c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23">
        <f>SUM(D230:Q230)</f>
        <v>21000</v>
      </c>
      <c r="S230" s="12"/>
      <c r="T230" s="23">
        <f>R230-S230</f>
        <v>21000</v>
      </c>
      <c r="U230" s="31"/>
      <c r="V230" s="31"/>
      <c r="W230" s="31">
        <v>5</v>
      </c>
      <c r="X230" s="34"/>
      <c r="Y230" s="12">
        <v>8</v>
      </c>
      <c r="Z230" s="12"/>
      <c r="AA230" s="12"/>
      <c r="AB230" s="31" t="s">
        <v>4</v>
      </c>
      <c r="AC230" s="31"/>
      <c r="AD230" s="34">
        <v>12</v>
      </c>
      <c r="AE230" s="34"/>
      <c r="AF230" s="34">
        <v>14</v>
      </c>
      <c r="AG230" s="34"/>
      <c r="AH230" s="34">
        <v>20</v>
      </c>
      <c r="AI230" s="34"/>
      <c r="AJ230" s="34"/>
      <c r="AK230" s="34"/>
      <c r="AL230" s="34"/>
      <c r="AM230" s="34"/>
      <c r="AN230" s="34">
        <v>24</v>
      </c>
      <c r="AO230" s="34"/>
      <c r="AP230" s="34"/>
      <c r="AQ230" s="34"/>
      <c r="AR230" s="31">
        <v>27</v>
      </c>
      <c r="AS230" s="31"/>
      <c r="AT230" s="31"/>
      <c r="AU230" s="34">
        <v>30</v>
      </c>
      <c r="AV230" s="34"/>
      <c r="AW230" s="34"/>
      <c r="AX230" s="34"/>
      <c r="AY230" s="31">
        <v>4</v>
      </c>
      <c r="AZ230" s="34">
        <v>4</v>
      </c>
      <c r="BA230" s="34"/>
      <c r="BB230" s="34"/>
      <c r="BC230" s="34">
        <v>8</v>
      </c>
      <c r="BD230" s="34"/>
      <c r="BE230" s="34"/>
      <c r="BF230" s="34"/>
      <c r="BG230" s="34">
        <v>12</v>
      </c>
      <c r="BH230" s="34"/>
      <c r="BI230" s="34"/>
      <c r="BJ230" s="34"/>
      <c r="BK230" s="34"/>
      <c r="BL230" s="34"/>
      <c r="BM230" s="34"/>
      <c r="BN230" s="34"/>
      <c r="BO230" s="31" t="s">
        <v>4</v>
      </c>
    </row>
    <row r="231" spans="1:86" ht="18.75">
      <c r="A231" s="87" t="s">
        <v>227</v>
      </c>
      <c r="B231" s="88"/>
      <c r="C231" s="88">
        <v>9857080819</v>
      </c>
      <c r="D231" s="77">
        <v>38000</v>
      </c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23">
        <f>SUM(D231:Q231)</f>
        <v>38000</v>
      </c>
      <c r="S231" s="12"/>
      <c r="T231" s="23">
        <f>R231-S231</f>
        <v>38000</v>
      </c>
      <c r="U231" s="31"/>
      <c r="V231" s="31"/>
      <c r="W231" s="31">
        <v>5</v>
      </c>
      <c r="X231" s="34"/>
      <c r="Y231" s="14" t="s">
        <v>795</v>
      </c>
      <c r="Z231" s="31" t="s">
        <v>795</v>
      </c>
      <c r="AA231" s="31" t="s">
        <v>795</v>
      </c>
      <c r="AB231" s="31" t="s">
        <v>811</v>
      </c>
      <c r="AC231" s="31"/>
      <c r="AD231" s="31" t="s">
        <v>795</v>
      </c>
      <c r="AE231" s="31" t="s">
        <v>795</v>
      </c>
      <c r="AF231" s="31" t="s">
        <v>795</v>
      </c>
      <c r="AG231" s="31" t="s">
        <v>793</v>
      </c>
      <c r="AH231" s="31" t="s">
        <v>795</v>
      </c>
      <c r="AI231" s="31" t="s">
        <v>793</v>
      </c>
      <c r="AJ231" s="31"/>
      <c r="AK231" s="31" t="s">
        <v>795</v>
      </c>
      <c r="AL231" s="31" t="s">
        <v>795</v>
      </c>
      <c r="AM231" s="31" t="s">
        <v>795</v>
      </c>
      <c r="AN231" s="31" t="s">
        <v>795</v>
      </c>
      <c r="AO231" s="31" t="s">
        <v>795</v>
      </c>
      <c r="AP231" s="31" t="s">
        <v>795</v>
      </c>
      <c r="AQ231" s="31"/>
      <c r="AR231" s="31" t="s">
        <v>795</v>
      </c>
      <c r="AS231" s="31" t="s">
        <v>795</v>
      </c>
      <c r="AT231" s="31" t="s">
        <v>793</v>
      </c>
      <c r="AU231" s="31" t="s">
        <v>795</v>
      </c>
      <c r="AV231" s="31" t="s">
        <v>795</v>
      </c>
      <c r="AW231" s="31" t="s">
        <v>795</v>
      </c>
      <c r="AX231" s="31"/>
      <c r="AY231" s="31" t="s">
        <v>795</v>
      </c>
      <c r="AZ231" s="31"/>
      <c r="BA231" s="31" t="s">
        <v>795</v>
      </c>
      <c r="BB231" s="31" t="s">
        <v>795</v>
      </c>
      <c r="BC231" s="31" t="s">
        <v>795</v>
      </c>
      <c r="BD231" s="31" t="s">
        <v>795</v>
      </c>
      <c r="BE231" s="31"/>
      <c r="BF231" s="31" t="s">
        <v>795</v>
      </c>
      <c r="BG231" s="31" t="s">
        <v>795</v>
      </c>
      <c r="BH231" s="31" t="s">
        <v>795</v>
      </c>
      <c r="BI231" s="31" t="s">
        <v>795</v>
      </c>
      <c r="BJ231" s="31" t="s">
        <v>795</v>
      </c>
      <c r="BK231" s="31" t="s">
        <v>795</v>
      </c>
      <c r="BL231" s="31"/>
      <c r="BM231" s="31" t="s">
        <v>795</v>
      </c>
      <c r="BN231" s="31"/>
    </row>
    <row r="232" spans="1:86">
      <c r="A232" s="12" t="s">
        <v>868</v>
      </c>
      <c r="B232" s="3"/>
      <c r="C232" s="18">
        <v>9857088888</v>
      </c>
      <c r="D232" s="12"/>
      <c r="E232" s="12"/>
      <c r="F232" s="12"/>
      <c r="G232" s="12"/>
      <c r="H232" s="12">
        <v>21000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23">
        <f>SUM(D232:Q232)</f>
        <v>21000</v>
      </c>
      <c r="S232" s="12">
        <f>AI232</f>
        <v>10500</v>
      </c>
      <c r="T232" s="23">
        <f>R232-S232</f>
        <v>10500</v>
      </c>
      <c r="U232" s="31"/>
      <c r="V232" s="31"/>
      <c r="W232" s="31"/>
      <c r="X232" s="14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62">
        <v>10500</v>
      </c>
      <c r="AJ232" s="31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1">
        <v>2</v>
      </c>
      <c r="AX232" s="31"/>
      <c r="AY232" s="31"/>
      <c r="AZ232" s="34">
        <v>2</v>
      </c>
      <c r="BA232" s="34">
        <v>5</v>
      </c>
      <c r="BB232" s="34"/>
      <c r="BC232" s="34"/>
      <c r="BD232" s="34">
        <v>10</v>
      </c>
      <c r="BE232" s="34"/>
      <c r="BF232" s="34"/>
      <c r="BG232" s="34"/>
      <c r="BH232" s="34"/>
      <c r="BI232" s="31" t="s">
        <v>795</v>
      </c>
      <c r="BJ232" s="31">
        <v>14</v>
      </c>
      <c r="BK232" s="31"/>
      <c r="BL232" s="31"/>
      <c r="BM232" s="31"/>
      <c r="BN232" s="31"/>
    </row>
    <row r="233" spans="1:86" ht="18.75">
      <c r="A233" s="77" t="s">
        <v>228</v>
      </c>
      <c r="B233" s="78"/>
      <c r="C233" s="78">
        <v>9856003938</v>
      </c>
      <c r="D233" s="77">
        <v>34075</v>
      </c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23">
        <f>SUM(D233:Q233)</f>
        <v>34075</v>
      </c>
      <c r="S233" s="12"/>
      <c r="T233" s="23">
        <f>R233-S233</f>
        <v>34075</v>
      </c>
      <c r="U233" s="12">
        <v>15</v>
      </c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1" t="s">
        <v>795</v>
      </c>
      <c r="AJ233" s="31"/>
      <c r="AK233" s="31" t="s">
        <v>795</v>
      </c>
      <c r="AL233" s="31" t="s">
        <v>793</v>
      </c>
      <c r="AM233" s="31" t="s">
        <v>793</v>
      </c>
      <c r="AN233" s="31" t="s">
        <v>795</v>
      </c>
      <c r="AO233" s="31" t="s">
        <v>795</v>
      </c>
      <c r="AP233" s="31" t="s">
        <v>793</v>
      </c>
      <c r="AQ233" s="31"/>
      <c r="AR233" s="31" t="s">
        <v>793</v>
      </c>
      <c r="AS233" s="31" t="s">
        <v>805</v>
      </c>
      <c r="AT233" s="31" t="s">
        <v>805</v>
      </c>
      <c r="AU233" s="31" t="s">
        <v>796</v>
      </c>
      <c r="AV233" s="31" t="s">
        <v>795</v>
      </c>
      <c r="AW233" s="31" t="s">
        <v>795</v>
      </c>
      <c r="AX233" s="31"/>
      <c r="AY233" s="31" t="s">
        <v>795</v>
      </c>
      <c r="AZ233" s="31"/>
      <c r="BA233" s="31" t="s">
        <v>793</v>
      </c>
      <c r="BB233" s="31" t="s">
        <v>796</v>
      </c>
      <c r="BC233" s="31" t="s">
        <v>795</v>
      </c>
      <c r="BD233" s="31" t="s">
        <v>795</v>
      </c>
      <c r="BE233" s="31"/>
      <c r="BF233" s="31" t="s">
        <v>793</v>
      </c>
      <c r="BG233" s="31" t="s">
        <v>793</v>
      </c>
      <c r="BH233" s="31" t="s">
        <v>795</v>
      </c>
      <c r="BI233" s="31" t="s">
        <v>793</v>
      </c>
      <c r="BJ233" s="31" t="s">
        <v>805</v>
      </c>
      <c r="BK233" s="31" t="s">
        <v>795</v>
      </c>
      <c r="BL233" s="31"/>
      <c r="BM233" s="31" t="s">
        <v>795</v>
      </c>
      <c r="BN233" s="31"/>
    </row>
    <row r="234" spans="1:86">
      <c r="A234" s="12" t="s">
        <v>862</v>
      </c>
      <c r="B234" s="3"/>
      <c r="C234" s="18">
        <v>9847181217</v>
      </c>
      <c r="D234" s="12"/>
      <c r="E234" s="12"/>
      <c r="F234" s="12"/>
      <c r="G234" s="12"/>
      <c r="H234" s="12">
        <f>8300+29600</f>
        <v>37900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23">
        <f>SUM(D234:Q234)</f>
        <v>37900</v>
      </c>
      <c r="S234" s="12">
        <f>AG234+3000+BJ234</f>
        <v>28900</v>
      </c>
      <c r="T234" s="23">
        <f>R234-S234</f>
        <v>9000</v>
      </c>
      <c r="U234" s="31"/>
      <c r="V234" s="31"/>
      <c r="W234" s="31"/>
      <c r="X234" s="31"/>
      <c r="Y234" s="31"/>
      <c r="Z234" s="31"/>
      <c r="AA234" s="1"/>
      <c r="AB234" s="34"/>
      <c r="AC234" s="34"/>
      <c r="AD234" s="34"/>
      <c r="AE234" s="12"/>
      <c r="AF234" s="12"/>
      <c r="AG234" s="61">
        <f>5300+10600</f>
        <v>15900</v>
      </c>
      <c r="AH234" s="61">
        <v>3000</v>
      </c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4">
        <v>5</v>
      </c>
      <c r="AZ234" s="12">
        <v>5</v>
      </c>
      <c r="BA234" s="34"/>
      <c r="BB234" s="34"/>
      <c r="BC234" s="34"/>
      <c r="BD234" s="34">
        <v>7</v>
      </c>
      <c r="BE234" s="34"/>
      <c r="BF234" s="34">
        <v>9</v>
      </c>
      <c r="BG234" s="34"/>
      <c r="BH234" s="31">
        <v>10</v>
      </c>
      <c r="BI234" s="31" t="s">
        <v>809</v>
      </c>
      <c r="BJ234" s="1">
        <v>10000</v>
      </c>
      <c r="BK234" s="31"/>
      <c r="BL234" s="31"/>
      <c r="BM234" s="31" t="s">
        <v>805</v>
      </c>
      <c r="BN234" s="31"/>
      <c r="BO234" s="31"/>
      <c r="BP234" s="31"/>
      <c r="BQ234" s="31" t="s">
        <v>4</v>
      </c>
    </row>
    <row r="235" spans="1:86" s="62" customFormat="1">
      <c r="A235" s="12" t="s">
        <v>891</v>
      </c>
      <c r="B235" s="3"/>
      <c r="C235" s="18">
        <v>9847500433</v>
      </c>
      <c r="D235" s="12"/>
      <c r="E235" s="12"/>
      <c r="F235" s="12"/>
      <c r="G235" s="12"/>
      <c r="H235" s="12"/>
      <c r="I235" s="12"/>
      <c r="J235" s="12">
        <v>30500</v>
      </c>
      <c r="K235" s="12"/>
      <c r="L235" s="12"/>
      <c r="M235" s="12"/>
      <c r="N235" s="12"/>
      <c r="O235" s="12"/>
      <c r="P235" s="12"/>
      <c r="Q235" s="12"/>
      <c r="R235" s="23">
        <f>SUM(D235:Q235)</f>
        <v>30500</v>
      </c>
      <c r="S235" s="12">
        <f>BH235</f>
        <v>20000</v>
      </c>
      <c r="T235" s="23">
        <f>R235-S235</f>
        <v>10500</v>
      </c>
      <c r="U235" s="31"/>
      <c r="V235" s="31"/>
      <c r="W235" s="31"/>
      <c r="X235" s="31"/>
      <c r="Y235" s="31"/>
      <c r="Z235" s="31"/>
      <c r="AA235" s="1"/>
      <c r="AB235" s="34"/>
      <c r="AC235" s="34"/>
      <c r="AD235" s="34"/>
      <c r="AE235" s="12"/>
      <c r="AF235" s="12"/>
      <c r="AG235" s="12"/>
      <c r="AH235" s="12"/>
      <c r="AI235" s="12"/>
      <c r="AJ235" s="12"/>
      <c r="AK235" s="34"/>
      <c r="AL235" s="34"/>
      <c r="AM235" s="34"/>
      <c r="AN235" s="34"/>
      <c r="AO235" s="34"/>
      <c r="AP235" s="34"/>
      <c r="AQ235" s="34"/>
      <c r="AR235" s="31"/>
      <c r="AS235" s="34"/>
      <c r="AT235" s="34"/>
      <c r="AU235" s="34"/>
      <c r="AV235" s="34"/>
      <c r="AW235" s="31">
        <v>2</v>
      </c>
      <c r="AX235" s="31"/>
      <c r="AY235" s="31"/>
      <c r="AZ235" s="34">
        <v>2</v>
      </c>
      <c r="BA235" s="34">
        <v>5</v>
      </c>
      <c r="BB235" s="34"/>
      <c r="BC235" s="34"/>
      <c r="BD235" s="34">
        <v>7</v>
      </c>
      <c r="BE235" s="34"/>
      <c r="BF235" s="1" t="s">
        <v>809</v>
      </c>
      <c r="BG235" s="1" t="s">
        <v>973</v>
      </c>
      <c r="BH235" s="1">
        <v>20000</v>
      </c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1" t="s">
        <v>4</v>
      </c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</row>
    <row r="236" spans="1:86" s="62" customFormat="1" ht="18.75">
      <c r="A236" s="77" t="s">
        <v>149</v>
      </c>
      <c r="B236" s="78"/>
      <c r="C236" s="78">
        <v>9866741197</v>
      </c>
      <c r="D236" s="77">
        <v>240322.25</v>
      </c>
      <c r="E236" s="12"/>
      <c r="F236" s="12"/>
      <c r="G236" s="12"/>
      <c r="H236" s="12"/>
      <c r="I236" s="12">
        <v>93000</v>
      </c>
      <c r="J236" s="12"/>
      <c r="K236" s="12"/>
      <c r="L236" s="12"/>
      <c r="M236" s="12"/>
      <c r="N236" s="12"/>
      <c r="O236" s="12"/>
      <c r="P236" s="12"/>
      <c r="Q236" s="12"/>
      <c r="R236" s="23">
        <f>SUM(D236:Q236)</f>
        <v>333322.25</v>
      </c>
      <c r="S236" s="12">
        <f>AA236+BK236</f>
        <v>190000</v>
      </c>
      <c r="T236" s="23">
        <f>R236-S236</f>
        <v>143322.25</v>
      </c>
      <c r="U236" s="31"/>
      <c r="V236" s="31"/>
      <c r="W236" s="31" t="s">
        <v>800</v>
      </c>
      <c r="X236" s="31" t="s">
        <v>800</v>
      </c>
      <c r="Y236" s="31" t="s">
        <v>800</v>
      </c>
      <c r="Z236" s="31" t="s">
        <v>800</v>
      </c>
      <c r="AA236" s="1">
        <v>140000</v>
      </c>
      <c r="AB236" s="34"/>
      <c r="AC236" s="34"/>
      <c r="AD236" s="34"/>
      <c r="AE236" s="12">
        <v>17</v>
      </c>
      <c r="AF236" s="12"/>
      <c r="AG236" s="12"/>
      <c r="AH236" s="12"/>
      <c r="AI236" s="12"/>
      <c r="AJ236" s="12"/>
      <c r="AK236" s="34">
        <v>24</v>
      </c>
      <c r="AL236" s="34"/>
      <c r="AM236" s="34"/>
      <c r="AN236" s="34"/>
      <c r="AO236" s="34"/>
      <c r="AP236" s="34"/>
      <c r="AQ236" s="34"/>
      <c r="AR236" s="31"/>
      <c r="AS236" s="34"/>
      <c r="AT236" s="34"/>
      <c r="AU236" s="34"/>
      <c r="AV236" s="31">
        <v>30</v>
      </c>
      <c r="AW236" s="31"/>
      <c r="AX236" s="31"/>
      <c r="AY236" s="31" t="s">
        <v>795</v>
      </c>
      <c r="AZ236" s="34">
        <v>3</v>
      </c>
      <c r="BA236" s="34"/>
      <c r="BB236" s="34">
        <v>8</v>
      </c>
      <c r="BC236" s="34"/>
      <c r="BD236" s="34"/>
      <c r="BE236" s="34"/>
      <c r="BF236" s="34"/>
      <c r="BG236" s="1" t="s">
        <v>830</v>
      </c>
      <c r="BH236" s="31" t="s">
        <v>800</v>
      </c>
      <c r="BI236" s="31" t="s">
        <v>800</v>
      </c>
      <c r="BJ236" s="31" t="s">
        <v>800</v>
      </c>
      <c r="BK236" s="93">
        <v>50000</v>
      </c>
      <c r="BL236" s="31"/>
      <c r="BM236" s="34">
        <v>20</v>
      </c>
      <c r="BN236" s="34"/>
      <c r="BO236" s="34"/>
      <c r="BP236" s="34"/>
      <c r="BQ236" s="34"/>
      <c r="BR236" s="34"/>
      <c r="BS236" s="31" t="s">
        <v>4</v>
      </c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</row>
    <row r="237" spans="1:86" s="35" customFormat="1" ht="18.75">
      <c r="A237" s="77" t="s">
        <v>229</v>
      </c>
      <c r="B237" s="78"/>
      <c r="C237" s="78">
        <v>9847119413</v>
      </c>
      <c r="D237" s="77">
        <v>339500</v>
      </c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23">
        <f>SUM(D237:Q237)</f>
        <v>339500</v>
      </c>
      <c r="S237" s="12">
        <f>AE237+20000</f>
        <v>120000</v>
      </c>
      <c r="T237" s="23">
        <f>R237-S237</f>
        <v>219500</v>
      </c>
      <c r="U237" s="31"/>
      <c r="V237" s="31"/>
      <c r="W237" s="31">
        <v>5</v>
      </c>
      <c r="X237" s="33"/>
      <c r="Y237" s="12">
        <v>7</v>
      </c>
      <c r="Z237" s="12"/>
      <c r="AA237" s="32">
        <v>11</v>
      </c>
      <c r="AB237" s="12"/>
      <c r="AC237" s="12"/>
      <c r="AD237" s="12"/>
      <c r="AE237" s="8">
        <v>100000</v>
      </c>
      <c r="AF237" s="34"/>
      <c r="AG237" s="34"/>
      <c r="AH237" s="34"/>
      <c r="AI237" s="34"/>
      <c r="AJ237" s="31" t="s">
        <v>4</v>
      </c>
      <c r="AK237" s="34">
        <v>21</v>
      </c>
      <c r="AL237" s="34"/>
      <c r="AM237" s="34"/>
      <c r="AN237" s="34"/>
      <c r="AO237" s="31" t="s">
        <v>796</v>
      </c>
      <c r="AP237" s="31">
        <v>28</v>
      </c>
      <c r="AQ237" s="31"/>
      <c r="AR237" s="31"/>
      <c r="AS237" s="34"/>
      <c r="AT237" s="34"/>
      <c r="AU237" s="34"/>
      <c r="AV237" s="31"/>
      <c r="AW237" s="31"/>
      <c r="AX237" s="31"/>
      <c r="AY237" s="31"/>
      <c r="AZ237" s="1">
        <v>20000</v>
      </c>
      <c r="BA237" s="34"/>
      <c r="BB237" s="34"/>
      <c r="BC237" s="34"/>
      <c r="BD237" s="34"/>
      <c r="BE237" s="34"/>
      <c r="BF237" s="34"/>
      <c r="BG237" s="34"/>
      <c r="BH237" s="34"/>
      <c r="BI237" s="31"/>
      <c r="BJ237" s="31"/>
      <c r="BK237" s="31"/>
      <c r="BL237" s="31"/>
      <c r="BM237" s="31"/>
      <c r="BN237" s="3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</row>
    <row r="238" spans="1:86" s="62" customFormat="1" ht="18.75">
      <c r="A238" s="87" t="s">
        <v>230</v>
      </c>
      <c r="B238" s="88"/>
      <c r="C238" s="88" t="s">
        <v>231</v>
      </c>
      <c r="D238" s="77">
        <v>254808.1</v>
      </c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23">
        <f>SUM(D238:Q238)</f>
        <v>254808.1</v>
      </c>
      <c r="S238" s="12"/>
      <c r="T238" s="23">
        <f>R238-S238</f>
        <v>254808.1</v>
      </c>
      <c r="U238" s="31"/>
      <c r="V238" s="31"/>
      <c r="W238" s="31" t="s">
        <v>793</v>
      </c>
      <c r="X238" s="31" t="s">
        <v>793</v>
      </c>
      <c r="Y238" s="31" t="s">
        <v>793</v>
      </c>
      <c r="Z238" s="31" t="s">
        <v>793</v>
      </c>
      <c r="AA238" s="31" t="s">
        <v>793</v>
      </c>
      <c r="AB238" s="31" t="s">
        <v>795</v>
      </c>
      <c r="AC238" s="31"/>
      <c r="AD238" s="31" t="s">
        <v>793</v>
      </c>
      <c r="AE238" s="31" t="s">
        <v>793</v>
      </c>
      <c r="AF238" s="34" t="s">
        <v>793</v>
      </c>
      <c r="AG238" s="31" t="s">
        <v>793</v>
      </c>
      <c r="AH238" s="31" t="s">
        <v>793</v>
      </c>
      <c r="AI238" s="31" t="s">
        <v>796</v>
      </c>
      <c r="AJ238" s="31"/>
      <c r="AK238" s="31" t="s">
        <v>793</v>
      </c>
      <c r="AL238" s="31" t="s">
        <v>793</v>
      </c>
      <c r="AM238" s="31" t="s">
        <v>793</v>
      </c>
      <c r="AN238" s="31" t="s">
        <v>793</v>
      </c>
      <c r="AO238" s="31" t="s">
        <v>793</v>
      </c>
      <c r="AP238" s="31" t="s">
        <v>793</v>
      </c>
      <c r="AQ238" s="31"/>
      <c r="AR238" s="31" t="s">
        <v>796</v>
      </c>
      <c r="AS238" s="31" t="s">
        <v>796</v>
      </c>
      <c r="AT238" s="31" t="s">
        <v>795</v>
      </c>
      <c r="AU238" s="31" t="s">
        <v>795</v>
      </c>
      <c r="AV238" s="31" t="s">
        <v>793</v>
      </c>
      <c r="AW238" s="31" t="s">
        <v>793</v>
      </c>
      <c r="AX238" s="31"/>
      <c r="AY238" s="31" t="s">
        <v>793</v>
      </c>
      <c r="AZ238" s="31"/>
      <c r="BA238" s="31" t="s">
        <v>793</v>
      </c>
      <c r="BB238" s="31" t="s">
        <v>793</v>
      </c>
      <c r="BC238" s="31" t="s">
        <v>793</v>
      </c>
      <c r="BD238" s="31" t="s">
        <v>793</v>
      </c>
      <c r="BE238" s="31"/>
      <c r="BF238" s="31" t="s">
        <v>793</v>
      </c>
      <c r="BG238" s="31" t="s">
        <v>793</v>
      </c>
      <c r="BH238" s="31">
        <v>11</v>
      </c>
      <c r="BI238" s="31"/>
      <c r="BJ238" s="31" t="s">
        <v>793</v>
      </c>
      <c r="BK238" s="31" t="s">
        <v>793</v>
      </c>
      <c r="BL238" s="31"/>
      <c r="BM238" s="31" t="s">
        <v>793</v>
      </c>
      <c r="BN238" s="3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</row>
    <row r="239" spans="1:86">
      <c r="A239" s="12" t="s">
        <v>852</v>
      </c>
      <c r="B239" s="3"/>
      <c r="C239" s="18">
        <v>9857060789</v>
      </c>
      <c r="D239" s="12"/>
      <c r="E239" s="12"/>
      <c r="F239" s="12"/>
      <c r="G239" s="12"/>
      <c r="H239" s="12"/>
      <c r="I239" s="12"/>
      <c r="J239" s="12">
        <v>12500</v>
      </c>
      <c r="K239" s="12"/>
      <c r="L239" s="12"/>
      <c r="M239" s="12"/>
      <c r="N239" s="12"/>
      <c r="O239" s="12"/>
      <c r="P239" s="12"/>
      <c r="Q239" s="12"/>
      <c r="R239" s="23">
        <f>SUM(D239:Q239)</f>
        <v>12500</v>
      </c>
      <c r="S239" s="12"/>
      <c r="T239" s="23">
        <f>R239-S239</f>
        <v>12500</v>
      </c>
      <c r="U239" s="31"/>
      <c r="V239" s="31"/>
      <c r="W239" s="31"/>
      <c r="X239" s="33"/>
      <c r="Y239" s="14"/>
      <c r="Z239" s="12"/>
      <c r="AA239" s="12"/>
      <c r="AB239" s="53"/>
      <c r="AC239" s="34"/>
      <c r="AD239" s="34"/>
      <c r="AE239" s="34"/>
      <c r="AF239" s="31"/>
      <c r="AG239" s="31"/>
      <c r="AH239" s="34"/>
      <c r="AI239" s="34"/>
      <c r="AJ239" s="34"/>
      <c r="AK239" s="34"/>
      <c r="AL239" s="34"/>
      <c r="AM239" s="34"/>
      <c r="AN239" s="34"/>
      <c r="AO239" s="34"/>
      <c r="AP239" s="31"/>
      <c r="AQ239" s="31"/>
      <c r="AR239" s="31"/>
      <c r="AS239" s="34"/>
      <c r="AT239" s="34"/>
      <c r="AU239" s="34"/>
      <c r="AV239" s="31">
        <v>31</v>
      </c>
      <c r="AW239" s="31"/>
      <c r="AX239" s="31"/>
      <c r="AY239" s="31"/>
      <c r="AZ239" s="34">
        <v>10</v>
      </c>
      <c r="BA239" s="34"/>
      <c r="BB239" s="34"/>
      <c r="BC239" s="34"/>
      <c r="BD239" s="34"/>
      <c r="BE239" s="34"/>
      <c r="BF239" s="34"/>
      <c r="BG239" s="34"/>
      <c r="BH239" s="34"/>
      <c r="BI239" s="31">
        <v>12</v>
      </c>
      <c r="BJ239" s="31"/>
      <c r="BK239" s="34">
        <v>15</v>
      </c>
      <c r="BL239" s="34"/>
      <c r="BM239" s="34"/>
      <c r="BN239" s="34" t="s">
        <v>4</v>
      </c>
    </row>
    <row r="240" spans="1:86" ht="18.75">
      <c r="A240" s="87" t="s">
        <v>232</v>
      </c>
      <c r="B240" s="88"/>
      <c r="C240" s="88" t="s">
        <v>40</v>
      </c>
      <c r="D240" s="77">
        <v>31000</v>
      </c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23">
        <f>SUM(D240:Q240)</f>
        <v>31000</v>
      </c>
      <c r="S240" s="12"/>
      <c r="T240" s="23">
        <f>R240-S240</f>
        <v>31000</v>
      </c>
      <c r="U240" s="31"/>
      <c r="V240" s="31"/>
      <c r="W240" s="31">
        <v>10</v>
      </c>
      <c r="X240" s="33"/>
      <c r="Y240" s="33"/>
      <c r="Z240" s="33"/>
      <c r="AA240" s="33"/>
      <c r="AB240" s="33"/>
      <c r="AC240" s="33"/>
      <c r="AD240" s="12">
        <v>15</v>
      </c>
      <c r="AE240" s="12"/>
      <c r="AF240" s="12"/>
      <c r="AG240" s="12"/>
      <c r="AH240" s="12"/>
      <c r="AI240" s="31" t="s">
        <v>793</v>
      </c>
      <c r="AJ240" s="31"/>
      <c r="AK240" s="31" t="s">
        <v>796</v>
      </c>
      <c r="AL240" s="34">
        <v>25</v>
      </c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1">
        <v>8</v>
      </c>
      <c r="AZ240" s="34">
        <v>8</v>
      </c>
      <c r="BA240" s="34"/>
      <c r="BB240" s="34"/>
      <c r="BC240" s="34"/>
      <c r="BD240" s="34"/>
      <c r="BE240" s="34"/>
      <c r="BF240" s="34"/>
      <c r="BG240" s="34">
        <v>15</v>
      </c>
      <c r="BH240" s="34"/>
      <c r="BI240" s="34"/>
      <c r="BJ240" s="34"/>
      <c r="BK240" s="34"/>
      <c r="BL240" s="34"/>
      <c r="BM240" s="34"/>
      <c r="BN240" s="31" t="s">
        <v>4</v>
      </c>
    </row>
    <row r="241" spans="1:86">
      <c r="A241" s="12" t="s">
        <v>236</v>
      </c>
      <c r="B241" s="18"/>
      <c r="C241" s="18">
        <v>9857067511</v>
      </c>
      <c r="D241" s="12">
        <v>4500</v>
      </c>
      <c r="E241" s="12"/>
      <c r="F241" s="12"/>
      <c r="G241" s="12"/>
      <c r="H241" s="12"/>
      <c r="I241" s="12">
        <v>13250</v>
      </c>
      <c r="J241" s="12"/>
      <c r="K241" s="12"/>
      <c r="L241" s="12"/>
      <c r="M241" s="12"/>
      <c r="N241" s="12"/>
      <c r="O241" s="12"/>
      <c r="P241" s="12"/>
      <c r="Q241" s="12"/>
      <c r="R241" s="23">
        <f>SUM(D241:Q241)</f>
        <v>17750</v>
      </c>
      <c r="S241" s="12"/>
      <c r="T241" s="12">
        <f>R241-S241</f>
        <v>17750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1"/>
      <c r="AP241" s="31"/>
      <c r="AQ241" s="31"/>
      <c r="AR241" s="31"/>
      <c r="AS241" s="31"/>
      <c r="AT241" s="31"/>
      <c r="AU241" s="34">
        <v>31</v>
      </c>
      <c r="AV241" s="34"/>
      <c r="AW241" s="34"/>
      <c r="AX241" s="34"/>
      <c r="AY241" s="34"/>
      <c r="AZ241" s="34">
        <v>5</v>
      </c>
      <c r="BA241" s="34"/>
      <c r="BB241" s="34"/>
      <c r="BC241" s="34"/>
      <c r="BD241" s="34">
        <v>9</v>
      </c>
      <c r="BE241" s="34"/>
      <c r="BF241" s="34"/>
      <c r="BG241" s="34"/>
      <c r="BH241" s="34">
        <v>14</v>
      </c>
      <c r="BI241" s="34"/>
      <c r="BJ241" s="34"/>
      <c r="BK241" s="34"/>
      <c r="BL241" s="34"/>
      <c r="BM241" s="34">
        <v>15</v>
      </c>
      <c r="BN241" s="31"/>
    </row>
    <row r="242" spans="1:86" ht="18.75">
      <c r="A242" s="77" t="s">
        <v>233</v>
      </c>
      <c r="B242" s="78"/>
      <c r="C242" s="78">
        <v>9857023063</v>
      </c>
      <c r="D242" s="77">
        <v>134000</v>
      </c>
      <c r="E242" s="12"/>
      <c r="F242" s="12"/>
      <c r="G242" s="12"/>
      <c r="H242" s="12"/>
      <c r="I242" s="12"/>
      <c r="J242" s="12"/>
      <c r="K242" s="12"/>
      <c r="L242" s="12">
        <v>85000</v>
      </c>
      <c r="M242" s="12"/>
      <c r="N242" s="12"/>
      <c r="O242" s="12"/>
      <c r="P242" s="12"/>
      <c r="Q242" s="12"/>
      <c r="R242" s="23">
        <f>SUM(D242:Q242)</f>
        <v>219000</v>
      </c>
      <c r="S242" s="12">
        <f>AU242</f>
        <v>140000</v>
      </c>
      <c r="T242" s="12">
        <f>R242-S242</f>
        <v>79000</v>
      </c>
      <c r="U242" s="31"/>
      <c r="V242" s="31"/>
      <c r="W242" s="31">
        <v>5</v>
      </c>
      <c r="X242" s="33"/>
      <c r="Y242" s="14">
        <v>8</v>
      </c>
      <c r="Z242" s="12"/>
      <c r="AA242" s="12"/>
      <c r="AB242" s="53" t="s">
        <v>827</v>
      </c>
      <c r="AC242" s="34"/>
      <c r="AD242" s="34"/>
      <c r="AE242" s="34"/>
      <c r="AF242" s="31">
        <v>19</v>
      </c>
      <c r="AG242" s="31"/>
      <c r="AH242" s="34"/>
      <c r="AI242" s="34"/>
      <c r="AJ242" s="34"/>
      <c r="AK242" s="34"/>
      <c r="AL242" s="34"/>
      <c r="AM242" s="34">
        <v>22</v>
      </c>
      <c r="AN242" s="34"/>
      <c r="AO242" s="34"/>
      <c r="AP242" s="31">
        <v>26</v>
      </c>
      <c r="AQ242" s="31"/>
      <c r="AR242" s="31"/>
      <c r="AS242" s="31"/>
      <c r="AT242" s="31"/>
      <c r="AU242" s="1">
        <v>140000</v>
      </c>
      <c r="AV242" s="31"/>
      <c r="AW242" s="31"/>
      <c r="AX242" s="31"/>
      <c r="AY242" s="31"/>
      <c r="AZ242" s="34">
        <v>10</v>
      </c>
      <c r="BA242" s="34"/>
      <c r="BB242" s="34"/>
      <c r="BC242" s="34"/>
      <c r="BD242" s="34"/>
      <c r="BE242" s="34"/>
      <c r="BF242" s="34"/>
      <c r="BG242" s="34"/>
      <c r="BH242" s="34"/>
      <c r="BI242" s="31"/>
      <c r="BJ242" s="31"/>
      <c r="BK242" s="31"/>
      <c r="BL242" s="34"/>
      <c r="BM242" s="34">
        <v>20</v>
      </c>
      <c r="BN242" s="34"/>
      <c r="BO242" s="34"/>
      <c r="BP242" s="34"/>
      <c r="BQ242" s="34"/>
      <c r="BR242" s="34"/>
      <c r="BS242" s="31" t="s">
        <v>4</v>
      </c>
    </row>
    <row r="243" spans="1:86" s="62" customFormat="1" ht="18.75">
      <c r="A243" s="77" t="s">
        <v>6</v>
      </c>
      <c r="B243" s="78"/>
      <c r="C243" s="78">
        <v>9857023390</v>
      </c>
      <c r="D243" s="77">
        <v>181000</v>
      </c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75000</v>
      </c>
      <c r="Q243" s="12"/>
      <c r="R243" s="23">
        <f>SUM(D243:Q243)</f>
        <v>256000</v>
      </c>
      <c r="S243" s="12"/>
      <c r="T243" s="23">
        <f>R243-S243</f>
        <v>256000</v>
      </c>
      <c r="U243" s="31"/>
      <c r="V243" s="31"/>
      <c r="W243" s="31">
        <v>10</v>
      </c>
      <c r="X243" s="33"/>
      <c r="Y243" s="33"/>
      <c r="Z243" s="33"/>
      <c r="AA243" s="33"/>
      <c r="AB243" s="34"/>
      <c r="AC243" s="34"/>
      <c r="AD243" s="12">
        <v>13</v>
      </c>
      <c r="AE243" s="12"/>
      <c r="AF243" s="12"/>
      <c r="AG243" s="31">
        <v>20</v>
      </c>
      <c r="AH243" s="34"/>
      <c r="AI243" s="34"/>
      <c r="AJ243" s="34"/>
      <c r="AK243" s="34"/>
      <c r="AL243" s="34"/>
      <c r="AM243" s="34"/>
      <c r="AN243" s="34">
        <v>23</v>
      </c>
      <c r="AO243" s="34"/>
      <c r="AP243" s="34"/>
      <c r="AQ243" s="31"/>
      <c r="AR243" s="31">
        <v>28</v>
      </c>
      <c r="AS243" s="34"/>
      <c r="AT243" s="34"/>
      <c r="AU243" s="34"/>
      <c r="AV243" s="31"/>
      <c r="AW243" s="31"/>
      <c r="AX243" s="31"/>
      <c r="AY243" s="31"/>
      <c r="AZ243" s="34">
        <v>3</v>
      </c>
      <c r="BA243" s="34"/>
      <c r="BB243" s="34">
        <v>6</v>
      </c>
      <c r="BC243" s="34"/>
      <c r="BD243" s="34"/>
      <c r="BE243" s="34" t="s">
        <v>4</v>
      </c>
      <c r="BF243" s="34">
        <v>10</v>
      </c>
      <c r="BG243" s="34"/>
      <c r="BH243" s="34"/>
      <c r="BI243" s="31">
        <v>16</v>
      </c>
      <c r="BJ243" s="31"/>
      <c r="BK243" s="31"/>
      <c r="BL243" s="34"/>
      <c r="BM243" s="34"/>
      <c r="BN243" s="34"/>
      <c r="BO243" s="31" t="s">
        <v>4</v>
      </c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21"/>
      <c r="CF243" s="21"/>
      <c r="CG243" s="21"/>
      <c r="CH243" s="21"/>
    </row>
    <row r="244" spans="1:86" s="62" customFormat="1" ht="15.75" customHeight="1">
      <c r="A244" s="77" t="s">
        <v>41</v>
      </c>
      <c r="B244" s="78"/>
      <c r="C244" s="78">
        <v>9856020211</v>
      </c>
      <c r="D244" s="77">
        <v>-1198</v>
      </c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23">
        <f>SUM(D244:Q244)</f>
        <v>-1198</v>
      </c>
      <c r="S244" s="12"/>
      <c r="T244" s="23">
        <f>R244-S244</f>
        <v>-1198</v>
      </c>
      <c r="U244" s="31"/>
      <c r="V244" s="31"/>
      <c r="W244" s="31">
        <v>7</v>
      </c>
      <c r="X244" s="33"/>
      <c r="Y244" s="33"/>
      <c r="Z244" s="33"/>
      <c r="AA244" s="12">
        <v>11</v>
      </c>
      <c r="AB244" s="12"/>
      <c r="AC244" s="12"/>
      <c r="AD244" s="12"/>
      <c r="AE244" s="34">
        <v>18</v>
      </c>
      <c r="AF244" s="34"/>
      <c r="AG244" s="34"/>
      <c r="AH244" s="34"/>
      <c r="AI244" s="34"/>
      <c r="AJ244" s="34"/>
      <c r="AK244" s="34"/>
      <c r="AL244" s="34">
        <v>22</v>
      </c>
      <c r="AM244" s="34"/>
      <c r="AN244" s="34"/>
      <c r="AO244" s="34"/>
      <c r="AP244" s="31">
        <v>26</v>
      </c>
      <c r="AQ244" s="31"/>
      <c r="AR244" s="31"/>
      <c r="AS244" s="31"/>
      <c r="AT244" s="31"/>
      <c r="AU244" s="34">
        <v>30</v>
      </c>
      <c r="AV244" s="34"/>
      <c r="AW244" s="34"/>
      <c r="AX244" s="34"/>
      <c r="AY244" s="31"/>
      <c r="AZ244" s="34">
        <v>5</v>
      </c>
      <c r="BA244" s="34"/>
      <c r="BB244" s="34"/>
      <c r="BC244" s="34"/>
      <c r="BD244" s="34">
        <v>8</v>
      </c>
      <c r="BE244" s="34"/>
      <c r="BF244" s="34"/>
      <c r="BG244" s="34">
        <v>12</v>
      </c>
      <c r="BH244" s="34"/>
      <c r="BI244" s="34"/>
      <c r="BJ244" s="34"/>
      <c r="BK244" s="31"/>
      <c r="BL244" s="31"/>
      <c r="BM244" s="31"/>
      <c r="BN244" s="3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</row>
    <row r="245" spans="1:86" s="62" customFormat="1" ht="18.75">
      <c r="A245" s="77" t="s">
        <v>46</v>
      </c>
      <c r="B245" s="78"/>
      <c r="C245" s="78">
        <v>9857058123</v>
      </c>
      <c r="D245" s="77">
        <v>25818</v>
      </c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23">
        <f>SUM(D245:Q245)</f>
        <v>25818</v>
      </c>
      <c r="S245" s="12"/>
      <c r="T245" s="23">
        <f>R245-S245</f>
        <v>25818</v>
      </c>
      <c r="U245" s="31"/>
      <c r="V245" s="31"/>
      <c r="W245" s="31" t="s">
        <v>796</v>
      </c>
      <c r="X245" s="31" t="s">
        <v>796</v>
      </c>
      <c r="Y245" s="31" t="s">
        <v>795</v>
      </c>
      <c r="Z245" s="31" t="s">
        <v>795</v>
      </c>
      <c r="AA245" s="31" t="s">
        <v>795</v>
      </c>
      <c r="AB245" s="34" t="s">
        <v>792</v>
      </c>
      <c r="AC245" s="34"/>
      <c r="AD245" s="34"/>
      <c r="AE245" s="34"/>
      <c r="AF245" s="34"/>
      <c r="AG245" s="34"/>
      <c r="AH245" s="34"/>
      <c r="AI245" s="31" t="s">
        <v>796</v>
      </c>
      <c r="AJ245" s="31"/>
      <c r="AK245" s="31" t="s">
        <v>796</v>
      </c>
      <c r="AL245" s="31" t="s">
        <v>796</v>
      </c>
      <c r="AM245" s="31" t="s">
        <v>795</v>
      </c>
      <c r="AN245" s="31" t="s">
        <v>796</v>
      </c>
      <c r="AO245" s="31" t="s">
        <v>796</v>
      </c>
      <c r="AP245" s="31" t="s">
        <v>796</v>
      </c>
      <c r="AQ245" s="31"/>
      <c r="AR245" s="31" t="s">
        <v>796</v>
      </c>
      <c r="AS245" s="31" t="s">
        <v>796</v>
      </c>
      <c r="AT245" s="31" t="s">
        <v>796</v>
      </c>
      <c r="AU245" s="31" t="s">
        <v>796</v>
      </c>
      <c r="AV245" s="31" t="s">
        <v>793</v>
      </c>
      <c r="AW245" s="31" t="s">
        <v>796</v>
      </c>
      <c r="AX245" s="31"/>
      <c r="AY245" s="31" t="s">
        <v>796</v>
      </c>
      <c r="AZ245" s="31"/>
      <c r="BA245" s="31" t="s">
        <v>796</v>
      </c>
      <c r="BB245" s="31" t="s">
        <v>796</v>
      </c>
      <c r="BC245" s="31" t="s">
        <v>796</v>
      </c>
      <c r="BD245" s="31" t="s">
        <v>796</v>
      </c>
      <c r="BE245" s="31"/>
      <c r="BF245" s="34" t="s">
        <v>796</v>
      </c>
      <c r="BG245" s="34"/>
      <c r="BH245" s="34"/>
      <c r="BI245" s="34"/>
      <c r="BJ245" s="34"/>
      <c r="BK245" s="34"/>
      <c r="BL245" s="34"/>
      <c r="BM245" s="34"/>
      <c r="BN245" s="31" t="s">
        <v>4</v>
      </c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</row>
    <row r="246" spans="1:86" ht="18.75">
      <c r="A246" s="87" t="s">
        <v>234</v>
      </c>
      <c r="B246" s="88"/>
      <c r="C246" s="88">
        <v>9857033308</v>
      </c>
      <c r="D246" s="77">
        <v>434092</v>
      </c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23">
        <f>SUM(D246:Q246)</f>
        <v>434092</v>
      </c>
      <c r="S246" s="12">
        <f>AW246</f>
        <v>50000</v>
      </c>
      <c r="T246" s="23">
        <f>R246-S246</f>
        <v>384092</v>
      </c>
      <c r="U246" s="12">
        <v>3</v>
      </c>
      <c r="V246" s="34"/>
      <c r="W246" s="31">
        <v>10</v>
      </c>
      <c r="X246" s="34"/>
      <c r="Y246" s="34"/>
      <c r="Z246" s="34"/>
      <c r="AA246" s="34"/>
      <c r="AB246" s="34"/>
      <c r="AC246" s="34"/>
      <c r="AD246" s="12">
        <v>12</v>
      </c>
      <c r="AE246" s="12"/>
      <c r="AF246" s="34">
        <v>17</v>
      </c>
      <c r="AG246" s="34"/>
      <c r="AH246" s="34"/>
      <c r="AI246" s="34"/>
      <c r="AJ246" s="34"/>
      <c r="AK246" s="34">
        <v>25</v>
      </c>
      <c r="AL246" s="34"/>
      <c r="AM246" s="34"/>
      <c r="AN246" s="34"/>
      <c r="AO246" s="34"/>
      <c r="AP246" s="34"/>
      <c r="AQ246" s="34"/>
      <c r="AR246" s="34"/>
      <c r="AS246" s="31"/>
      <c r="AT246" s="31"/>
      <c r="AU246" s="34">
        <v>29</v>
      </c>
      <c r="AV246" s="34"/>
      <c r="AW246" s="62">
        <v>50000</v>
      </c>
      <c r="AX246" s="62"/>
      <c r="AY246" s="31"/>
      <c r="AZ246" s="43">
        <v>10</v>
      </c>
      <c r="BA246" s="43"/>
      <c r="BB246" s="43"/>
      <c r="BC246" s="43"/>
      <c r="BD246" s="43"/>
      <c r="BE246" s="43"/>
      <c r="BF246" s="43"/>
      <c r="BG246" s="43"/>
      <c r="BH246" s="43"/>
      <c r="BI246" s="31">
        <v>20</v>
      </c>
      <c r="BJ246" s="31"/>
      <c r="BK246" s="31"/>
      <c r="BL246" s="34"/>
      <c r="BM246" s="34"/>
      <c r="BN246" s="34"/>
      <c r="BO246" s="34"/>
      <c r="BP246" s="34"/>
      <c r="BQ246" s="34"/>
      <c r="BR246" s="34"/>
      <c r="BS246" s="31" t="s">
        <v>4</v>
      </c>
    </row>
    <row r="247" spans="1:86">
      <c r="A247" s="19" t="s">
        <v>235</v>
      </c>
      <c r="B247" s="5"/>
      <c r="C247" s="48" t="s">
        <v>52</v>
      </c>
      <c r="D247" s="8">
        <v>167000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23">
        <f>SUM(D247:Q247)</f>
        <v>167000</v>
      </c>
      <c r="S247" s="12"/>
      <c r="T247" s="23">
        <f>R247-S247</f>
        <v>167000</v>
      </c>
      <c r="U247" s="14"/>
      <c r="V247" s="14"/>
      <c r="W247" s="14" t="s">
        <v>793</v>
      </c>
      <c r="X247" s="14" t="s">
        <v>793</v>
      </c>
      <c r="Y247" s="14" t="s">
        <v>793</v>
      </c>
      <c r="Z247" s="14" t="s">
        <v>793</v>
      </c>
      <c r="AA247" s="14" t="s">
        <v>793</v>
      </c>
      <c r="AB247" s="14" t="s">
        <v>795</v>
      </c>
      <c r="AC247" s="14"/>
      <c r="AD247" s="14"/>
      <c r="AE247" s="31" t="s">
        <v>793</v>
      </c>
      <c r="AF247" s="31" t="s">
        <v>793</v>
      </c>
      <c r="AG247" s="31" t="s">
        <v>793</v>
      </c>
      <c r="AH247" s="31" t="s">
        <v>793</v>
      </c>
      <c r="AI247" s="31" t="s">
        <v>793</v>
      </c>
      <c r="AJ247" s="31"/>
      <c r="AK247" s="31" t="s">
        <v>795</v>
      </c>
      <c r="AL247" s="31" t="s">
        <v>795</v>
      </c>
      <c r="AM247" s="31" t="s">
        <v>796</v>
      </c>
      <c r="AN247" s="31" t="s">
        <v>793</v>
      </c>
      <c r="AO247" s="31" t="s">
        <v>793</v>
      </c>
      <c r="AP247" s="31" t="s">
        <v>793</v>
      </c>
      <c r="AQ247" s="31"/>
      <c r="AR247" s="31" t="s">
        <v>793</v>
      </c>
      <c r="AS247" s="31" t="s">
        <v>793</v>
      </c>
      <c r="AT247" s="31" t="s">
        <v>793</v>
      </c>
      <c r="AU247" s="31" t="s">
        <v>793</v>
      </c>
      <c r="AV247" s="31" t="s">
        <v>796</v>
      </c>
      <c r="AW247" s="31" t="s">
        <v>793</v>
      </c>
      <c r="AX247" s="31"/>
      <c r="AY247" s="31" t="s">
        <v>793</v>
      </c>
      <c r="AZ247" s="31"/>
      <c r="BA247" s="69" t="s">
        <v>795</v>
      </c>
      <c r="BB247" s="69" t="s">
        <v>793</v>
      </c>
      <c r="BC247" s="69" t="s">
        <v>793</v>
      </c>
      <c r="BD247" s="69" t="s">
        <v>793</v>
      </c>
      <c r="BE247" s="69"/>
      <c r="BF247" s="69" t="s">
        <v>793</v>
      </c>
      <c r="BG247" s="69" t="s">
        <v>793</v>
      </c>
      <c r="BH247" s="69" t="s">
        <v>793</v>
      </c>
      <c r="BI247" s="69" t="s">
        <v>793</v>
      </c>
      <c r="BJ247" s="69" t="s">
        <v>793</v>
      </c>
      <c r="BK247" s="69" t="s">
        <v>796</v>
      </c>
      <c r="BL247" s="69"/>
      <c r="BM247" s="69" t="s">
        <v>793</v>
      </c>
      <c r="BN247" s="69"/>
      <c r="BO247" s="35"/>
      <c r="BP247" s="35"/>
      <c r="BQ247" s="35"/>
    </row>
    <row r="248" spans="1:86" s="44" customFormat="1">
      <c r="A248" s="12" t="s">
        <v>47</v>
      </c>
      <c r="B248" s="3"/>
      <c r="C248" s="18" t="s">
        <v>48</v>
      </c>
      <c r="D248" s="12">
        <v>14000</v>
      </c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23">
        <f>SUM(D248:Q248)</f>
        <v>14000</v>
      </c>
      <c r="S248" s="12"/>
      <c r="T248" s="23">
        <f>R248-S248</f>
        <v>14000</v>
      </c>
      <c r="U248" s="31"/>
      <c r="V248" s="31"/>
      <c r="W248" s="31" t="s">
        <v>796</v>
      </c>
      <c r="X248" s="31" t="s">
        <v>796</v>
      </c>
      <c r="Y248" s="31" t="s">
        <v>796</v>
      </c>
      <c r="Z248" s="31" t="s">
        <v>796</v>
      </c>
      <c r="AA248" s="31" t="s">
        <v>796</v>
      </c>
      <c r="AB248" s="31" t="s">
        <v>796</v>
      </c>
      <c r="AC248" s="31"/>
      <c r="AD248" s="14"/>
      <c r="AE248" s="34"/>
      <c r="AF248" s="34"/>
      <c r="AG248" s="34"/>
      <c r="AH248" s="34"/>
      <c r="AI248" s="31"/>
      <c r="AJ248" s="31"/>
      <c r="AK248" s="31">
        <v>22</v>
      </c>
      <c r="AL248" s="34"/>
      <c r="AM248" s="34"/>
      <c r="AN248" s="34"/>
      <c r="AO248" s="34"/>
      <c r="AP248" s="31"/>
      <c r="AQ248" s="31"/>
      <c r="AR248" s="31"/>
      <c r="AS248" s="31"/>
      <c r="AT248" s="31"/>
      <c r="AU248" s="34"/>
      <c r="AV248" s="34"/>
      <c r="AW248" s="34"/>
      <c r="AX248" s="34"/>
      <c r="AY248" s="31">
        <v>3</v>
      </c>
      <c r="AZ248" s="34">
        <v>3</v>
      </c>
      <c r="BA248" s="34"/>
      <c r="BB248" s="31" t="s">
        <v>796</v>
      </c>
      <c r="BC248" s="31" t="s">
        <v>796</v>
      </c>
      <c r="BD248" s="31" t="s">
        <v>796</v>
      </c>
      <c r="BE248" s="31"/>
      <c r="BF248" s="31" t="s">
        <v>796</v>
      </c>
      <c r="BG248" s="31" t="s">
        <v>796</v>
      </c>
      <c r="BH248" s="31" t="s">
        <v>796</v>
      </c>
      <c r="BI248" s="31" t="s">
        <v>796</v>
      </c>
      <c r="BJ248" s="31" t="s">
        <v>796</v>
      </c>
      <c r="BK248" s="31" t="s">
        <v>796</v>
      </c>
      <c r="BL248" s="31"/>
      <c r="BM248" s="31" t="s">
        <v>796</v>
      </c>
      <c r="BN248" s="31"/>
      <c r="BO248" s="35"/>
      <c r="BP248" s="35"/>
      <c r="BQ248" s="35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</row>
    <row r="249" spans="1:86" s="44" customFormat="1">
      <c r="A249" s="12" t="s">
        <v>276</v>
      </c>
      <c r="B249" s="3"/>
      <c r="C249" s="18">
        <v>9847311929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>
        <v>8500</v>
      </c>
      <c r="O249" s="12"/>
      <c r="P249" s="12"/>
      <c r="Q249" s="12"/>
      <c r="R249" s="23">
        <f>SUM(D249:Q249)</f>
        <v>8500</v>
      </c>
      <c r="S249" s="12"/>
      <c r="T249" s="23">
        <f>R249-S249</f>
        <v>8500</v>
      </c>
      <c r="U249" s="31"/>
      <c r="V249" s="31"/>
      <c r="W249" s="31"/>
      <c r="X249" s="31"/>
      <c r="Y249" s="31"/>
      <c r="Z249" s="31"/>
      <c r="AA249" s="31"/>
      <c r="AB249" s="31"/>
      <c r="AC249" s="31"/>
      <c r="AD249" s="14"/>
      <c r="AE249" s="34"/>
      <c r="AF249" s="34"/>
      <c r="AG249" s="34"/>
      <c r="AH249" s="34"/>
      <c r="AI249" s="31"/>
      <c r="AJ249" s="31"/>
      <c r="AK249" s="31"/>
      <c r="AL249" s="34"/>
      <c r="AM249" s="34"/>
      <c r="AN249" s="34"/>
      <c r="AO249" s="34"/>
      <c r="AP249" s="31"/>
      <c r="AQ249" s="31"/>
      <c r="AR249" s="31"/>
      <c r="AS249" s="31"/>
      <c r="AT249" s="31"/>
      <c r="AU249" s="34"/>
      <c r="AV249" s="34"/>
      <c r="AW249" s="34"/>
      <c r="AX249" s="34"/>
      <c r="AY249" s="31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1" t="s">
        <v>4</v>
      </c>
      <c r="BO249" s="35"/>
      <c r="BP249" s="35"/>
      <c r="BQ249" s="35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</row>
    <row r="250" spans="1:86">
      <c r="A250" s="17" t="s">
        <v>178</v>
      </c>
      <c r="B250" s="54"/>
      <c r="C250" s="75">
        <v>9857031025</v>
      </c>
      <c r="D250" s="76"/>
      <c r="E250" s="64">
        <v>77000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23">
        <f>SUM(D250:Q250)</f>
        <v>77000</v>
      </c>
      <c r="S250" s="17">
        <f>W250</f>
        <v>38500</v>
      </c>
      <c r="T250" s="23">
        <f>R250-S250</f>
        <v>38500</v>
      </c>
      <c r="U250" s="17"/>
      <c r="V250" s="43"/>
      <c r="W250" s="45">
        <v>38500</v>
      </c>
      <c r="X250" s="47"/>
      <c r="Y250" s="47"/>
      <c r="Z250" s="47"/>
      <c r="AA250" s="47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 t="s">
        <v>958</v>
      </c>
      <c r="BA250" s="31" t="s">
        <v>800</v>
      </c>
      <c r="BB250" s="31" t="s">
        <v>800</v>
      </c>
      <c r="BC250" s="31" t="s">
        <v>800</v>
      </c>
      <c r="BD250" s="31" t="s">
        <v>800</v>
      </c>
      <c r="BE250" s="31"/>
      <c r="BF250" s="31" t="s">
        <v>800</v>
      </c>
      <c r="BG250" s="31" t="s">
        <v>800</v>
      </c>
      <c r="BH250" s="31" t="s">
        <v>800</v>
      </c>
      <c r="BI250" s="31" t="s">
        <v>800</v>
      </c>
      <c r="BJ250" s="31" t="s">
        <v>800</v>
      </c>
      <c r="BK250" s="31" t="s">
        <v>800</v>
      </c>
      <c r="BL250" s="31"/>
      <c r="BM250" s="31" t="s">
        <v>800</v>
      </c>
      <c r="BN250" s="31"/>
    </row>
    <row r="251" spans="1:86">
      <c r="A251" s="12" t="s">
        <v>895</v>
      </c>
      <c r="B251" s="3"/>
      <c r="C251" s="24">
        <v>9857038444</v>
      </c>
      <c r="D251" s="8"/>
      <c r="E251" s="12"/>
      <c r="F251" s="12"/>
      <c r="G251" s="12"/>
      <c r="H251" s="12"/>
      <c r="I251" s="12"/>
      <c r="J251" s="12">
        <v>104000</v>
      </c>
      <c r="K251" s="12"/>
      <c r="L251" s="12"/>
      <c r="M251" s="12"/>
      <c r="N251" s="12"/>
      <c r="O251" s="12"/>
      <c r="P251" s="12"/>
      <c r="Q251" s="12"/>
      <c r="R251" s="23">
        <f>SUM(D251:Q251)</f>
        <v>104000</v>
      </c>
      <c r="S251" s="12"/>
      <c r="T251" s="23">
        <f>R251-S251</f>
        <v>104000</v>
      </c>
      <c r="U251" s="31"/>
      <c r="V251" s="31"/>
      <c r="W251" s="31"/>
      <c r="X251" s="31"/>
      <c r="Y251" s="31"/>
      <c r="Z251" s="31"/>
      <c r="AA251" s="31"/>
      <c r="AB251" s="31"/>
      <c r="AC251" s="31"/>
      <c r="AD251" s="14"/>
      <c r="AE251" s="34"/>
      <c r="AF251" s="34"/>
      <c r="AG251" s="34"/>
      <c r="AH251" s="34"/>
      <c r="AI251" s="31"/>
      <c r="AJ251" s="31"/>
      <c r="AK251" s="31"/>
      <c r="AL251" s="34"/>
      <c r="AM251" s="34"/>
      <c r="AN251" s="34"/>
      <c r="AO251" s="34"/>
      <c r="AP251" s="31"/>
      <c r="AQ251" s="31"/>
      <c r="AR251" s="31"/>
      <c r="AS251" s="34"/>
      <c r="AT251" s="34"/>
      <c r="AU251" s="34"/>
      <c r="AV251" s="34"/>
      <c r="AW251" s="34"/>
      <c r="AX251" s="34"/>
      <c r="AY251" s="34"/>
      <c r="AZ251" s="34">
        <v>10</v>
      </c>
      <c r="BA251" s="34"/>
      <c r="BB251" s="34"/>
      <c r="BC251" s="34"/>
      <c r="BD251" s="34"/>
      <c r="BE251" s="34"/>
      <c r="BF251" s="34"/>
      <c r="BG251" s="34"/>
      <c r="BH251" s="34"/>
      <c r="BI251" s="31" t="s">
        <v>796</v>
      </c>
      <c r="BJ251" s="31" t="s">
        <v>796</v>
      </c>
      <c r="BK251" s="34" t="s">
        <v>792</v>
      </c>
      <c r="BL251" s="34"/>
      <c r="BM251" s="34"/>
      <c r="BN251" s="34"/>
    </row>
    <row r="252" spans="1:86">
      <c r="A252" s="8" t="s">
        <v>3</v>
      </c>
      <c r="B252" s="24"/>
      <c r="C252" s="24">
        <v>9857031150</v>
      </c>
      <c r="D252" s="8">
        <v>1000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23">
        <f t="shared" ref="R196:R260" si="6">SUM(D252:Q252)</f>
        <v>1000</v>
      </c>
      <c r="S252" s="8"/>
      <c r="T252" s="8">
        <f t="shared" ref="T252:T260" si="7">R252-S252</f>
        <v>1000</v>
      </c>
      <c r="U252" s="14"/>
      <c r="V252" s="14"/>
      <c r="W252" s="14"/>
      <c r="X252" s="14"/>
      <c r="Y252" s="14"/>
      <c r="Z252" s="14"/>
      <c r="AA252" s="14"/>
      <c r="AB252" s="2"/>
      <c r="AC252" s="2"/>
      <c r="AD252" s="2"/>
    </row>
    <row r="253" spans="1:86">
      <c r="A253" s="15" t="s">
        <v>240</v>
      </c>
      <c r="B253" s="16"/>
      <c r="C253" s="16">
        <v>9857058838</v>
      </c>
      <c r="D253" s="8">
        <v>-2810</v>
      </c>
      <c r="E253" s="8"/>
      <c r="F253" s="8"/>
      <c r="G253" s="8"/>
      <c r="H253" s="8"/>
      <c r="I253" s="8"/>
      <c r="J253" s="8"/>
      <c r="K253" s="8"/>
      <c r="L253" s="8"/>
      <c r="M253" s="15"/>
      <c r="N253" s="15"/>
      <c r="O253" s="15"/>
      <c r="P253" s="15"/>
      <c r="Q253" s="15"/>
      <c r="R253" s="23">
        <f t="shared" si="6"/>
        <v>-2810</v>
      </c>
      <c r="S253" s="15"/>
      <c r="T253" s="15">
        <f t="shared" si="7"/>
        <v>-2810</v>
      </c>
    </row>
    <row r="254" spans="1:86">
      <c r="A254" s="4" t="s">
        <v>241</v>
      </c>
      <c r="B254" s="5"/>
      <c r="C254" s="5" t="s">
        <v>54</v>
      </c>
      <c r="D254" s="32">
        <v>223570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23">
        <f t="shared" si="6"/>
        <v>223570</v>
      </c>
      <c r="S254" s="6"/>
      <c r="T254" s="23">
        <f t="shared" si="7"/>
        <v>223570</v>
      </c>
      <c r="U254" s="31"/>
      <c r="V254" s="31"/>
      <c r="W254" s="31" t="s">
        <v>793</v>
      </c>
      <c r="X254" s="31" t="s">
        <v>793</v>
      </c>
      <c r="Y254" s="31" t="s">
        <v>793</v>
      </c>
      <c r="Z254" s="31" t="s">
        <v>793</v>
      </c>
      <c r="AA254" s="31" t="s">
        <v>793</v>
      </c>
      <c r="AB254" s="21" t="s">
        <v>812</v>
      </c>
      <c r="AC254" s="14"/>
      <c r="AD254" s="14"/>
      <c r="AE254" s="31" t="s">
        <v>793</v>
      </c>
      <c r="AF254" s="31" t="s">
        <v>793</v>
      </c>
      <c r="AG254" s="31" t="s">
        <v>793</v>
      </c>
      <c r="AH254" s="31" t="s">
        <v>793</v>
      </c>
      <c r="AI254" s="31" t="s">
        <v>793</v>
      </c>
      <c r="AJ254" s="31"/>
      <c r="AK254" s="31" t="s">
        <v>793</v>
      </c>
      <c r="AL254" s="31" t="s">
        <v>793</v>
      </c>
      <c r="AM254" s="31" t="s">
        <v>793</v>
      </c>
      <c r="AN254" s="31" t="s">
        <v>793</v>
      </c>
      <c r="AO254" s="31" t="s">
        <v>793</v>
      </c>
      <c r="AP254" s="31" t="s">
        <v>793</v>
      </c>
      <c r="AQ254" s="31"/>
      <c r="AR254" s="31"/>
      <c r="AS254" s="31" t="s">
        <v>793</v>
      </c>
      <c r="AT254" s="31" t="s">
        <v>793</v>
      </c>
      <c r="AU254" s="31" t="s">
        <v>793</v>
      </c>
      <c r="AV254" s="31" t="s">
        <v>793</v>
      </c>
      <c r="AW254" s="31" t="s">
        <v>793</v>
      </c>
      <c r="AX254" s="31"/>
      <c r="AY254" s="31" t="s">
        <v>793</v>
      </c>
      <c r="AZ254" s="31"/>
      <c r="BA254" s="46" t="s">
        <v>793</v>
      </c>
      <c r="BB254" s="31"/>
      <c r="BC254" s="31" t="s">
        <v>793</v>
      </c>
      <c r="BD254" s="31"/>
      <c r="BE254" s="31"/>
      <c r="BF254" s="31" t="s">
        <v>793</v>
      </c>
      <c r="BG254" s="31"/>
      <c r="BH254" s="31" t="s">
        <v>793</v>
      </c>
      <c r="BI254" s="31" t="s">
        <v>793</v>
      </c>
      <c r="BJ254" s="31" t="s">
        <v>793</v>
      </c>
      <c r="BK254" s="31" t="s">
        <v>793</v>
      </c>
      <c r="BL254" s="31"/>
      <c r="BM254" s="31" t="s">
        <v>793</v>
      </c>
      <c r="BN254" s="31"/>
    </row>
    <row r="255" spans="1:86" ht="18.75">
      <c r="A255" s="87" t="s">
        <v>242</v>
      </c>
      <c r="B255" s="88"/>
      <c r="C255" s="88" t="s">
        <v>243</v>
      </c>
      <c r="D255" s="77">
        <v>179000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23">
        <f t="shared" si="6"/>
        <v>179000</v>
      </c>
      <c r="S255" s="6"/>
      <c r="T255" s="12">
        <f t="shared" si="7"/>
        <v>179000</v>
      </c>
      <c r="U255" s="31"/>
      <c r="V255" s="31"/>
      <c r="W255" s="31" t="s">
        <v>796</v>
      </c>
      <c r="X255" s="31" t="s">
        <v>796</v>
      </c>
      <c r="Y255" s="31" t="s">
        <v>796</v>
      </c>
      <c r="Z255" s="31" t="s">
        <v>796</v>
      </c>
      <c r="AA255" s="31" t="s">
        <v>796</v>
      </c>
      <c r="AB255" s="21" t="s">
        <v>796</v>
      </c>
      <c r="AC255" s="14"/>
      <c r="AD255" s="14"/>
      <c r="AE255" s="31" t="s">
        <v>796</v>
      </c>
      <c r="AF255" s="31" t="s">
        <v>796</v>
      </c>
      <c r="AG255" s="31" t="s">
        <v>796</v>
      </c>
      <c r="AH255" s="31" t="s">
        <v>796</v>
      </c>
      <c r="AI255" s="31" t="s">
        <v>796</v>
      </c>
      <c r="AJ255" s="31"/>
      <c r="AK255" s="31" t="s">
        <v>796</v>
      </c>
      <c r="AL255" s="31" t="s">
        <v>796</v>
      </c>
      <c r="AM255" s="31" t="s">
        <v>796</v>
      </c>
      <c r="AN255" s="31" t="s">
        <v>796</v>
      </c>
      <c r="AO255" s="31" t="s">
        <v>796</v>
      </c>
      <c r="AP255" s="31" t="s">
        <v>796</v>
      </c>
      <c r="AQ255" s="31"/>
      <c r="AR255" s="31"/>
      <c r="AS255" s="31" t="s">
        <v>796</v>
      </c>
      <c r="AT255" s="31" t="s">
        <v>796</v>
      </c>
      <c r="AU255" s="31" t="s">
        <v>796</v>
      </c>
      <c r="AV255" s="31" t="s">
        <v>796</v>
      </c>
      <c r="AW255" s="31" t="s">
        <v>796</v>
      </c>
      <c r="AX255" s="31"/>
      <c r="AY255" s="31" t="s">
        <v>796</v>
      </c>
      <c r="AZ255" s="31"/>
      <c r="BA255" s="46" t="s">
        <v>796</v>
      </c>
      <c r="BB255" s="31"/>
      <c r="BC255" s="31" t="s">
        <v>796</v>
      </c>
      <c r="BD255" s="31"/>
      <c r="BE255" s="31"/>
      <c r="BF255" s="31" t="s">
        <v>796</v>
      </c>
      <c r="BG255" s="31"/>
      <c r="BH255" s="31" t="s">
        <v>796</v>
      </c>
      <c r="BI255" s="31" t="s">
        <v>796</v>
      </c>
      <c r="BJ255" s="31" t="s">
        <v>796</v>
      </c>
      <c r="BK255" s="31" t="s">
        <v>796</v>
      </c>
      <c r="BL255" s="31"/>
      <c r="BM255" s="31" t="s">
        <v>796</v>
      </c>
      <c r="BN255" s="31"/>
    </row>
    <row r="256" spans="1:86" ht="18.75">
      <c r="A256" s="87" t="s">
        <v>244</v>
      </c>
      <c r="B256" s="88"/>
      <c r="C256" s="88">
        <v>9857032611</v>
      </c>
      <c r="D256" s="77">
        <v>60000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23">
        <f t="shared" si="6"/>
        <v>60000</v>
      </c>
      <c r="S256" s="6"/>
      <c r="T256" s="12">
        <f t="shared" si="7"/>
        <v>60000</v>
      </c>
      <c r="U256" s="31"/>
      <c r="V256" s="31"/>
      <c r="W256" s="31" t="s">
        <v>796</v>
      </c>
      <c r="X256" s="31" t="s">
        <v>796</v>
      </c>
      <c r="Y256" s="31" t="s">
        <v>796</v>
      </c>
      <c r="Z256" s="31" t="s">
        <v>796</v>
      </c>
      <c r="AA256" s="31" t="s">
        <v>796</v>
      </c>
      <c r="AB256" s="21" t="s">
        <v>796</v>
      </c>
      <c r="AC256" s="14"/>
      <c r="AD256" s="14"/>
      <c r="AE256" s="31" t="s">
        <v>796</v>
      </c>
      <c r="AF256" s="31" t="s">
        <v>796</v>
      </c>
      <c r="AG256" s="31" t="s">
        <v>796</v>
      </c>
      <c r="AH256" s="31" t="s">
        <v>796</v>
      </c>
      <c r="AI256" s="31" t="s">
        <v>796</v>
      </c>
      <c r="AJ256" s="31"/>
      <c r="AK256" s="31" t="s">
        <v>796</v>
      </c>
      <c r="AL256" s="31" t="s">
        <v>796</v>
      </c>
      <c r="AM256" s="31" t="s">
        <v>796</v>
      </c>
      <c r="AN256" s="31" t="s">
        <v>796</v>
      </c>
      <c r="AO256" s="31" t="s">
        <v>796</v>
      </c>
      <c r="AP256" s="31" t="s">
        <v>796</v>
      </c>
      <c r="AQ256" s="31"/>
      <c r="AR256" s="31"/>
      <c r="AS256" s="31" t="s">
        <v>796</v>
      </c>
      <c r="AT256" s="31" t="s">
        <v>796</v>
      </c>
      <c r="AU256" s="31" t="s">
        <v>796</v>
      </c>
      <c r="AV256" s="31" t="s">
        <v>796</v>
      </c>
      <c r="AW256" s="31" t="s">
        <v>796</v>
      </c>
      <c r="AX256" s="31"/>
      <c r="AY256" s="31" t="s">
        <v>796</v>
      </c>
      <c r="AZ256" s="31"/>
      <c r="BA256" s="46" t="s">
        <v>796</v>
      </c>
      <c r="BB256" s="31"/>
      <c r="BC256" s="31" t="s">
        <v>796</v>
      </c>
      <c r="BD256" s="31"/>
      <c r="BE256" s="31"/>
      <c r="BF256" s="31" t="s">
        <v>796</v>
      </c>
      <c r="BG256" s="31"/>
      <c r="BH256" s="31" t="s">
        <v>796</v>
      </c>
      <c r="BI256" s="31" t="s">
        <v>796</v>
      </c>
      <c r="BJ256" s="31" t="s">
        <v>796</v>
      </c>
      <c r="BK256" s="31" t="s">
        <v>796</v>
      </c>
      <c r="BL256" s="31"/>
      <c r="BM256" s="31" t="s">
        <v>796</v>
      </c>
      <c r="BN256" s="31"/>
    </row>
    <row r="257" spans="1:66">
      <c r="A257" s="8" t="s">
        <v>245</v>
      </c>
      <c r="B257" s="3"/>
      <c r="C257" s="24">
        <v>9846507398</v>
      </c>
      <c r="D257" s="8">
        <v>-24500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23">
        <f t="shared" si="6"/>
        <v>-24500</v>
      </c>
      <c r="S257" s="8"/>
      <c r="T257" s="8">
        <f t="shared" si="7"/>
        <v>-24500</v>
      </c>
      <c r="U257" s="31"/>
      <c r="V257" s="31"/>
      <c r="W257" s="31"/>
      <c r="X257" s="31"/>
      <c r="Y257" s="31"/>
      <c r="Z257" s="31"/>
      <c r="AA257" s="31"/>
      <c r="AC257" s="14"/>
      <c r="AD257" s="14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46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 spans="1:66" ht="18.75">
      <c r="A258" s="77" t="s">
        <v>246</v>
      </c>
      <c r="B258" s="78"/>
      <c r="C258" s="78">
        <v>9857025832</v>
      </c>
      <c r="D258" s="77">
        <v>2000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23">
        <f t="shared" si="6"/>
        <v>2000</v>
      </c>
      <c r="S258" s="6"/>
      <c r="T258" s="12">
        <f t="shared" si="7"/>
        <v>2000</v>
      </c>
      <c r="U258" s="31"/>
      <c r="V258" s="31"/>
      <c r="W258" s="31" t="s">
        <v>796</v>
      </c>
      <c r="X258" s="31" t="s">
        <v>796</v>
      </c>
      <c r="Y258" s="31" t="s">
        <v>796</v>
      </c>
      <c r="Z258" s="31" t="s">
        <v>796</v>
      </c>
      <c r="AA258" s="31" t="s">
        <v>796</v>
      </c>
      <c r="AB258" s="21" t="s">
        <v>796</v>
      </c>
      <c r="AC258" s="14"/>
      <c r="AD258" s="14"/>
      <c r="AE258" s="31" t="s">
        <v>796</v>
      </c>
      <c r="AF258" s="31" t="s">
        <v>796</v>
      </c>
      <c r="AG258" s="31" t="s">
        <v>796</v>
      </c>
      <c r="AH258" s="31" t="s">
        <v>796</v>
      </c>
      <c r="AI258" s="31" t="s">
        <v>796</v>
      </c>
      <c r="AJ258" s="31"/>
      <c r="AK258" s="31" t="s">
        <v>796</v>
      </c>
      <c r="AL258" s="31" t="s">
        <v>796</v>
      </c>
      <c r="AM258" s="31" t="s">
        <v>796</v>
      </c>
      <c r="AN258" s="31" t="s">
        <v>796</v>
      </c>
      <c r="AO258" s="31" t="s">
        <v>796</v>
      </c>
      <c r="AP258" s="31" t="s">
        <v>796</v>
      </c>
      <c r="AQ258" s="31"/>
      <c r="AR258" s="31"/>
      <c r="AS258" s="31" t="s">
        <v>796</v>
      </c>
      <c r="AT258" s="31" t="s">
        <v>796</v>
      </c>
      <c r="AU258" s="31" t="s">
        <v>796</v>
      </c>
      <c r="AV258" s="31" t="s">
        <v>796</v>
      </c>
      <c r="AW258" s="31" t="s">
        <v>796</v>
      </c>
      <c r="AX258" s="31"/>
      <c r="AY258" s="31" t="s">
        <v>796</v>
      </c>
      <c r="AZ258" s="31"/>
      <c r="BA258" s="46" t="s">
        <v>796</v>
      </c>
      <c r="BB258" s="31"/>
      <c r="BC258" s="31" t="s">
        <v>796</v>
      </c>
      <c r="BD258" s="31"/>
      <c r="BE258" s="31"/>
      <c r="BF258" s="31" t="s">
        <v>796</v>
      </c>
      <c r="BG258" s="31"/>
      <c r="BH258" s="31" t="s">
        <v>796</v>
      </c>
      <c r="BI258" s="31" t="s">
        <v>796</v>
      </c>
      <c r="BJ258" s="31" t="s">
        <v>796</v>
      </c>
      <c r="BK258" s="31" t="s">
        <v>796</v>
      </c>
      <c r="BL258" s="31"/>
      <c r="BM258" s="31" t="s">
        <v>796</v>
      </c>
      <c r="BN258" s="31"/>
    </row>
    <row r="259" spans="1:66" ht="18.75">
      <c r="A259" s="77" t="s">
        <v>247</v>
      </c>
      <c r="B259" s="78"/>
      <c r="C259" s="78">
        <v>9857060669</v>
      </c>
      <c r="D259" s="77">
        <v>1500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23">
        <f t="shared" si="6"/>
        <v>1500</v>
      </c>
      <c r="S259" s="6"/>
      <c r="T259" s="12">
        <f t="shared" si="7"/>
        <v>1500</v>
      </c>
      <c r="U259" s="14"/>
      <c r="V259" s="14"/>
      <c r="W259" s="14" t="s">
        <v>796</v>
      </c>
      <c r="X259" s="14" t="s">
        <v>796</v>
      </c>
      <c r="Y259" s="14" t="s">
        <v>796</v>
      </c>
      <c r="Z259" s="14" t="s">
        <v>796</v>
      </c>
      <c r="AA259" s="14" t="s">
        <v>796</v>
      </c>
      <c r="AB259" s="6" t="s">
        <v>796</v>
      </c>
      <c r="AC259" s="14"/>
      <c r="AD259" s="14"/>
      <c r="AE259" s="31" t="s">
        <v>796</v>
      </c>
      <c r="AF259" s="31" t="s">
        <v>796</v>
      </c>
      <c r="AG259" s="31" t="s">
        <v>796</v>
      </c>
      <c r="AH259" s="31" t="s">
        <v>796</v>
      </c>
      <c r="AI259" s="31" t="s">
        <v>796</v>
      </c>
      <c r="AJ259" s="31"/>
      <c r="AK259" s="31" t="s">
        <v>796</v>
      </c>
      <c r="AL259" s="31" t="s">
        <v>796</v>
      </c>
      <c r="AM259" s="31" t="s">
        <v>796</v>
      </c>
      <c r="AN259" s="31" t="s">
        <v>796</v>
      </c>
      <c r="AO259" s="31" t="s">
        <v>796</v>
      </c>
      <c r="AP259" s="31" t="s">
        <v>796</v>
      </c>
      <c r="AQ259" s="31"/>
      <c r="AR259" s="31"/>
      <c r="AS259" s="31" t="s">
        <v>796</v>
      </c>
      <c r="AT259" s="31" t="s">
        <v>796</v>
      </c>
      <c r="AU259" s="31" t="s">
        <v>796</v>
      </c>
      <c r="AV259" s="31" t="s">
        <v>796</v>
      </c>
      <c r="AW259" s="31" t="s">
        <v>796</v>
      </c>
      <c r="AX259" s="31"/>
      <c r="AY259" s="31" t="s">
        <v>796</v>
      </c>
      <c r="AZ259" s="31"/>
      <c r="BA259" s="46" t="s">
        <v>796</v>
      </c>
      <c r="BB259" s="31"/>
      <c r="BC259" s="31" t="s">
        <v>796</v>
      </c>
      <c r="BD259" s="31"/>
      <c r="BE259" s="31"/>
      <c r="BF259" s="31" t="s">
        <v>796</v>
      </c>
      <c r="BG259" s="31"/>
      <c r="BH259" s="31" t="s">
        <v>796</v>
      </c>
      <c r="BI259" s="31" t="s">
        <v>796</v>
      </c>
      <c r="BJ259" s="31" t="s">
        <v>796</v>
      </c>
      <c r="BK259" s="31" t="s">
        <v>796</v>
      </c>
      <c r="BL259" s="31"/>
      <c r="BM259" s="31" t="s">
        <v>796</v>
      </c>
      <c r="BN259" s="31"/>
    </row>
    <row r="260" spans="1:66" ht="18.75">
      <c r="A260" s="87" t="s">
        <v>248</v>
      </c>
      <c r="B260" s="88"/>
      <c r="C260" s="88"/>
      <c r="D260" s="77">
        <v>20000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23">
        <f t="shared" si="6"/>
        <v>20000</v>
      </c>
      <c r="S260" s="6"/>
      <c r="T260" s="23">
        <f t="shared" si="7"/>
        <v>20000</v>
      </c>
      <c r="U260" s="31"/>
      <c r="V260" s="31"/>
      <c r="W260" s="31"/>
      <c r="X260" s="31"/>
      <c r="Y260" s="31" t="s">
        <v>796</v>
      </c>
      <c r="Z260" s="31" t="s">
        <v>796</v>
      </c>
      <c r="AA260" s="31" t="s">
        <v>796</v>
      </c>
      <c r="AB260" s="21" t="s">
        <v>796</v>
      </c>
      <c r="AC260" s="14"/>
      <c r="AD260" s="14"/>
      <c r="AE260" s="31" t="s">
        <v>796</v>
      </c>
      <c r="AF260" s="31" t="s">
        <v>796</v>
      </c>
      <c r="AG260" s="31" t="s">
        <v>796</v>
      </c>
      <c r="AH260" s="31" t="s">
        <v>796</v>
      </c>
      <c r="AI260" s="31" t="s">
        <v>796</v>
      </c>
      <c r="AJ260" s="31"/>
      <c r="AK260" s="31" t="s">
        <v>796</v>
      </c>
      <c r="AL260" s="31" t="s">
        <v>796</v>
      </c>
      <c r="AM260" s="31" t="s">
        <v>796</v>
      </c>
      <c r="AN260" s="31" t="s">
        <v>796</v>
      </c>
      <c r="AO260" s="31" t="s">
        <v>796</v>
      </c>
      <c r="AP260" s="31" t="s">
        <v>796</v>
      </c>
      <c r="AQ260" s="31"/>
      <c r="AR260" s="31"/>
      <c r="AS260" s="31" t="s">
        <v>796</v>
      </c>
      <c r="AT260" s="31" t="s">
        <v>796</v>
      </c>
      <c r="AU260" s="31" t="s">
        <v>796</v>
      </c>
      <c r="AV260" s="31" t="s">
        <v>796</v>
      </c>
      <c r="AW260" s="31" t="s">
        <v>796</v>
      </c>
      <c r="AX260" s="31"/>
      <c r="AY260" s="31" t="s">
        <v>796</v>
      </c>
      <c r="AZ260" s="31"/>
      <c r="BA260" s="46" t="s">
        <v>796</v>
      </c>
      <c r="BB260" s="31"/>
      <c r="BC260" s="31" t="s">
        <v>796</v>
      </c>
      <c r="BD260" s="31"/>
      <c r="BE260" s="31"/>
      <c r="BF260" s="31" t="s">
        <v>796</v>
      </c>
      <c r="BG260" s="31"/>
      <c r="BH260" s="31" t="s">
        <v>796</v>
      </c>
      <c r="BI260" s="31" t="s">
        <v>796</v>
      </c>
      <c r="BJ260" s="31" t="s">
        <v>796</v>
      </c>
      <c r="BK260" s="31" t="s">
        <v>796</v>
      </c>
      <c r="BL260" s="31"/>
      <c r="BM260" s="31" t="s">
        <v>796</v>
      </c>
      <c r="BN260" s="31"/>
    </row>
    <row r="261" spans="1:66" ht="18.75">
      <c r="A261" s="87" t="s">
        <v>249</v>
      </c>
      <c r="B261" s="88"/>
      <c r="C261" s="88">
        <v>9847025286</v>
      </c>
      <c r="D261" s="77">
        <v>20500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23">
        <f t="shared" ref="R261:R324" si="8">SUM(D261:Q261)</f>
        <v>20500</v>
      </c>
      <c r="S261" s="6"/>
      <c r="T261" s="12">
        <f t="shared" ref="T261:T287" si="9">R261-S261</f>
        <v>20500</v>
      </c>
      <c r="U261" s="31"/>
      <c r="V261" s="31"/>
      <c r="W261" s="31" t="s">
        <v>793</v>
      </c>
      <c r="X261" s="31" t="s">
        <v>793</v>
      </c>
      <c r="Y261" s="31" t="s">
        <v>793</v>
      </c>
      <c r="Z261" s="31" t="s">
        <v>793</v>
      </c>
      <c r="AA261" s="31" t="s">
        <v>793</v>
      </c>
      <c r="AB261" s="21" t="s">
        <v>795</v>
      </c>
      <c r="AC261" s="14"/>
      <c r="AD261" s="14"/>
      <c r="AE261" s="31" t="s">
        <v>795</v>
      </c>
      <c r="AF261" s="31" t="s">
        <v>795</v>
      </c>
      <c r="AG261" s="31" t="s">
        <v>795</v>
      </c>
      <c r="AH261" s="31" t="s">
        <v>795</v>
      </c>
      <c r="AI261" s="31" t="s">
        <v>795</v>
      </c>
      <c r="AJ261" s="31"/>
      <c r="AK261" s="31" t="s">
        <v>793</v>
      </c>
      <c r="AL261" s="31" t="s">
        <v>793</v>
      </c>
      <c r="AM261" s="31" t="s">
        <v>793</v>
      </c>
      <c r="AN261" s="31" t="s">
        <v>793</v>
      </c>
      <c r="AO261" s="31" t="s">
        <v>793</v>
      </c>
      <c r="AP261" s="31" t="s">
        <v>793</v>
      </c>
      <c r="AQ261" s="31"/>
      <c r="AR261" s="31"/>
      <c r="AS261" s="31" t="s">
        <v>793</v>
      </c>
      <c r="AT261" s="31" t="s">
        <v>793</v>
      </c>
      <c r="AU261" s="31" t="s">
        <v>793</v>
      </c>
      <c r="AV261" s="31" t="s">
        <v>795</v>
      </c>
      <c r="AW261" s="31" t="s">
        <v>795</v>
      </c>
      <c r="AX261" s="31"/>
      <c r="AY261" s="31" t="s">
        <v>795</v>
      </c>
      <c r="AZ261" s="31"/>
      <c r="BA261" s="46" t="s">
        <v>796</v>
      </c>
      <c r="BB261" s="31"/>
      <c r="BC261" s="31" t="s">
        <v>796</v>
      </c>
      <c r="BD261" s="31"/>
      <c r="BE261" s="31"/>
      <c r="BF261" s="31" t="s">
        <v>796</v>
      </c>
      <c r="BG261" s="31"/>
      <c r="BH261" s="31" t="s">
        <v>796</v>
      </c>
      <c r="BI261" s="31" t="s">
        <v>796</v>
      </c>
      <c r="BJ261" s="31" t="s">
        <v>796</v>
      </c>
      <c r="BK261" s="31" t="s">
        <v>796</v>
      </c>
      <c r="BL261" s="31"/>
      <c r="BM261" s="31" t="s">
        <v>796</v>
      </c>
      <c r="BN261" s="31"/>
    </row>
    <row r="262" spans="1:66" ht="18.75">
      <c r="A262" s="77" t="s">
        <v>250</v>
      </c>
      <c r="B262" s="78"/>
      <c r="C262" s="78">
        <v>9846968888</v>
      </c>
      <c r="D262" s="77">
        <v>2700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23">
        <f t="shared" si="8"/>
        <v>2700</v>
      </c>
      <c r="S262" s="6"/>
      <c r="T262" s="23">
        <f t="shared" si="9"/>
        <v>2700</v>
      </c>
      <c r="U262" s="31"/>
      <c r="V262" s="31"/>
      <c r="W262" s="31" t="s">
        <v>796</v>
      </c>
      <c r="X262" s="31" t="s">
        <v>796</v>
      </c>
      <c r="Y262" s="31"/>
      <c r="Z262" s="31" t="s">
        <v>796</v>
      </c>
      <c r="AA262" s="31" t="s">
        <v>796</v>
      </c>
      <c r="AC262" s="14"/>
      <c r="AD262" s="14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 t="s">
        <v>911</v>
      </c>
      <c r="AW262" s="31" t="s">
        <v>796</v>
      </c>
      <c r="AX262" s="31"/>
      <c r="AY262" s="31" t="s">
        <v>796</v>
      </c>
      <c r="AZ262" s="31"/>
      <c r="BA262" s="46" t="s">
        <v>796</v>
      </c>
      <c r="BB262" s="31"/>
      <c r="BC262" s="31" t="s">
        <v>796</v>
      </c>
      <c r="BD262" s="31"/>
      <c r="BE262" s="31"/>
      <c r="BF262" s="31" t="s">
        <v>796</v>
      </c>
      <c r="BG262" s="31"/>
      <c r="BH262" s="31" t="s">
        <v>796</v>
      </c>
      <c r="BI262" s="31" t="s">
        <v>796</v>
      </c>
      <c r="BJ262" s="31" t="s">
        <v>796</v>
      </c>
      <c r="BK262" s="31" t="s">
        <v>796</v>
      </c>
      <c r="BL262" s="31"/>
      <c r="BM262" s="31" t="s">
        <v>796</v>
      </c>
      <c r="BN262" s="31"/>
    </row>
    <row r="263" spans="1:66" ht="18.75">
      <c r="A263" s="87" t="s">
        <v>251</v>
      </c>
      <c r="B263" s="88"/>
      <c r="C263" s="88">
        <v>9847578004</v>
      </c>
      <c r="D263" s="77">
        <v>30002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23">
        <f t="shared" si="8"/>
        <v>30002</v>
      </c>
      <c r="S263" s="6"/>
      <c r="T263" s="23">
        <f t="shared" si="9"/>
        <v>30002</v>
      </c>
      <c r="U263" s="31"/>
      <c r="V263" s="31"/>
      <c r="W263" s="31" t="s">
        <v>795</v>
      </c>
      <c r="X263" s="31"/>
      <c r="Y263" s="31"/>
      <c r="Z263" s="31" t="s">
        <v>795</v>
      </c>
      <c r="AA263" s="31" t="s">
        <v>795</v>
      </c>
      <c r="AB263" s="21" t="s">
        <v>795</v>
      </c>
      <c r="AC263" s="14"/>
      <c r="AD263" s="14"/>
      <c r="AE263" s="31" t="s">
        <v>795</v>
      </c>
      <c r="AF263" s="31" t="s">
        <v>795</v>
      </c>
      <c r="AG263" s="31" t="s">
        <v>795</v>
      </c>
      <c r="AH263" s="31" t="s">
        <v>795</v>
      </c>
      <c r="AI263" s="31" t="s">
        <v>795</v>
      </c>
      <c r="AJ263" s="31"/>
      <c r="AK263" s="31" t="s">
        <v>796</v>
      </c>
      <c r="AL263" s="31" t="s">
        <v>795</v>
      </c>
      <c r="AM263" s="31" t="s">
        <v>795</v>
      </c>
      <c r="AN263" s="31" t="s">
        <v>795</v>
      </c>
      <c r="AO263" s="31" t="s">
        <v>795</v>
      </c>
      <c r="AP263" s="31" t="s">
        <v>795</v>
      </c>
      <c r="AQ263" s="31"/>
      <c r="AR263" s="31"/>
      <c r="AS263" s="31" t="s">
        <v>795</v>
      </c>
      <c r="AT263" s="31" t="s">
        <v>795</v>
      </c>
      <c r="AU263" s="31" t="s">
        <v>795</v>
      </c>
      <c r="AV263" s="31" t="s">
        <v>795</v>
      </c>
      <c r="AW263" s="31" t="s">
        <v>795</v>
      </c>
      <c r="AX263" s="31"/>
      <c r="AY263" s="31" t="s">
        <v>796</v>
      </c>
      <c r="AZ263" s="31"/>
      <c r="BA263" s="46" t="s">
        <v>796</v>
      </c>
      <c r="BB263" s="31"/>
      <c r="BC263" s="31" t="s">
        <v>796</v>
      </c>
      <c r="BD263" s="31"/>
      <c r="BE263" s="31"/>
      <c r="BF263" s="31" t="s">
        <v>796</v>
      </c>
      <c r="BG263" s="31"/>
      <c r="BH263" s="31" t="s">
        <v>796</v>
      </c>
      <c r="BI263" s="31" t="s">
        <v>796</v>
      </c>
      <c r="BJ263" s="31" t="s">
        <v>796</v>
      </c>
      <c r="BK263" s="31" t="s">
        <v>796</v>
      </c>
      <c r="BL263" s="31"/>
      <c r="BM263" s="31" t="s">
        <v>796</v>
      </c>
      <c r="BN263" s="31"/>
    </row>
    <row r="264" spans="1:66" ht="18.75">
      <c r="A264" s="77" t="s">
        <v>31</v>
      </c>
      <c r="B264" s="78"/>
      <c r="C264" s="78" t="s">
        <v>32</v>
      </c>
      <c r="D264" s="77">
        <v>2175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23">
        <f t="shared" si="8"/>
        <v>2175</v>
      </c>
      <c r="S264" s="6"/>
      <c r="T264" s="23">
        <f t="shared" si="9"/>
        <v>2175</v>
      </c>
      <c r="U264" s="31"/>
      <c r="V264" s="31"/>
      <c r="W264" s="31"/>
      <c r="X264" s="31"/>
      <c r="Y264" s="31"/>
      <c r="Z264" s="31"/>
      <c r="AA264" s="31" t="s">
        <v>796</v>
      </c>
      <c r="AC264" s="14"/>
      <c r="AD264" s="14"/>
      <c r="AE264" s="31"/>
      <c r="AF264" s="31"/>
      <c r="AG264" s="31"/>
      <c r="AH264" s="31"/>
      <c r="AI264" s="31"/>
      <c r="AJ264" s="31"/>
      <c r="AK264" s="31" t="s">
        <v>796</v>
      </c>
      <c r="AL264" s="31"/>
      <c r="AM264" s="31" t="s">
        <v>796</v>
      </c>
      <c r="AN264" s="31" t="s">
        <v>796</v>
      </c>
      <c r="AO264" s="31" t="s">
        <v>796</v>
      </c>
      <c r="AP264" s="31" t="s">
        <v>796</v>
      </c>
      <c r="AQ264" s="31"/>
      <c r="AR264" s="31"/>
      <c r="AS264" s="31" t="s">
        <v>796</v>
      </c>
      <c r="AT264" s="31" t="s">
        <v>796</v>
      </c>
      <c r="AU264" s="31" t="s">
        <v>796</v>
      </c>
      <c r="AV264" s="31" t="s">
        <v>796</v>
      </c>
      <c r="AW264" s="31" t="s">
        <v>796</v>
      </c>
      <c r="AX264" s="31"/>
      <c r="AY264" s="31" t="s">
        <v>796</v>
      </c>
      <c r="AZ264" s="31"/>
      <c r="BA264" s="46" t="s">
        <v>796</v>
      </c>
      <c r="BB264" s="31"/>
      <c r="BC264" s="31" t="s">
        <v>796</v>
      </c>
      <c r="BD264" s="31"/>
      <c r="BE264" s="31"/>
      <c r="BF264" s="31" t="s">
        <v>796</v>
      </c>
      <c r="BG264" s="31"/>
      <c r="BH264" s="31" t="s">
        <v>796</v>
      </c>
      <c r="BI264" s="31" t="s">
        <v>796</v>
      </c>
      <c r="BJ264" s="31" t="s">
        <v>796</v>
      </c>
      <c r="BK264" s="31" t="s">
        <v>796</v>
      </c>
      <c r="BL264" s="31"/>
      <c r="BM264" s="31" t="s">
        <v>796</v>
      </c>
      <c r="BN264" s="31"/>
    </row>
    <row r="265" spans="1:66" ht="18.75">
      <c r="A265" s="77" t="s">
        <v>252</v>
      </c>
      <c r="B265" s="78"/>
      <c r="C265" s="78">
        <v>9867227440</v>
      </c>
      <c r="D265" s="77">
        <v>2550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23">
        <f t="shared" si="8"/>
        <v>2550</v>
      </c>
      <c r="S265" s="6"/>
      <c r="T265" s="23">
        <f t="shared" si="9"/>
        <v>2550</v>
      </c>
      <c r="U265" s="31"/>
      <c r="V265" s="31"/>
      <c r="W265" s="31"/>
      <c r="X265" s="31"/>
      <c r="Y265" s="31"/>
      <c r="Z265" s="31"/>
      <c r="AA265" s="31" t="s">
        <v>796</v>
      </c>
      <c r="AB265" s="21" t="s">
        <v>796</v>
      </c>
      <c r="AC265" s="14"/>
      <c r="AD265" s="14"/>
      <c r="AE265" s="31"/>
      <c r="AF265" s="31"/>
      <c r="AG265" s="31"/>
      <c r="AH265" s="31"/>
      <c r="AI265" s="31"/>
      <c r="AJ265" s="31"/>
      <c r="AK265" s="31" t="s">
        <v>798</v>
      </c>
      <c r="AL265" s="31"/>
      <c r="AM265" s="31" t="s">
        <v>798</v>
      </c>
      <c r="AN265" s="31" t="s">
        <v>798</v>
      </c>
      <c r="AO265" s="31" t="s">
        <v>798</v>
      </c>
      <c r="AP265" s="31" t="s">
        <v>798</v>
      </c>
      <c r="AQ265" s="31"/>
      <c r="AR265" s="31"/>
      <c r="AS265" s="31" t="s">
        <v>798</v>
      </c>
      <c r="AT265" s="31" t="s">
        <v>798</v>
      </c>
      <c r="AU265" s="31" t="s">
        <v>798</v>
      </c>
      <c r="AV265" s="31" t="s">
        <v>796</v>
      </c>
      <c r="AW265" s="31" t="s">
        <v>796</v>
      </c>
      <c r="AX265" s="31"/>
      <c r="AY265" s="31" t="s">
        <v>796</v>
      </c>
      <c r="AZ265" s="31"/>
      <c r="BA265" s="46" t="s">
        <v>796</v>
      </c>
      <c r="BB265" s="31"/>
      <c r="BC265" s="31" t="s">
        <v>796</v>
      </c>
      <c r="BD265" s="31"/>
      <c r="BE265" s="31"/>
      <c r="BF265" s="31" t="s">
        <v>796</v>
      </c>
      <c r="BG265" s="31"/>
      <c r="BH265" s="31" t="s">
        <v>796</v>
      </c>
      <c r="BI265" s="31" t="s">
        <v>796</v>
      </c>
      <c r="BJ265" s="31" t="s">
        <v>796</v>
      </c>
      <c r="BK265" s="31" t="s">
        <v>796</v>
      </c>
      <c r="BL265" s="31"/>
      <c r="BM265" s="31" t="s">
        <v>796</v>
      </c>
      <c r="BN265" s="31"/>
    </row>
    <row r="266" spans="1:66" ht="18.75">
      <c r="A266" s="77" t="s">
        <v>253</v>
      </c>
      <c r="B266" s="78"/>
      <c r="C266" s="78"/>
      <c r="D266" s="77">
        <v>14000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23">
        <f t="shared" si="8"/>
        <v>14000</v>
      </c>
      <c r="S266" s="8"/>
      <c r="T266" s="23">
        <f t="shared" si="9"/>
        <v>14000</v>
      </c>
      <c r="U266" s="31"/>
      <c r="V266" s="31"/>
      <c r="W266" s="31"/>
      <c r="X266" s="31"/>
      <c r="Y266" s="31"/>
      <c r="Z266" s="31"/>
      <c r="AA266" s="31"/>
      <c r="AC266" s="14"/>
      <c r="AD266" s="14"/>
      <c r="AE266" s="31"/>
      <c r="AF266" s="31"/>
      <c r="AG266" s="31"/>
      <c r="AH266" s="31"/>
      <c r="AI266" s="31"/>
      <c r="AJ266" s="31"/>
      <c r="AK266" s="31" t="s">
        <v>871</v>
      </c>
      <c r="AL266" s="31"/>
      <c r="AM266" s="31" t="s">
        <v>871</v>
      </c>
      <c r="AN266" s="31" t="s">
        <v>871</v>
      </c>
      <c r="AO266" s="31" t="s">
        <v>871</v>
      </c>
      <c r="AP266" s="31" t="s">
        <v>871</v>
      </c>
      <c r="AQ266" s="31"/>
      <c r="AR266" s="31"/>
      <c r="AS266" s="31" t="s">
        <v>871</v>
      </c>
      <c r="AT266" s="31" t="s">
        <v>871</v>
      </c>
      <c r="AU266" s="31" t="s">
        <v>871</v>
      </c>
      <c r="AV266" s="31" t="s">
        <v>871</v>
      </c>
      <c r="AW266" s="31" t="s">
        <v>871</v>
      </c>
      <c r="AX266" s="31"/>
      <c r="AY266" s="31" t="s">
        <v>858</v>
      </c>
      <c r="AZ266" s="31"/>
      <c r="BA266" s="46" t="s">
        <v>845</v>
      </c>
      <c r="BB266" s="31"/>
      <c r="BC266" s="31" t="s">
        <v>845</v>
      </c>
      <c r="BD266" s="31"/>
      <c r="BE266" s="31"/>
      <c r="BF266" s="31" t="s">
        <v>845</v>
      </c>
      <c r="BG266" s="31"/>
      <c r="BH266" s="31" t="s">
        <v>845</v>
      </c>
      <c r="BI266" s="31" t="s">
        <v>845</v>
      </c>
      <c r="BJ266" s="31" t="s">
        <v>845</v>
      </c>
      <c r="BK266" s="31" t="s">
        <v>845</v>
      </c>
      <c r="BL266" s="31"/>
      <c r="BM266" s="31" t="s">
        <v>845</v>
      </c>
      <c r="BN266" s="31"/>
    </row>
    <row r="267" spans="1:66" ht="18.75">
      <c r="A267" s="77" t="s">
        <v>254</v>
      </c>
      <c r="B267" s="78"/>
      <c r="C267" s="78">
        <v>9857083829</v>
      </c>
      <c r="D267" s="77">
        <v>18759.5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23">
        <f t="shared" si="8"/>
        <v>18759.5</v>
      </c>
      <c r="S267" s="6"/>
      <c r="T267" s="23">
        <f t="shared" si="9"/>
        <v>18759.5</v>
      </c>
      <c r="U267" s="31"/>
      <c r="V267" s="31"/>
      <c r="W267" s="31" t="s">
        <v>793</v>
      </c>
      <c r="X267" s="31"/>
      <c r="Y267" s="31"/>
      <c r="Z267" s="31"/>
      <c r="AA267" s="31" t="s">
        <v>793</v>
      </c>
      <c r="AB267" s="21" t="s">
        <v>812</v>
      </c>
      <c r="AC267" s="14"/>
      <c r="AD267" s="14"/>
      <c r="AE267" s="31" t="s">
        <v>793</v>
      </c>
      <c r="AF267" s="31" t="s">
        <v>793</v>
      </c>
      <c r="AG267" s="31" t="s">
        <v>793</v>
      </c>
      <c r="AH267" s="31" t="s">
        <v>793</v>
      </c>
      <c r="AI267" s="31" t="s">
        <v>793</v>
      </c>
      <c r="AJ267" s="31"/>
      <c r="AK267" s="31" t="s">
        <v>793</v>
      </c>
      <c r="AL267" s="31"/>
      <c r="AM267" s="31" t="s">
        <v>793</v>
      </c>
      <c r="AN267" s="31" t="s">
        <v>793</v>
      </c>
      <c r="AO267" s="31" t="s">
        <v>793</v>
      </c>
      <c r="AP267" s="31" t="s">
        <v>793</v>
      </c>
      <c r="AQ267" s="31"/>
      <c r="AR267" s="31"/>
      <c r="AS267" s="31" t="s">
        <v>793</v>
      </c>
      <c r="AT267" s="31" t="s">
        <v>793</v>
      </c>
      <c r="AU267" s="31" t="s">
        <v>793</v>
      </c>
      <c r="AV267" s="31" t="s">
        <v>793</v>
      </c>
      <c r="AW267" s="31" t="s">
        <v>793</v>
      </c>
      <c r="AX267" s="31"/>
      <c r="AY267" s="31" t="s">
        <v>796</v>
      </c>
      <c r="AZ267" s="31"/>
      <c r="BA267" s="46" t="s">
        <v>796</v>
      </c>
      <c r="BB267" s="31"/>
      <c r="BC267" s="31" t="s">
        <v>796</v>
      </c>
      <c r="BD267" s="31"/>
      <c r="BE267" s="31"/>
      <c r="BF267" s="31" t="s">
        <v>796</v>
      </c>
      <c r="BG267" s="31"/>
      <c r="BH267" s="31" t="s">
        <v>796</v>
      </c>
      <c r="BI267" s="31" t="s">
        <v>796</v>
      </c>
      <c r="BJ267" s="31" t="s">
        <v>796</v>
      </c>
      <c r="BK267" s="31" t="s">
        <v>796</v>
      </c>
      <c r="BL267" s="31"/>
      <c r="BM267" s="31" t="s">
        <v>796</v>
      </c>
      <c r="BN267" s="31"/>
    </row>
    <row r="268" spans="1:66">
      <c r="A268" s="27" t="s">
        <v>255</v>
      </c>
      <c r="B268" s="55"/>
      <c r="C268" s="28" t="s">
        <v>256</v>
      </c>
      <c r="D268" s="27">
        <v>34800</v>
      </c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3">
        <f t="shared" si="8"/>
        <v>34800</v>
      </c>
      <c r="S268" s="27"/>
      <c r="T268" s="23">
        <f t="shared" si="9"/>
        <v>34800</v>
      </c>
    </row>
    <row r="269" spans="1:66" ht="18.75">
      <c r="A269" s="87" t="s">
        <v>257</v>
      </c>
      <c r="B269" s="88"/>
      <c r="C269" s="88">
        <v>9847492081</v>
      </c>
      <c r="D269" s="87">
        <v>18000</v>
      </c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3">
        <f t="shared" si="8"/>
        <v>18000</v>
      </c>
      <c r="S269" s="27"/>
      <c r="T269" s="12">
        <f t="shared" si="9"/>
        <v>18000</v>
      </c>
    </row>
    <row r="270" spans="1:66" ht="18.75">
      <c r="A270" s="87" t="s">
        <v>258</v>
      </c>
      <c r="B270" s="88"/>
      <c r="C270" s="88">
        <v>9857038032</v>
      </c>
      <c r="D270" s="87">
        <v>25000</v>
      </c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3">
        <f t="shared" si="8"/>
        <v>25000</v>
      </c>
      <c r="S270" s="27"/>
      <c r="T270" s="12">
        <f t="shared" si="9"/>
        <v>25000</v>
      </c>
    </row>
    <row r="271" spans="1:66" ht="18.75">
      <c r="A271" s="87" t="s">
        <v>259</v>
      </c>
      <c r="B271" s="88"/>
      <c r="C271" s="88" t="s">
        <v>260</v>
      </c>
      <c r="D271" s="87">
        <v>22000</v>
      </c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3">
        <f t="shared" si="8"/>
        <v>22000</v>
      </c>
      <c r="S271" s="27"/>
      <c r="T271" s="23">
        <f t="shared" si="9"/>
        <v>22000</v>
      </c>
    </row>
    <row r="272" spans="1:66">
      <c r="A272" s="27" t="s">
        <v>261</v>
      </c>
      <c r="B272" s="55"/>
      <c r="C272" s="28">
        <v>9867845062</v>
      </c>
      <c r="D272" s="27">
        <v>2000</v>
      </c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3">
        <f t="shared" si="8"/>
        <v>2000</v>
      </c>
      <c r="S272" s="27"/>
      <c r="T272" s="23">
        <f t="shared" si="9"/>
        <v>2000</v>
      </c>
    </row>
    <row r="273" spans="1:30" ht="18.75">
      <c r="A273" s="87" t="s">
        <v>262</v>
      </c>
      <c r="B273" s="88"/>
      <c r="C273" s="88">
        <v>9860319721</v>
      </c>
      <c r="D273" s="87">
        <v>35675</v>
      </c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3">
        <f t="shared" si="8"/>
        <v>35675</v>
      </c>
      <c r="S273" s="27"/>
      <c r="T273" s="12">
        <f t="shared" si="9"/>
        <v>35675</v>
      </c>
    </row>
    <row r="274" spans="1:30" ht="18.75">
      <c r="A274" s="87" t="s">
        <v>263</v>
      </c>
      <c r="B274" s="88"/>
      <c r="C274" s="88">
        <v>9857052629</v>
      </c>
      <c r="D274" s="87">
        <v>22000</v>
      </c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3">
        <f t="shared" si="8"/>
        <v>22000</v>
      </c>
      <c r="S274" s="27"/>
      <c r="T274" s="12">
        <f t="shared" si="9"/>
        <v>22000</v>
      </c>
    </row>
    <row r="275" spans="1:30" ht="18.75">
      <c r="A275" s="87" t="s">
        <v>264</v>
      </c>
      <c r="B275" s="88"/>
      <c r="C275" s="88">
        <v>9847033727</v>
      </c>
      <c r="D275" s="87">
        <v>17000</v>
      </c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3">
        <f t="shared" si="8"/>
        <v>17000</v>
      </c>
      <c r="S275" s="27"/>
      <c r="T275" s="12">
        <f t="shared" si="9"/>
        <v>17000</v>
      </c>
    </row>
    <row r="276" spans="1:30">
      <c r="A276" s="27" t="s">
        <v>265</v>
      </c>
      <c r="B276" s="55"/>
      <c r="C276" s="28"/>
      <c r="D276" s="27">
        <v>3500</v>
      </c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3">
        <f t="shared" si="8"/>
        <v>3500</v>
      </c>
      <c r="S276" s="27"/>
      <c r="T276" s="23">
        <f t="shared" si="9"/>
        <v>3500</v>
      </c>
    </row>
    <row r="277" spans="1:30" ht="18.75">
      <c r="A277" s="87" t="s">
        <v>266</v>
      </c>
      <c r="B277" s="88"/>
      <c r="C277" s="88" t="s">
        <v>267</v>
      </c>
      <c r="D277" s="87">
        <v>4200</v>
      </c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3">
        <f t="shared" si="8"/>
        <v>4200</v>
      </c>
      <c r="S277" s="27"/>
      <c r="T277" s="12">
        <f t="shared" si="9"/>
        <v>4200</v>
      </c>
    </row>
    <row r="278" spans="1:30" ht="18.75">
      <c r="A278" s="87" t="s">
        <v>268</v>
      </c>
      <c r="B278" s="88"/>
      <c r="C278" s="88">
        <v>9857065418</v>
      </c>
      <c r="D278" s="87">
        <v>40000</v>
      </c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3">
        <f t="shared" si="8"/>
        <v>40000</v>
      </c>
      <c r="S278" s="27"/>
      <c r="T278" s="12">
        <f t="shared" si="9"/>
        <v>40000</v>
      </c>
    </row>
    <row r="279" spans="1:30">
      <c r="A279" s="27" t="s">
        <v>122</v>
      </c>
      <c r="B279" s="55"/>
      <c r="C279" s="28">
        <v>9847243369</v>
      </c>
      <c r="D279" s="27">
        <v>4500</v>
      </c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3">
        <f t="shared" si="8"/>
        <v>4500</v>
      </c>
      <c r="S279" s="27"/>
      <c r="T279" s="12">
        <f t="shared" si="9"/>
        <v>4500</v>
      </c>
    </row>
    <row r="280" spans="1:30" ht="18.75">
      <c r="A280" s="87" t="s">
        <v>270</v>
      </c>
      <c r="B280" s="88"/>
      <c r="C280" s="88"/>
      <c r="D280" s="87">
        <v>37390</v>
      </c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3">
        <f t="shared" si="8"/>
        <v>37390</v>
      </c>
      <c r="S280" s="27"/>
      <c r="T280" s="12">
        <f t="shared" si="9"/>
        <v>37390</v>
      </c>
    </row>
    <row r="281" spans="1:30" ht="18.75">
      <c r="A281" s="87" t="s">
        <v>271</v>
      </c>
      <c r="B281" s="88"/>
      <c r="C281" s="88">
        <v>9841171611</v>
      </c>
      <c r="D281" s="87">
        <v>95850</v>
      </c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3">
        <f t="shared" si="8"/>
        <v>95850</v>
      </c>
      <c r="S281" s="27"/>
      <c r="T281" s="12">
        <f t="shared" si="9"/>
        <v>95850</v>
      </c>
    </row>
    <row r="282" spans="1:30" ht="18.75">
      <c r="A282" s="87" t="s">
        <v>272</v>
      </c>
      <c r="B282" s="88"/>
      <c r="C282" s="88">
        <v>9841740772</v>
      </c>
      <c r="D282" s="87">
        <v>15000</v>
      </c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3">
        <f t="shared" si="8"/>
        <v>15000</v>
      </c>
      <c r="S282" s="27"/>
      <c r="T282" s="23">
        <f t="shared" si="9"/>
        <v>15000</v>
      </c>
    </row>
    <row r="283" spans="1:30">
      <c r="A283" s="27" t="s">
        <v>273</v>
      </c>
      <c r="B283" s="55"/>
      <c r="C283" s="28"/>
      <c r="D283" s="27">
        <v>-17761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3">
        <f t="shared" si="8"/>
        <v>-17761</v>
      </c>
      <c r="S283" s="27"/>
      <c r="T283" s="23">
        <f t="shared" si="9"/>
        <v>-17761</v>
      </c>
    </row>
    <row r="284" spans="1:30" ht="18.75">
      <c r="A284" s="87" t="s">
        <v>147</v>
      </c>
      <c r="B284" s="88"/>
      <c r="C284" s="88">
        <v>9847501226</v>
      </c>
      <c r="D284" s="87">
        <v>90750</v>
      </c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3">
        <f t="shared" si="8"/>
        <v>90750</v>
      </c>
      <c r="S284" s="27"/>
      <c r="T284" s="23">
        <f t="shared" si="9"/>
        <v>90750</v>
      </c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1:30" ht="18.75">
      <c r="A285" s="87" t="s">
        <v>274</v>
      </c>
      <c r="B285" s="88"/>
      <c r="C285" s="88" t="s">
        <v>275</v>
      </c>
      <c r="D285" s="87">
        <v>14499.98000000001</v>
      </c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3">
        <f t="shared" si="8"/>
        <v>14499.98000000001</v>
      </c>
      <c r="S285" s="27"/>
      <c r="T285" s="23">
        <f t="shared" si="9"/>
        <v>14499.98000000001</v>
      </c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spans="1:30">
      <c r="A286" s="25" t="s">
        <v>276</v>
      </c>
      <c r="B286" s="56"/>
      <c r="C286" s="26">
        <v>9847311929</v>
      </c>
      <c r="D286" s="25">
        <v>0</v>
      </c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3">
        <f t="shared" si="8"/>
        <v>0</v>
      </c>
      <c r="S286" s="25"/>
      <c r="T286" s="23">
        <f t="shared" si="9"/>
        <v>0</v>
      </c>
    </row>
    <row r="287" spans="1:30">
      <c r="A287" s="25" t="s">
        <v>277</v>
      </c>
      <c r="B287" s="56"/>
      <c r="C287" s="26">
        <v>9857061915</v>
      </c>
      <c r="D287" s="25">
        <v>0</v>
      </c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3">
        <f t="shared" si="8"/>
        <v>0</v>
      </c>
      <c r="S287" s="25"/>
      <c r="T287" s="23">
        <f t="shared" si="9"/>
        <v>0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1:30" s="42" customFormat="1">
      <c r="A288" s="40" t="s">
        <v>278</v>
      </c>
      <c r="B288" s="54"/>
      <c r="C288" s="41">
        <v>9847146471</v>
      </c>
      <c r="D288" s="40">
        <v>0</v>
      </c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23">
        <f t="shared" si="8"/>
        <v>0</v>
      </c>
      <c r="S288" s="40"/>
      <c r="T288" s="40">
        <f t="shared" ref="T288:T297" si="10">R288-S288</f>
        <v>0</v>
      </c>
    </row>
    <row r="289" spans="1:30" s="42" customFormat="1">
      <c r="A289" s="40" t="s">
        <v>279</v>
      </c>
      <c r="B289" s="54"/>
      <c r="C289" s="41">
        <v>9847099654</v>
      </c>
      <c r="D289" s="40">
        <v>0</v>
      </c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23">
        <f t="shared" si="8"/>
        <v>0</v>
      </c>
      <c r="S289" s="40"/>
      <c r="T289" s="40">
        <f t="shared" si="10"/>
        <v>0</v>
      </c>
    </row>
    <row r="290" spans="1:30">
      <c r="A290" s="25" t="s">
        <v>280</v>
      </c>
      <c r="B290" s="56"/>
      <c r="C290" s="26">
        <v>9857072171</v>
      </c>
      <c r="D290" s="25">
        <v>0</v>
      </c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3">
        <f t="shared" si="8"/>
        <v>0</v>
      </c>
      <c r="S290" s="25"/>
      <c r="T290" s="23">
        <f t="shared" si="10"/>
        <v>0</v>
      </c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spans="1:30">
      <c r="A291" s="25" t="s">
        <v>281</v>
      </c>
      <c r="B291" s="56"/>
      <c r="C291" s="26">
        <v>9860251939</v>
      </c>
      <c r="D291" s="25">
        <v>0</v>
      </c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3">
        <f t="shared" si="8"/>
        <v>0</v>
      </c>
      <c r="S291" s="25"/>
      <c r="T291" s="23">
        <f t="shared" si="10"/>
        <v>0</v>
      </c>
    </row>
    <row r="292" spans="1:30">
      <c r="A292" s="25" t="s">
        <v>282</v>
      </c>
      <c r="B292" s="56"/>
      <c r="C292" s="26">
        <v>9857074926</v>
      </c>
      <c r="D292" s="25">
        <v>0</v>
      </c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3">
        <f t="shared" si="8"/>
        <v>0</v>
      </c>
      <c r="S292" s="25"/>
      <c r="T292" s="23">
        <f t="shared" si="10"/>
        <v>0</v>
      </c>
    </row>
    <row r="293" spans="1:30">
      <c r="A293" s="25" t="s">
        <v>283</v>
      </c>
      <c r="B293" s="56"/>
      <c r="C293" s="26">
        <v>9857082936</v>
      </c>
      <c r="D293" s="25">
        <v>0</v>
      </c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3">
        <f t="shared" si="8"/>
        <v>0</v>
      </c>
      <c r="S293" s="25"/>
      <c r="T293" s="23">
        <f t="shared" si="10"/>
        <v>0</v>
      </c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spans="1:30">
      <c r="A294" s="25" t="s">
        <v>284</v>
      </c>
      <c r="B294" s="56"/>
      <c r="C294" s="26">
        <v>9857026400</v>
      </c>
      <c r="D294" s="25">
        <v>0</v>
      </c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3">
        <f t="shared" si="8"/>
        <v>0</v>
      </c>
      <c r="S294" s="25"/>
      <c r="T294" s="23">
        <f t="shared" si="10"/>
        <v>0</v>
      </c>
    </row>
    <row r="295" spans="1:30">
      <c r="A295" s="25" t="s">
        <v>285</v>
      </c>
      <c r="B295" s="56"/>
      <c r="C295" s="26">
        <v>9805445601</v>
      </c>
      <c r="D295" s="25">
        <v>50</v>
      </c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3">
        <f t="shared" si="8"/>
        <v>50</v>
      </c>
      <c r="S295" s="25"/>
      <c r="T295" s="23">
        <f t="shared" si="10"/>
        <v>50</v>
      </c>
    </row>
    <row r="296" spans="1:30">
      <c r="A296" s="25" t="s">
        <v>286</v>
      </c>
      <c r="B296" s="56"/>
      <c r="C296" s="26">
        <v>9857022369</v>
      </c>
      <c r="D296" s="25">
        <v>1000</v>
      </c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3">
        <f t="shared" si="8"/>
        <v>1000</v>
      </c>
      <c r="S296" s="25"/>
      <c r="T296" s="23">
        <f t="shared" si="10"/>
        <v>1000</v>
      </c>
    </row>
    <row r="297" spans="1:30" s="42" customFormat="1">
      <c r="A297" s="40" t="s">
        <v>287</v>
      </c>
      <c r="B297" s="54"/>
      <c r="C297" s="41">
        <v>9857027030</v>
      </c>
      <c r="D297" s="40">
        <v>0</v>
      </c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23">
        <f t="shared" si="8"/>
        <v>0</v>
      </c>
      <c r="S297" s="40"/>
      <c r="T297" s="40">
        <f t="shared" si="10"/>
        <v>0</v>
      </c>
    </row>
    <row r="298" spans="1:30">
      <c r="A298" s="25" t="s">
        <v>288</v>
      </c>
      <c r="B298" s="56"/>
      <c r="C298" s="26">
        <v>9846170116</v>
      </c>
      <c r="D298" s="25">
        <v>0</v>
      </c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3">
        <f t="shared" si="8"/>
        <v>0</v>
      </c>
      <c r="S298" s="25"/>
      <c r="T298" s="23">
        <f t="shared" ref="T298:T332" si="11">R298-S298</f>
        <v>0</v>
      </c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spans="1:30" s="42" customFormat="1">
      <c r="A299" s="40" t="s">
        <v>289</v>
      </c>
      <c r="B299" s="54"/>
      <c r="C299" s="41">
        <v>9847029135</v>
      </c>
      <c r="D299" s="40">
        <v>0</v>
      </c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23">
        <f t="shared" si="8"/>
        <v>0</v>
      </c>
      <c r="S299" s="40"/>
      <c r="T299" s="40">
        <f t="shared" si="11"/>
        <v>0</v>
      </c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spans="1:30">
      <c r="A300" s="25" t="s">
        <v>290</v>
      </c>
      <c r="B300" s="56"/>
      <c r="C300" s="26">
        <v>9801019540</v>
      </c>
      <c r="D300" s="25">
        <v>0</v>
      </c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3">
        <f t="shared" si="8"/>
        <v>0</v>
      </c>
      <c r="S300" s="25"/>
      <c r="T300" s="23">
        <f t="shared" si="11"/>
        <v>0</v>
      </c>
    </row>
    <row r="301" spans="1:30">
      <c r="A301" s="25" t="s">
        <v>291</v>
      </c>
      <c r="B301" s="56"/>
      <c r="C301" s="26">
        <v>9857032050</v>
      </c>
      <c r="D301" s="25">
        <v>0</v>
      </c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3">
        <f t="shared" si="8"/>
        <v>0</v>
      </c>
      <c r="S301" s="25"/>
      <c r="T301" s="23">
        <f t="shared" si="11"/>
        <v>0</v>
      </c>
    </row>
    <row r="302" spans="1:30">
      <c r="A302" s="25" t="s">
        <v>292</v>
      </c>
      <c r="B302" s="56"/>
      <c r="C302" s="26">
        <v>9846170324</v>
      </c>
      <c r="D302" s="25">
        <v>720</v>
      </c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3">
        <f t="shared" si="8"/>
        <v>720</v>
      </c>
      <c r="S302" s="25"/>
      <c r="T302" s="23">
        <f t="shared" si="11"/>
        <v>720</v>
      </c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1:30">
      <c r="A303" s="25" t="s">
        <v>293</v>
      </c>
      <c r="B303" s="56"/>
      <c r="C303" s="26">
        <v>9857074425</v>
      </c>
      <c r="D303" s="25">
        <v>300</v>
      </c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3">
        <f t="shared" si="8"/>
        <v>300</v>
      </c>
      <c r="S303" s="25"/>
      <c r="T303" s="23">
        <f t="shared" si="11"/>
        <v>300</v>
      </c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spans="1:30">
      <c r="A304" s="25" t="s">
        <v>294</v>
      </c>
      <c r="B304" s="56"/>
      <c r="C304" s="26">
        <v>9847038203</v>
      </c>
      <c r="D304" s="25">
        <v>1000</v>
      </c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3">
        <f t="shared" si="8"/>
        <v>1000</v>
      </c>
      <c r="S304" s="25"/>
      <c r="T304" s="23">
        <f t="shared" si="11"/>
        <v>1000</v>
      </c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1:30">
      <c r="A305" s="25" t="s">
        <v>176</v>
      </c>
      <c r="B305" s="56"/>
      <c r="C305" s="26">
        <v>9857037656</v>
      </c>
      <c r="D305" s="25">
        <v>400</v>
      </c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3">
        <f t="shared" si="8"/>
        <v>400</v>
      </c>
      <c r="S305" s="25"/>
      <c r="T305" s="23">
        <f t="shared" si="11"/>
        <v>400</v>
      </c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1:30">
      <c r="A306" s="25" t="s">
        <v>295</v>
      </c>
      <c r="B306" s="56"/>
      <c r="C306" s="26">
        <v>9867610624</v>
      </c>
      <c r="D306" s="25">
        <v>1000</v>
      </c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3">
        <f t="shared" si="8"/>
        <v>1000</v>
      </c>
      <c r="S306" s="25"/>
      <c r="T306" s="12">
        <f t="shared" si="11"/>
        <v>1000</v>
      </c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1:30">
      <c r="A307" s="25" t="s">
        <v>197</v>
      </c>
      <c r="B307" s="56"/>
      <c r="C307" s="26">
        <v>9805411460</v>
      </c>
      <c r="D307" s="25">
        <v>150</v>
      </c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3">
        <f t="shared" si="8"/>
        <v>150</v>
      </c>
      <c r="S307" s="25"/>
      <c r="T307" s="23">
        <f t="shared" si="11"/>
        <v>150</v>
      </c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spans="1:30">
      <c r="A308" s="25" t="s">
        <v>296</v>
      </c>
      <c r="B308" s="56"/>
      <c r="C308" s="26"/>
      <c r="D308" s="25">
        <v>100</v>
      </c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3">
        <f t="shared" si="8"/>
        <v>100</v>
      </c>
      <c r="S308" s="25"/>
      <c r="T308" s="23">
        <f t="shared" si="11"/>
        <v>100</v>
      </c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spans="1:30">
      <c r="A309" s="25" t="s">
        <v>162</v>
      </c>
      <c r="B309" s="56"/>
      <c r="C309" s="26">
        <v>9847112933</v>
      </c>
      <c r="D309" s="25">
        <v>500</v>
      </c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3">
        <f t="shared" si="8"/>
        <v>500</v>
      </c>
      <c r="S309" s="25"/>
      <c r="T309" s="23">
        <f t="shared" si="11"/>
        <v>500</v>
      </c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1:30">
      <c r="A310" s="25" t="s">
        <v>236</v>
      </c>
      <c r="B310" s="56"/>
      <c r="C310" s="26">
        <v>9857021735</v>
      </c>
      <c r="D310" s="25">
        <v>0</v>
      </c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3">
        <f t="shared" si="8"/>
        <v>0</v>
      </c>
      <c r="S310" s="25"/>
      <c r="T310" s="23">
        <f t="shared" si="11"/>
        <v>0</v>
      </c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spans="1:30">
      <c r="A311" s="25" t="s">
        <v>170</v>
      </c>
      <c r="B311" s="56"/>
      <c r="C311" s="26">
        <v>9857030277</v>
      </c>
      <c r="D311" s="25">
        <v>1000</v>
      </c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3">
        <f t="shared" si="8"/>
        <v>1000</v>
      </c>
      <c r="S311" s="25"/>
      <c r="T311" s="23">
        <f t="shared" si="11"/>
        <v>1000</v>
      </c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1:30">
      <c r="A312" s="25" t="s">
        <v>297</v>
      </c>
      <c r="B312" s="56"/>
      <c r="C312" s="26">
        <v>9857062317</v>
      </c>
      <c r="D312" s="25">
        <v>1000</v>
      </c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3">
        <f t="shared" si="8"/>
        <v>1000</v>
      </c>
      <c r="S312" s="25"/>
      <c r="T312" s="23">
        <f t="shared" si="11"/>
        <v>1000</v>
      </c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1:30">
      <c r="A313" s="25" t="s">
        <v>298</v>
      </c>
      <c r="B313" s="56"/>
      <c r="C313" s="26">
        <v>9847596015</v>
      </c>
      <c r="D313" s="25">
        <v>500</v>
      </c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3">
        <f t="shared" si="8"/>
        <v>500</v>
      </c>
      <c r="S313" s="25"/>
      <c r="T313" s="23">
        <f t="shared" si="11"/>
        <v>500</v>
      </c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1:30">
      <c r="A314" s="25" t="s">
        <v>299</v>
      </c>
      <c r="B314" s="56"/>
      <c r="C314" s="26">
        <v>9847200588</v>
      </c>
      <c r="D314" s="25">
        <v>500</v>
      </c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3">
        <f t="shared" si="8"/>
        <v>500</v>
      </c>
      <c r="S314" s="25"/>
      <c r="T314" s="23">
        <f t="shared" si="11"/>
        <v>500</v>
      </c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spans="1:30">
      <c r="A315" s="25" t="s">
        <v>176</v>
      </c>
      <c r="B315" s="56"/>
      <c r="C315" s="26">
        <v>9857037656</v>
      </c>
      <c r="D315" s="25">
        <v>250</v>
      </c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3">
        <f t="shared" si="8"/>
        <v>250</v>
      </c>
      <c r="S315" s="25"/>
      <c r="T315" s="23">
        <f t="shared" si="11"/>
        <v>250</v>
      </c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spans="1:30">
      <c r="A316" s="25" t="s">
        <v>300</v>
      </c>
      <c r="B316" s="56"/>
      <c r="C316" s="26">
        <v>9804488285</v>
      </c>
      <c r="D316" s="25">
        <v>33</v>
      </c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3">
        <f t="shared" si="8"/>
        <v>33</v>
      </c>
      <c r="S316" s="25"/>
      <c r="T316" s="23">
        <f t="shared" si="11"/>
        <v>33</v>
      </c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spans="1:30">
      <c r="A317" s="25" t="s">
        <v>301</v>
      </c>
      <c r="B317" s="56"/>
      <c r="C317" s="26">
        <v>9857677355</v>
      </c>
      <c r="D317" s="25">
        <v>1000</v>
      </c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3">
        <f t="shared" si="8"/>
        <v>1000</v>
      </c>
      <c r="S317" s="25"/>
      <c r="T317" s="23">
        <f t="shared" si="11"/>
        <v>1000</v>
      </c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spans="1:30">
      <c r="A318" s="25" t="s">
        <v>202</v>
      </c>
      <c r="B318" s="56"/>
      <c r="C318" s="26">
        <v>9841784572</v>
      </c>
      <c r="D318" s="25">
        <v>1000</v>
      </c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3">
        <f t="shared" si="8"/>
        <v>1000</v>
      </c>
      <c r="S318" s="25"/>
      <c r="T318" s="23">
        <f t="shared" si="11"/>
        <v>1000</v>
      </c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1:30">
      <c r="A319" s="25" t="s">
        <v>302</v>
      </c>
      <c r="B319" s="56"/>
      <c r="C319" s="26">
        <v>9846381691</v>
      </c>
      <c r="D319" s="25">
        <v>100</v>
      </c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3">
        <f t="shared" si="8"/>
        <v>100</v>
      </c>
      <c r="S319" s="25"/>
      <c r="T319" s="23">
        <f t="shared" si="11"/>
        <v>100</v>
      </c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spans="1:30">
      <c r="A320" s="25" t="s">
        <v>303</v>
      </c>
      <c r="B320" s="56"/>
      <c r="C320" s="26">
        <v>9857024454</v>
      </c>
      <c r="D320" s="25">
        <v>100</v>
      </c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3">
        <f t="shared" si="8"/>
        <v>100</v>
      </c>
      <c r="S320" s="25"/>
      <c r="T320" s="23">
        <f t="shared" si="11"/>
        <v>100</v>
      </c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spans="1:65">
      <c r="A321" s="25" t="s">
        <v>304</v>
      </c>
      <c r="B321" s="56"/>
      <c r="C321" s="26">
        <v>9847038203</v>
      </c>
      <c r="D321" s="25">
        <v>24</v>
      </c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3">
        <f t="shared" si="8"/>
        <v>24</v>
      </c>
      <c r="S321" s="25"/>
      <c r="T321" s="23">
        <f t="shared" si="11"/>
        <v>24</v>
      </c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1:65">
      <c r="A322" s="25" t="s">
        <v>305</v>
      </c>
      <c r="B322" s="56"/>
      <c r="C322" s="26">
        <v>9847078240</v>
      </c>
      <c r="D322" s="25">
        <v>0</v>
      </c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3">
        <f t="shared" si="8"/>
        <v>0</v>
      </c>
      <c r="S322" s="25"/>
      <c r="T322" s="23">
        <f t="shared" si="11"/>
        <v>0</v>
      </c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spans="1:65">
      <c r="A323" s="25" t="s">
        <v>236</v>
      </c>
      <c r="B323" s="56"/>
      <c r="C323" s="26">
        <v>9857021735</v>
      </c>
      <c r="D323" s="25">
        <v>0</v>
      </c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3">
        <f t="shared" si="8"/>
        <v>0</v>
      </c>
      <c r="S323" s="25"/>
      <c r="T323" s="23">
        <f t="shared" si="11"/>
        <v>0</v>
      </c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1:65">
      <c r="A324" s="25" t="s">
        <v>306</v>
      </c>
      <c r="B324" s="56"/>
      <c r="C324" s="26">
        <v>9857033744</v>
      </c>
      <c r="D324" s="25">
        <v>50</v>
      </c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3">
        <f t="shared" si="8"/>
        <v>50</v>
      </c>
      <c r="S324" s="25"/>
      <c r="T324" s="23">
        <f t="shared" si="11"/>
        <v>50</v>
      </c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1:65">
      <c r="A325" s="25" t="s">
        <v>307</v>
      </c>
      <c r="B325" s="56"/>
      <c r="C325" s="26">
        <v>9857058108</v>
      </c>
      <c r="D325" s="25">
        <v>1000</v>
      </c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3">
        <f t="shared" ref="R325:R388" si="12">SUM(D325:Q325)</f>
        <v>1000</v>
      </c>
      <c r="S325" s="25"/>
      <c r="T325" s="23">
        <f t="shared" si="11"/>
        <v>1000</v>
      </c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1:65">
      <c r="A326" s="7"/>
      <c r="B326" s="3"/>
      <c r="C326" s="7"/>
      <c r="D326" s="6">
        <v>-399840.66999999993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23">
        <f t="shared" si="12"/>
        <v>-399840.66999999993</v>
      </c>
      <c r="S326" s="6"/>
      <c r="T326" s="23">
        <f t="shared" si="11"/>
        <v>-399840.66999999993</v>
      </c>
    </row>
    <row r="327" spans="1:65">
      <c r="A327" s="7"/>
      <c r="B327" s="3"/>
      <c r="C327" s="7"/>
      <c r="D327" s="6">
        <v>0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23">
        <f t="shared" si="12"/>
        <v>0</v>
      </c>
      <c r="S327" s="6"/>
      <c r="T327" s="23">
        <f t="shared" si="11"/>
        <v>0</v>
      </c>
    </row>
    <row r="328" spans="1:65">
      <c r="A328" s="7"/>
      <c r="B328" s="3"/>
      <c r="C328" s="7"/>
      <c r="D328" s="6">
        <v>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23">
        <f t="shared" si="12"/>
        <v>0</v>
      </c>
      <c r="S328" s="6"/>
      <c r="T328" s="23">
        <f t="shared" si="11"/>
        <v>0</v>
      </c>
    </row>
    <row r="329" spans="1:65">
      <c r="A329" s="7"/>
      <c r="B329" s="3"/>
      <c r="C329" s="7"/>
      <c r="D329" s="6">
        <v>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23">
        <f t="shared" si="12"/>
        <v>0</v>
      </c>
      <c r="S329" s="6"/>
      <c r="T329" s="23">
        <f t="shared" si="11"/>
        <v>0</v>
      </c>
    </row>
    <row r="330" spans="1:65">
      <c r="A330" s="10" t="s">
        <v>308</v>
      </c>
      <c r="B330" s="3"/>
      <c r="C330" s="11"/>
      <c r="D330" s="6">
        <v>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23">
        <f t="shared" si="12"/>
        <v>0</v>
      </c>
      <c r="S330" s="6"/>
      <c r="T330" s="23">
        <f t="shared" si="11"/>
        <v>0</v>
      </c>
    </row>
    <row r="331" spans="1:65">
      <c r="A331" s="2">
        <v>65749</v>
      </c>
      <c r="B331" s="3"/>
      <c r="D331" s="6">
        <v>0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23">
        <f t="shared" si="12"/>
        <v>0</v>
      </c>
      <c r="S331" s="6"/>
      <c r="T331" s="23">
        <f t="shared" si="11"/>
        <v>0</v>
      </c>
    </row>
    <row r="332" spans="1:65">
      <c r="D332" s="6">
        <v>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23">
        <f t="shared" si="12"/>
        <v>0</v>
      </c>
      <c r="S332" s="6"/>
      <c r="T332" s="23">
        <f t="shared" si="11"/>
        <v>0</v>
      </c>
    </row>
    <row r="333" spans="1:65">
      <c r="A333" s="12" t="s">
        <v>998</v>
      </c>
      <c r="B333" s="3"/>
      <c r="C333" s="8"/>
      <c r="D333" s="8"/>
      <c r="E333" s="12"/>
      <c r="F333" s="12"/>
      <c r="G333" s="12"/>
      <c r="H333" s="12"/>
      <c r="I333" s="12"/>
      <c r="J333" s="12"/>
      <c r="K333" s="12"/>
      <c r="L333" s="12"/>
      <c r="M333" s="12"/>
      <c r="N333" s="23"/>
      <c r="O333" s="23">
        <v>4425</v>
      </c>
      <c r="P333" s="23"/>
      <c r="Q333" s="23"/>
      <c r="R333" s="23">
        <f>SUM(D333:Q333)</f>
        <v>4425</v>
      </c>
      <c r="S333" s="23">
        <f>BM333</f>
        <v>4300</v>
      </c>
      <c r="T333" s="23">
        <f>R333-S333</f>
        <v>125</v>
      </c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>
        <v>4300</v>
      </c>
    </row>
    <row r="334" spans="1:65">
      <c r="A334" s="23" t="s">
        <v>339</v>
      </c>
      <c r="B334" s="3"/>
      <c r="C334" s="8"/>
      <c r="D334" s="8">
        <v>13560</v>
      </c>
      <c r="E334" s="23"/>
      <c r="F334" s="2">
        <v>26396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>
        <f>SUM(D334:Q334)</f>
        <v>39956</v>
      </c>
      <c r="S334" s="23">
        <f>AB334</f>
        <v>39500</v>
      </c>
      <c r="T334" s="23">
        <f>R334-S334</f>
        <v>456</v>
      </c>
      <c r="U334" s="46" t="s">
        <v>785</v>
      </c>
      <c r="V334" s="46"/>
      <c r="W334" s="46"/>
      <c r="X334" s="46" t="s">
        <v>4</v>
      </c>
      <c r="Y334" s="46" t="s">
        <v>809</v>
      </c>
      <c r="Z334" s="46" t="s">
        <v>4</v>
      </c>
      <c r="AA334" s="46" t="s">
        <v>826</v>
      </c>
      <c r="AB334" s="1">
        <v>39500</v>
      </c>
      <c r="AC334" s="31"/>
      <c r="AD334" s="31"/>
      <c r="AE334" s="31"/>
    </row>
    <row r="335" spans="1:65">
      <c r="A335" s="23" t="s">
        <v>309</v>
      </c>
      <c r="B335" s="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>
        <f>SUM(D335:Q335)</f>
        <v>0</v>
      </c>
      <c r="S335" s="23"/>
      <c r="T335" s="23">
        <f>R335-S335</f>
        <v>0</v>
      </c>
    </row>
    <row r="336" spans="1:65">
      <c r="A336" s="23" t="s">
        <v>310</v>
      </c>
      <c r="B336" s="3"/>
      <c r="C336" s="23"/>
      <c r="D336" s="23">
        <v>2222</v>
      </c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>
        <f>SUM(D336:Q336)</f>
        <v>2222</v>
      </c>
      <c r="S336" s="23"/>
      <c r="T336" s="23">
        <f>R336-S336</f>
        <v>2222</v>
      </c>
    </row>
    <row r="337" spans="1:66">
      <c r="A337" s="23" t="s">
        <v>345</v>
      </c>
      <c r="B337" s="29"/>
      <c r="C337" s="23"/>
      <c r="D337" s="8">
        <v>10080</v>
      </c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>
        <f>SUM(D337:Q337)</f>
        <v>10080</v>
      </c>
      <c r="S337" s="23">
        <v>10000</v>
      </c>
      <c r="T337" s="23">
        <f>R337-S337</f>
        <v>80</v>
      </c>
      <c r="U337" s="46" t="s">
        <v>787</v>
      </c>
      <c r="V337" s="46"/>
      <c r="W337" s="46" t="s">
        <v>785</v>
      </c>
      <c r="X337" s="46" t="s">
        <v>169</v>
      </c>
      <c r="Y337" s="58">
        <v>0.625</v>
      </c>
      <c r="Z337" s="46" t="s">
        <v>822</v>
      </c>
      <c r="AA337" s="46" t="s">
        <v>786</v>
      </c>
      <c r="AB337" s="46" t="s">
        <v>825</v>
      </c>
      <c r="AC337" s="58"/>
      <c r="AD337" s="1">
        <v>10000</v>
      </c>
    </row>
    <row r="338" spans="1:66">
      <c r="A338" s="23" t="s">
        <v>312</v>
      </c>
      <c r="B338" s="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>
        <f>SUM(D338:Q338)</f>
        <v>0</v>
      </c>
      <c r="S338" s="23"/>
      <c r="T338" s="23">
        <f>R338-S338</f>
        <v>0</v>
      </c>
    </row>
    <row r="339" spans="1:66">
      <c r="A339" s="23" t="s">
        <v>313</v>
      </c>
      <c r="B339" s="3"/>
      <c r="C339" s="23"/>
      <c r="D339" s="23">
        <v>0</v>
      </c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>
        <f>SUM(D339:Q339)</f>
        <v>0</v>
      </c>
      <c r="S339" s="23"/>
      <c r="T339" s="23">
        <f>R339-S339</f>
        <v>0</v>
      </c>
    </row>
    <row r="340" spans="1:66">
      <c r="A340" s="23" t="s">
        <v>314</v>
      </c>
      <c r="B340" s="3"/>
      <c r="C340" s="8"/>
      <c r="D340" s="8">
        <v>1620</v>
      </c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>
        <f>SUM(D340:Q340)</f>
        <v>1620</v>
      </c>
      <c r="S340" s="23"/>
      <c r="T340" s="23">
        <f>R340-S340</f>
        <v>1620</v>
      </c>
    </row>
    <row r="341" spans="1:66">
      <c r="A341" s="12" t="s">
        <v>997</v>
      </c>
      <c r="B341" s="3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23"/>
      <c r="O341" s="23">
        <v>2650</v>
      </c>
      <c r="P341" s="23"/>
      <c r="Q341" s="23"/>
      <c r="R341" s="23"/>
      <c r="S341" s="23"/>
      <c r="T341" s="23">
        <f>R341-S341</f>
        <v>0</v>
      </c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4"/>
      <c r="AZ341" s="34"/>
      <c r="BA341" s="34"/>
      <c r="BB341" s="34"/>
      <c r="BC341" s="34"/>
      <c r="BD341" s="34"/>
      <c r="BE341" s="31"/>
      <c r="BF341" s="31"/>
      <c r="BG341" s="31"/>
      <c r="BH341" s="31"/>
      <c r="BI341" s="31"/>
      <c r="BJ341" s="31"/>
      <c r="BK341" s="31"/>
      <c r="BL341" s="35"/>
      <c r="BM341" s="35"/>
      <c r="BN341" s="35"/>
    </row>
    <row r="342" spans="1:66">
      <c r="A342" s="23" t="s">
        <v>315</v>
      </c>
      <c r="B342" s="3"/>
      <c r="C342" s="23"/>
      <c r="D342" s="23">
        <v>0</v>
      </c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>
        <f>SUM(D342:Q342)</f>
        <v>0</v>
      </c>
      <c r="S342" s="23"/>
      <c r="T342" s="23">
        <f>R342-S342</f>
        <v>0</v>
      </c>
    </row>
    <row r="343" spans="1:66">
      <c r="A343" s="23" t="s">
        <v>316</v>
      </c>
      <c r="B343" s="3"/>
      <c r="C343" s="23"/>
      <c r="D343" s="23">
        <v>0</v>
      </c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>
        <f>SUM(D343:Q343)</f>
        <v>0</v>
      </c>
      <c r="S343" s="23"/>
      <c r="T343" s="23">
        <f>R343-S343</f>
        <v>0</v>
      </c>
    </row>
    <row r="344" spans="1:66">
      <c r="A344" s="23" t="s">
        <v>317</v>
      </c>
      <c r="B344" s="3"/>
      <c r="C344" s="23"/>
      <c r="D344" s="23">
        <v>0</v>
      </c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>
        <f>SUM(D344:Q344)</f>
        <v>0</v>
      </c>
      <c r="S344" s="23"/>
      <c r="T344" s="23">
        <f>R344-S344</f>
        <v>0</v>
      </c>
    </row>
    <row r="345" spans="1:66">
      <c r="A345" s="23" t="s">
        <v>318</v>
      </c>
      <c r="B345" s="3"/>
      <c r="C345" s="8"/>
      <c r="D345" s="8">
        <v>242</v>
      </c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>
        <f>SUM(D345:Q345)</f>
        <v>242</v>
      </c>
      <c r="S345" s="23"/>
      <c r="T345" s="23">
        <f>R345-S345</f>
        <v>242</v>
      </c>
    </row>
    <row r="346" spans="1:66">
      <c r="A346" s="23" t="s">
        <v>365</v>
      </c>
      <c r="B346" s="29"/>
      <c r="C346" s="8"/>
      <c r="D346" s="8">
        <v>26380</v>
      </c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>
        <f>SUM(D346:Q346)</f>
        <v>26380</v>
      </c>
      <c r="S346" s="23">
        <f>AI346</f>
        <v>26000</v>
      </c>
      <c r="T346" s="23">
        <f>R346-S346</f>
        <v>380</v>
      </c>
      <c r="U346" s="46"/>
      <c r="V346" s="46"/>
      <c r="W346" s="46"/>
      <c r="X346" s="46"/>
      <c r="Y346" s="46"/>
      <c r="Z346" s="46"/>
      <c r="AA346" s="46"/>
      <c r="AB346" s="46" t="s">
        <v>792</v>
      </c>
      <c r="AC346" s="46"/>
      <c r="AD346" s="46"/>
      <c r="AE346" s="46"/>
      <c r="AF346" s="46"/>
      <c r="AG346" s="46"/>
      <c r="AH346" s="46"/>
      <c r="AI346" s="1">
        <v>26000</v>
      </c>
    </row>
    <row r="347" spans="1:66">
      <c r="A347" s="23" t="s">
        <v>319</v>
      </c>
      <c r="B347" s="3"/>
      <c r="C347" s="23"/>
      <c r="D347" s="23">
        <v>0</v>
      </c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>
        <f>SUM(D347:Q347)</f>
        <v>0</v>
      </c>
      <c r="S347" s="23"/>
      <c r="T347" s="23">
        <f>R347-S347</f>
        <v>0</v>
      </c>
    </row>
    <row r="348" spans="1:66">
      <c r="A348" s="23" t="s">
        <v>320</v>
      </c>
      <c r="B348" s="3"/>
      <c r="C348" s="23"/>
      <c r="D348" s="23">
        <v>20</v>
      </c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>
        <f>SUM(D348:Q348)</f>
        <v>20</v>
      </c>
      <c r="S348" s="23"/>
      <c r="T348" s="23">
        <f>R348-S348</f>
        <v>20</v>
      </c>
    </row>
    <row r="349" spans="1:66">
      <c r="A349" s="23" t="s">
        <v>321</v>
      </c>
      <c r="B349" s="3"/>
      <c r="C349" s="23"/>
      <c r="D349" s="23">
        <v>212</v>
      </c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>
        <f>SUM(D349:Q349)</f>
        <v>212</v>
      </c>
      <c r="S349" s="23"/>
      <c r="T349" s="23">
        <f>R349-S349</f>
        <v>212</v>
      </c>
    </row>
    <row r="350" spans="1:66">
      <c r="A350" s="23" t="s">
        <v>322</v>
      </c>
      <c r="B350" s="3"/>
      <c r="C350" s="23"/>
      <c r="D350" s="23">
        <v>0</v>
      </c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>
        <f>SUM(D350:Q350)</f>
        <v>0</v>
      </c>
      <c r="S350" s="23"/>
      <c r="T350" s="23">
        <f>R350-S350</f>
        <v>0</v>
      </c>
    </row>
    <row r="351" spans="1:66">
      <c r="A351" s="23" t="s">
        <v>323</v>
      </c>
      <c r="B351" s="3"/>
      <c r="C351" s="23"/>
      <c r="D351" s="23">
        <v>0</v>
      </c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>
        <f>SUM(D351:Q351)</f>
        <v>0</v>
      </c>
      <c r="S351" s="23"/>
      <c r="T351" s="23">
        <f>R351-S351</f>
        <v>0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spans="1:66">
      <c r="A352" s="23" t="s">
        <v>323</v>
      </c>
      <c r="B352" s="29" t="s">
        <v>853</v>
      </c>
      <c r="C352" s="23"/>
      <c r="D352" s="23"/>
      <c r="E352" s="23"/>
      <c r="F352" s="23"/>
      <c r="G352" s="23"/>
      <c r="H352" s="23"/>
      <c r="I352" s="23"/>
      <c r="J352" s="23">
        <v>39500</v>
      </c>
      <c r="K352" s="23"/>
      <c r="L352" s="23"/>
      <c r="M352" s="23"/>
      <c r="N352" s="23"/>
      <c r="O352" s="23"/>
      <c r="P352" s="23"/>
      <c r="Q352" s="23"/>
      <c r="R352" s="23">
        <f>SUM(D352:Q352)</f>
        <v>39500</v>
      </c>
      <c r="S352" s="23">
        <f>AV352</f>
        <v>39500</v>
      </c>
      <c r="T352" s="23">
        <f>R352-S352</f>
        <v>0</v>
      </c>
      <c r="U352" s="31"/>
      <c r="V352" s="31"/>
      <c r="W352" s="31"/>
      <c r="X352" s="31"/>
      <c r="Y352" s="34"/>
      <c r="Z352" s="34"/>
      <c r="AA352" s="34"/>
      <c r="AB352" s="31"/>
      <c r="AC352" s="31"/>
      <c r="AD352" s="31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1"/>
      <c r="AP352" s="31"/>
      <c r="AQ352" s="31"/>
      <c r="AR352" s="31" t="s">
        <v>811</v>
      </c>
      <c r="AS352" s="31"/>
      <c r="AT352" s="31"/>
      <c r="AU352" s="31"/>
      <c r="AV352" s="62">
        <v>39500</v>
      </c>
    </row>
    <row r="353" spans="1:68">
      <c r="A353" s="23" t="s">
        <v>402</v>
      </c>
      <c r="B353" s="29"/>
      <c r="C353" s="23"/>
      <c r="D353" s="23">
        <v>11972</v>
      </c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>
        <f>SUM(D353:Q353)</f>
        <v>11972</v>
      </c>
      <c r="S353" s="23">
        <f>BK353</f>
        <v>11500</v>
      </c>
      <c r="T353" s="23">
        <f>R353-S353</f>
        <v>472</v>
      </c>
      <c r="U353" s="23" t="s">
        <v>327</v>
      </c>
      <c r="V353" s="23"/>
      <c r="W353" s="23"/>
      <c r="X353" s="23"/>
      <c r="Y353" s="23"/>
      <c r="Z353" s="46" t="s">
        <v>4</v>
      </c>
      <c r="AA353" s="23"/>
      <c r="AB353" s="23"/>
      <c r="AC353" s="23"/>
      <c r="AD353" s="23"/>
      <c r="AE353" s="46"/>
      <c r="AF353" s="46"/>
      <c r="AG353" s="46" t="s">
        <v>811</v>
      </c>
      <c r="AH353" s="46"/>
      <c r="AI353" s="46"/>
      <c r="AJ353" s="46"/>
      <c r="AK353" s="46"/>
      <c r="AL353" s="46"/>
      <c r="AM353" s="46" t="s">
        <v>811</v>
      </c>
      <c r="AN353" s="46"/>
      <c r="AO353" s="46"/>
      <c r="AP353" s="46"/>
      <c r="AQ353" s="46"/>
      <c r="AR353" s="46" t="s">
        <v>811</v>
      </c>
      <c r="AS353" s="46"/>
      <c r="AT353" s="46"/>
      <c r="AU353" s="46"/>
      <c r="AV353" s="46"/>
      <c r="AW353" s="46"/>
      <c r="AX353" s="46"/>
      <c r="AY353" s="46" t="s">
        <v>811</v>
      </c>
      <c r="AZ353" s="46"/>
      <c r="BA353" s="46" t="s">
        <v>799</v>
      </c>
      <c r="BB353" s="46"/>
      <c r="BC353" s="46"/>
      <c r="BD353" s="46"/>
      <c r="BE353" s="46"/>
      <c r="BF353" s="46"/>
      <c r="BG353" s="46"/>
      <c r="BH353" s="46"/>
      <c r="BI353" s="46"/>
      <c r="BJ353" s="46"/>
      <c r="BK353" s="46">
        <v>11500</v>
      </c>
      <c r="BL353" s="35"/>
      <c r="BM353" s="35"/>
      <c r="BN353" s="35"/>
    </row>
    <row r="354" spans="1:68">
      <c r="A354" s="23" t="s">
        <v>897</v>
      </c>
      <c r="B354" s="29" t="s">
        <v>853</v>
      </c>
      <c r="C354" s="23"/>
      <c r="D354" s="23"/>
      <c r="E354" s="23"/>
      <c r="F354" s="23"/>
      <c r="G354" s="23"/>
      <c r="H354" s="23"/>
      <c r="I354" s="23"/>
      <c r="J354" s="23"/>
      <c r="K354" s="2">
        <v>66000.02</v>
      </c>
      <c r="L354" s="23"/>
      <c r="M354" s="23"/>
      <c r="N354" s="23"/>
      <c r="O354" s="23"/>
      <c r="P354" s="23"/>
      <c r="Q354" s="23"/>
      <c r="R354" s="23">
        <f>SUM(D354:Q354)</f>
        <v>66000.02</v>
      </c>
      <c r="S354" s="23">
        <f>AS354</f>
        <v>66000</v>
      </c>
      <c r="T354" s="23">
        <f>R354-S354</f>
        <v>2.0000000004074536E-2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31"/>
      <c r="AF354" s="31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62">
        <v>66000</v>
      </c>
      <c r="AT354" s="35"/>
      <c r="AU354" s="35"/>
    </row>
    <row r="355" spans="1:68">
      <c r="A355" s="12" t="s">
        <v>324</v>
      </c>
      <c r="B355" s="3"/>
      <c r="C355" s="8"/>
      <c r="D355" s="8">
        <v>5044.3999999999996</v>
      </c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23">
        <f>SUM(D355:Q355)</f>
        <v>5044.3999999999996</v>
      </c>
      <c r="S355" s="12"/>
      <c r="T355" s="23">
        <f>R355-S355</f>
        <v>5044.3999999999996</v>
      </c>
      <c r="U355" s="31"/>
      <c r="V355" s="31"/>
      <c r="W355" s="31"/>
      <c r="X355" s="31"/>
      <c r="Y355" s="31" t="s">
        <v>795</v>
      </c>
      <c r="Z355" s="31"/>
      <c r="AA355" s="31"/>
      <c r="AB355" s="31" t="s">
        <v>795</v>
      </c>
      <c r="AC355" s="31"/>
      <c r="AD355" s="31" t="s">
        <v>795</v>
      </c>
      <c r="AE355" s="31"/>
      <c r="AF355" s="31" t="s">
        <v>795</v>
      </c>
      <c r="AG355" s="31" t="s">
        <v>795</v>
      </c>
      <c r="AH355" s="31"/>
      <c r="AI355" s="31"/>
      <c r="AJ355" s="31"/>
      <c r="AK355" s="31" t="s">
        <v>795</v>
      </c>
      <c r="AL355" s="31"/>
      <c r="AM355" s="31" t="s">
        <v>795</v>
      </c>
      <c r="AN355" s="31"/>
      <c r="AO355" s="31" t="s">
        <v>795</v>
      </c>
      <c r="AP355" s="31"/>
      <c r="AQ355" s="31"/>
      <c r="AR355" s="31" t="s">
        <v>795</v>
      </c>
      <c r="AS355" s="31"/>
      <c r="AT355" s="31"/>
      <c r="AU355" s="31" t="s">
        <v>795</v>
      </c>
      <c r="AV355" s="31"/>
      <c r="AW355" s="31"/>
      <c r="AX355" s="31"/>
      <c r="AY355" s="31" t="s">
        <v>795</v>
      </c>
      <c r="AZ355" s="31"/>
      <c r="BA355" s="31" t="s">
        <v>795</v>
      </c>
      <c r="BB355" s="31"/>
      <c r="BC355" s="31" t="s">
        <v>795</v>
      </c>
      <c r="BD355" s="31" t="s">
        <v>795</v>
      </c>
      <c r="BE355" s="31"/>
      <c r="BF355" s="31"/>
      <c r="BG355" s="31"/>
      <c r="BH355" s="31"/>
      <c r="BI355" s="31" t="s">
        <v>795</v>
      </c>
      <c r="BJ355" s="31"/>
      <c r="BK355" s="31" t="s">
        <v>795</v>
      </c>
      <c r="BL355" s="31"/>
      <c r="BM355" s="31"/>
      <c r="BN355" s="31"/>
    </row>
    <row r="356" spans="1:68">
      <c r="A356" s="12" t="s">
        <v>325</v>
      </c>
      <c r="B356" s="3"/>
      <c r="C356" s="12"/>
      <c r="D356" s="12">
        <v>9885</v>
      </c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23">
        <f>SUM(D356:Q356)</f>
        <v>9885</v>
      </c>
      <c r="S356" s="12">
        <f>U356</f>
        <v>3000</v>
      </c>
      <c r="T356" s="23">
        <f>R356-S356</f>
        <v>6885</v>
      </c>
      <c r="U356" s="8">
        <v>3000</v>
      </c>
      <c r="V356" s="34" t="s">
        <v>783</v>
      </c>
      <c r="W356" s="34"/>
      <c r="X356" s="34"/>
      <c r="Y356" s="34"/>
      <c r="Z356" s="34"/>
      <c r="AA356" s="34"/>
      <c r="AB356" s="34"/>
      <c r="AC356" s="34"/>
      <c r="AD356" s="34"/>
      <c r="AE356" s="34"/>
      <c r="AF356" s="34" t="s">
        <v>840</v>
      </c>
      <c r="AG356" s="63">
        <v>0.70833333333333337</v>
      </c>
      <c r="AH356" s="34" t="s">
        <v>847</v>
      </c>
      <c r="AI356" s="34"/>
      <c r="AJ356" s="34"/>
      <c r="AK356" s="34"/>
      <c r="AL356" s="34" t="s">
        <v>879</v>
      </c>
      <c r="AM356" s="34"/>
      <c r="AN356" s="34"/>
      <c r="AO356" s="34"/>
      <c r="AP356" s="34"/>
      <c r="AQ356" s="34"/>
      <c r="AR356" s="34" t="s">
        <v>886</v>
      </c>
      <c r="AS356" s="34"/>
      <c r="AT356" s="34"/>
      <c r="AU356" s="43" t="s">
        <v>880</v>
      </c>
      <c r="AV356" s="43"/>
      <c r="AW356" s="43"/>
      <c r="AX356" s="43"/>
      <c r="AY356" s="43" t="s">
        <v>169</v>
      </c>
      <c r="AZ356" s="34"/>
      <c r="BA356" s="34"/>
      <c r="BB356" s="34"/>
      <c r="BC356" s="34"/>
      <c r="BD356" s="31" t="s">
        <v>4</v>
      </c>
      <c r="BE356" s="31"/>
      <c r="BF356" s="31"/>
      <c r="BG356" s="31"/>
      <c r="BH356" s="34" t="s">
        <v>829</v>
      </c>
      <c r="BI356" s="34"/>
      <c r="BJ356" s="34"/>
      <c r="BK356" s="34"/>
      <c r="BL356" s="34"/>
      <c r="BM356" s="34" t="s">
        <v>848</v>
      </c>
      <c r="BN356" s="34"/>
      <c r="BO356" s="34"/>
      <c r="BP356" s="31" t="s">
        <v>4</v>
      </c>
    </row>
    <row r="357" spans="1:68">
      <c r="A357" s="12" t="s">
        <v>414</v>
      </c>
      <c r="B357" s="18"/>
      <c r="C357" s="34"/>
      <c r="D357" s="12">
        <v>6000</v>
      </c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23">
        <f>SUM(D357:Q357)</f>
        <v>6000</v>
      </c>
      <c r="S357" s="12"/>
      <c r="T357" s="23">
        <f>R357-S357</f>
        <v>6000</v>
      </c>
      <c r="U357" s="31"/>
      <c r="V357" s="31"/>
      <c r="W357" s="31"/>
      <c r="X357" s="31"/>
      <c r="Y357" s="31" t="s">
        <v>795</v>
      </c>
      <c r="Z357" s="31"/>
      <c r="AA357" s="31"/>
      <c r="AB357" s="31"/>
      <c r="AC357" s="31"/>
      <c r="AD357" s="31"/>
      <c r="AE357" s="31"/>
      <c r="AF357" s="31"/>
      <c r="AG357" s="31" t="s">
        <v>795</v>
      </c>
      <c r="AH357" s="31"/>
      <c r="AR357" s="21" t="s">
        <v>796</v>
      </c>
      <c r="BG357" s="34"/>
      <c r="BH357" s="1" t="s">
        <v>992</v>
      </c>
      <c r="BI357" s="31" t="s">
        <v>796</v>
      </c>
      <c r="BJ357" s="31"/>
      <c r="BK357" s="31" t="s">
        <v>796</v>
      </c>
      <c r="BL357" s="31"/>
      <c r="BM357" s="31"/>
      <c r="BN357" s="31"/>
    </row>
    <row r="358" spans="1:68">
      <c r="A358" s="12" t="s">
        <v>181</v>
      </c>
      <c r="B358" s="3" t="s">
        <v>842</v>
      </c>
      <c r="C358" s="12"/>
      <c r="D358" s="8">
        <v>1250</v>
      </c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23">
        <f>SUM(D358:Q358)</f>
        <v>1250</v>
      </c>
      <c r="S358" s="12"/>
      <c r="T358" s="23">
        <f>R358-S358</f>
        <v>1250</v>
      </c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 spans="1:68">
      <c r="A359" s="12" t="s">
        <v>326</v>
      </c>
      <c r="B359" s="3"/>
      <c r="C359" s="12"/>
      <c r="D359" s="12">
        <v>19000</v>
      </c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23">
        <f>SUM(D359:Q359)</f>
        <v>19000</v>
      </c>
      <c r="S359" s="12">
        <v>3000</v>
      </c>
      <c r="T359" s="23">
        <f>R359-S359</f>
        <v>16000</v>
      </c>
      <c r="U359" s="12" t="s">
        <v>327</v>
      </c>
      <c r="V359" s="34"/>
      <c r="W359" s="34"/>
      <c r="X359" s="34"/>
      <c r="Y359" s="34"/>
      <c r="Z359" s="31" t="s">
        <v>4</v>
      </c>
      <c r="AA359" s="34" t="s">
        <v>792</v>
      </c>
      <c r="AB359" s="34"/>
      <c r="AC359" s="34"/>
      <c r="AD359" s="34"/>
      <c r="AE359" s="34"/>
      <c r="AF359" s="34"/>
      <c r="AG359" s="34"/>
      <c r="AH359" s="34"/>
      <c r="AI359" s="34" t="s">
        <v>847</v>
      </c>
      <c r="AJ359" s="34"/>
      <c r="AK359" s="34"/>
      <c r="AL359" s="34" t="s">
        <v>856</v>
      </c>
      <c r="AM359" s="34"/>
      <c r="AN359" s="34"/>
      <c r="AO359" s="34"/>
      <c r="AP359" s="31"/>
      <c r="AQ359" s="31"/>
      <c r="AR359" s="34" t="s">
        <v>894</v>
      </c>
      <c r="AS359" s="34"/>
      <c r="AT359" s="34"/>
      <c r="AU359" s="34"/>
      <c r="AV359" s="34"/>
      <c r="AW359" s="34">
        <v>6</v>
      </c>
      <c r="AX359" s="34"/>
      <c r="AY359" s="34"/>
      <c r="AZ359" s="34">
        <v>6</v>
      </c>
      <c r="BA359" s="34"/>
      <c r="BB359" s="34"/>
      <c r="BC359" s="34"/>
      <c r="BD359" s="34"/>
      <c r="BE359" s="31" t="s">
        <v>4</v>
      </c>
      <c r="BF359" s="52">
        <v>0.75</v>
      </c>
      <c r="BG359" s="34" t="s">
        <v>827</v>
      </c>
      <c r="BH359" s="34"/>
      <c r="BI359" s="34"/>
      <c r="BJ359" s="31" t="s">
        <v>4</v>
      </c>
      <c r="BK359" s="34" t="s">
        <v>816</v>
      </c>
      <c r="BL359" s="34"/>
      <c r="BM359" s="34"/>
      <c r="BN359" s="34"/>
      <c r="BO359" s="31" t="s">
        <v>4</v>
      </c>
    </row>
    <row r="360" spans="1:68">
      <c r="A360" s="12" t="s">
        <v>877</v>
      </c>
      <c r="B360" s="18" t="s">
        <v>853</v>
      </c>
      <c r="C360" s="12"/>
      <c r="D360" s="12">
        <v>0</v>
      </c>
      <c r="E360" s="12"/>
      <c r="F360" s="12"/>
      <c r="G360" s="12"/>
      <c r="H360" s="12">
        <f>33000+15600.01</f>
        <v>48600.01</v>
      </c>
      <c r="I360" s="12"/>
      <c r="J360" s="12"/>
      <c r="K360" s="12"/>
      <c r="L360" s="12"/>
      <c r="M360" s="12"/>
      <c r="N360" s="12"/>
      <c r="O360" s="2">
        <v>37000.019999999997</v>
      </c>
      <c r="P360" s="12"/>
      <c r="Q360" s="12"/>
      <c r="R360" s="23">
        <f>SUM(D360:Q360)</f>
        <v>85600.03</v>
      </c>
      <c r="S360" s="23">
        <v>48600</v>
      </c>
      <c r="T360" s="23">
        <f>R360-S360</f>
        <v>37000.03</v>
      </c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46"/>
      <c r="AF360" s="46"/>
      <c r="AG360" s="46"/>
      <c r="AH360" s="46"/>
      <c r="AI360" s="46"/>
      <c r="AJ360" s="46"/>
      <c r="AK360" s="46"/>
      <c r="AL360" s="46" t="s">
        <v>880</v>
      </c>
      <c r="AM360" s="46"/>
      <c r="AN360" s="46"/>
      <c r="AO360" s="46"/>
      <c r="AP360" s="46"/>
      <c r="AQ360" s="46"/>
      <c r="AR360" s="46"/>
      <c r="AS360" s="46"/>
      <c r="AT360" s="46"/>
      <c r="AU360" s="46">
        <v>48600</v>
      </c>
      <c r="BE360" s="34"/>
      <c r="BF360" s="34"/>
      <c r="BG360" s="34"/>
      <c r="BH360" s="34"/>
      <c r="BI360" s="34"/>
      <c r="BJ360" s="34"/>
      <c r="BK360" s="34"/>
      <c r="BL360" s="34"/>
      <c r="BM360" s="31" t="s">
        <v>4</v>
      </c>
      <c r="BN360" s="31"/>
    </row>
    <row r="361" spans="1:68">
      <c r="A361" s="12" t="s">
        <v>328</v>
      </c>
      <c r="B361" s="3"/>
      <c r="C361" s="8"/>
      <c r="D361" s="8">
        <v>29730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23">
        <f>SUM(D361:Q361)</f>
        <v>29730</v>
      </c>
      <c r="S361" s="12"/>
      <c r="T361" s="23">
        <f>R361-S361</f>
        <v>29730</v>
      </c>
      <c r="U361" s="31"/>
      <c r="V361" s="31"/>
      <c r="W361" s="31"/>
      <c r="X361" s="31"/>
      <c r="Y361" s="31" t="s">
        <v>795</v>
      </c>
      <c r="Z361" s="52">
        <v>0.66666666666666663</v>
      </c>
      <c r="AA361" s="31"/>
      <c r="AB361" s="31" t="s">
        <v>795</v>
      </c>
      <c r="AC361" s="31"/>
      <c r="AD361" s="31" t="s">
        <v>795</v>
      </c>
      <c r="AE361" s="31"/>
      <c r="AF361" s="31" t="s">
        <v>795</v>
      </c>
      <c r="AG361" s="31" t="s">
        <v>795</v>
      </c>
      <c r="AH361" s="31"/>
      <c r="AI361" s="31"/>
      <c r="AJ361" s="31"/>
      <c r="AK361" s="31" t="s">
        <v>795</v>
      </c>
      <c r="AL361" s="31"/>
      <c r="AM361" s="31" t="s">
        <v>795</v>
      </c>
      <c r="AN361" s="31"/>
      <c r="AO361" s="31" t="s">
        <v>795</v>
      </c>
      <c r="AP361" s="31"/>
      <c r="AQ361" s="31"/>
      <c r="AR361" s="31" t="s">
        <v>795</v>
      </c>
      <c r="AS361" s="31"/>
      <c r="AT361" s="31"/>
      <c r="AU361" s="31" t="s">
        <v>795</v>
      </c>
      <c r="AV361" s="31"/>
      <c r="AW361" s="31"/>
      <c r="AX361" s="31"/>
      <c r="AY361" s="31" t="s">
        <v>795</v>
      </c>
      <c r="AZ361" s="31"/>
      <c r="BA361" s="31" t="s">
        <v>795</v>
      </c>
      <c r="BB361" s="31"/>
      <c r="BC361" s="31" t="s">
        <v>795</v>
      </c>
      <c r="BD361" s="31"/>
      <c r="BE361" s="31"/>
      <c r="BF361" s="31"/>
      <c r="BG361" s="31"/>
      <c r="BH361" s="31"/>
      <c r="BI361" s="31" t="s">
        <v>795</v>
      </c>
      <c r="BJ361" s="31"/>
      <c r="BK361" s="31" t="s">
        <v>805</v>
      </c>
      <c r="BL361" s="31"/>
      <c r="BM361" s="31"/>
      <c r="BN361" s="31"/>
    </row>
    <row r="362" spans="1:68">
      <c r="A362" s="12" t="s">
        <v>329</v>
      </c>
      <c r="B362" s="3"/>
      <c r="C362" s="8"/>
      <c r="D362" s="8">
        <v>74500</v>
      </c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23">
        <f>SUM(D362:Q362)</f>
        <v>74500</v>
      </c>
      <c r="S362" s="12"/>
      <c r="T362" s="23">
        <f>R362-S362</f>
        <v>74500</v>
      </c>
      <c r="U362" s="31"/>
      <c r="V362" s="31"/>
      <c r="W362" s="31"/>
      <c r="X362" s="34" t="s">
        <v>327</v>
      </c>
      <c r="Y362" s="34"/>
      <c r="Z362" s="31" t="s">
        <v>4</v>
      </c>
      <c r="AA362" s="31"/>
      <c r="AB362" s="34" t="s">
        <v>812</v>
      </c>
      <c r="AC362" s="34"/>
      <c r="AD362" s="34" t="s">
        <v>827</v>
      </c>
      <c r="AE362" s="52">
        <v>0.66666666666666663</v>
      </c>
      <c r="AF362" s="31" t="s">
        <v>795</v>
      </c>
      <c r="AG362" s="34" t="s">
        <v>816</v>
      </c>
      <c r="AH362" s="34"/>
      <c r="AI362" s="34"/>
      <c r="AJ362" s="31" t="s">
        <v>4</v>
      </c>
      <c r="AK362" s="31" t="s">
        <v>811</v>
      </c>
      <c r="AL362" s="52">
        <v>0.70833333333333337</v>
      </c>
      <c r="AM362" s="31" t="s">
        <v>796</v>
      </c>
      <c r="AN362" s="31"/>
      <c r="AO362" s="34" t="s">
        <v>885</v>
      </c>
      <c r="AP362" s="34"/>
      <c r="AQ362" s="31" t="s">
        <v>4</v>
      </c>
      <c r="AR362" s="34" t="s">
        <v>886</v>
      </c>
      <c r="AS362" s="34"/>
      <c r="AT362" s="34"/>
      <c r="AU362" s="34" t="s">
        <v>796</v>
      </c>
      <c r="AV362" s="34"/>
      <c r="AW362" s="34"/>
      <c r="AX362" s="34"/>
      <c r="AY362" s="31" t="s">
        <v>795</v>
      </c>
      <c r="AZ362" s="34" t="s">
        <v>787</v>
      </c>
      <c r="BA362" s="34"/>
      <c r="BB362" s="34" t="s">
        <v>4</v>
      </c>
      <c r="BC362" s="31" t="s">
        <v>812</v>
      </c>
      <c r="BD362" s="31"/>
      <c r="BE362" s="31"/>
      <c r="BF362" s="31"/>
      <c r="BG362" s="34" t="s">
        <v>807</v>
      </c>
      <c r="BH362" s="34"/>
      <c r="BI362" s="52">
        <v>0.70833333333333337</v>
      </c>
      <c r="BJ362" s="31"/>
      <c r="BK362" s="34" t="s">
        <v>792</v>
      </c>
      <c r="BL362" s="34"/>
      <c r="BM362" s="34"/>
      <c r="BN362" s="31" t="s">
        <v>4</v>
      </c>
    </row>
    <row r="363" spans="1:68">
      <c r="A363" s="12" t="s">
        <v>330</v>
      </c>
      <c r="B363" s="3"/>
      <c r="C363" s="8"/>
      <c r="D363" s="8">
        <v>41402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23">
        <f>SUM(D363:Q363)</f>
        <v>41402</v>
      </c>
      <c r="S363" s="12"/>
      <c r="T363" s="23">
        <f>R363-S363</f>
        <v>41402</v>
      </c>
      <c r="U363" s="31"/>
      <c r="V363" s="31"/>
      <c r="W363" s="31"/>
      <c r="X363" s="31"/>
      <c r="Y363" s="31" t="s">
        <v>795</v>
      </c>
      <c r="Z363" s="31"/>
      <c r="AA363" s="31"/>
      <c r="AB363" s="31" t="s">
        <v>795</v>
      </c>
      <c r="AC363" s="31"/>
      <c r="AD363" s="31" t="s">
        <v>795</v>
      </c>
      <c r="AE363" s="31"/>
      <c r="AF363" s="31"/>
      <c r="AG363" s="31" t="s">
        <v>795</v>
      </c>
      <c r="AH363" s="31"/>
      <c r="AI363" s="31"/>
      <c r="AJ363" s="31"/>
      <c r="AK363" s="31" t="s">
        <v>795</v>
      </c>
      <c r="AL363" s="31"/>
      <c r="AM363" s="31" t="s">
        <v>795</v>
      </c>
      <c r="AN363" s="31"/>
      <c r="AO363" s="31" t="s">
        <v>795</v>
      </c>
      <c r="AP363" s="31"/>
      <c r="AQ363" s="31"/>
      <c r="AR363" s="31" t="s">
        <v>795</v>
      </c>
      <c r="AS363" s="31"/>
      <c r="AT363" s="31"/>
      <c r="AU363" s="31" t="s">
        <v>795</v>
      </c>
      <c r="AV363" s="31"/>
      <c r="AW363" s="31"/>
      <c r="AX363" s="31"/>
      <c r="AY363" s="31" t="s">
        <v>796</v>
      </c>
      <c r="AZ363" s="31"/>
      <c r="BA363" s="31" t="s">
        <v>796</v>
      </c>
      <c r="BB363" s="31"/>
      <c r="BC363" s="31" t="s">
        <v>795</v>
      </c>
      <c r="BD363" s="31"/>
      <c r="BE363" s="31"/>
      <c r="BF363" s="31"/>
      <c r="BG363" s="31"/>
      <c r="BH363" s="31"/>
      <c r="BI363" s="31" t="s">
        <v>795</v>
      </c>
      <c r="BJ363" s="31"/>
      <c r="BK363" s="31" t="s">
        <v>795</v>
      </c>
      <c r="BL363" s="31"/>
      <c r="BM363" s="31"/>
      <c r="BN363" s="31"/>
    </row>
    <row r="364" spans="1:68">
      <c r="A364" s="12" t="s">
        <v>896</v>
      </c>
      <c r="B364" s="3" t="s">
        <v>901</v>
      </c>
      <c r="C364" s="2"/>
      <c r="D364" s="2"/>
      <c r="E364" s="12"/>
      <c r="F364" s="12"/>
      <c r="G364" s="12"/>
      <c r="H364" s="12"/>
      <c r="I364" s="12"/>
      <c r="J364" s="2">
        <f>32000</f>
        <v>32000</v>
      </c>
      <c r="K364" s="2">
        <v>32000</v>
      </c>
      <c r="L364" s="12"/>
      <c r="M364" s="14"/>
      <c r="N364" s="14"/>
      <c r="O364" s="14"/>
      <c r="P364" s="14"/>
      <c r="Q364" s="14"/>
      <c r="R364" s="23">
        <f>SUM(D364:Q364)</f>
        <v>64000</v>
      </c>
      <c r="S364" s="12"/>
      <c r="T364" s="23">
        <f>R364-S364</f>
        <v>64000</v>
      </c>
      <c r="U364" s="1"/>
      <c r="V364" s="34"/>
      <c r="W364" s="34"/>
      <c r="X364" s="34"/>
      <c r="Y364" s="34"/>
      <c r="Z364" s="34"/>
      <c r="AA364" s="34"/>
      <c r="AB364" s="31"/>
      <c r="AC364" s="31"/>
      <c r="AD364" s="31"/>
      <c r="AE364" s="34"/>
      <c r="AF364" s="34"/>
      <c r="AG364" s="34"/>
      <c r="AH364" s="34"/>
      <c r="AI364" s="34"/>
      <c r="AJ364" s="34"/>
      <c r="AK364" s="31"/>
      <c r="AL364" s="31"/>
      <c r="AM364" s="31"/>
      <c r="AN364" s="31"/>
      <c r="AO364" s="31"/>
      <c r="AP364" s="31"/>
      <c r="AQ364" s="31"/>
      <c r="AR364" s="34" t="s">
        <v>880</v>
      </c>
      <c r="AS364" s="34"/>
      <c r="AT364" s="34"/>
      <c r="AU364" s="34"/>
      <c r="AV364" s="34"/>
      <c r="AW364" s="34"/>
      <c r="AX364" s="34"/>
      <c r="AY364" s="34" t="s">
        <v>327</v>
      </c>
      <c r="AZ364" s="34"/>
      <c r="BA364" s="34"/>
      <c r="BB364" s="34"/>
      <c r="BC364" s="34"/>
      <c r="BD364" s="34"/>
      <c r="BE364" s="31" t="s">
        <v>4</v>
      </c>
      <c r="BF364" s="31"/>
      <c r="BG364" s="31"/>
      <c r="BH364" s="34" t="s">
        <v>848</v>
      </c>
      <c r="BI364" s="34"/>
      <c r="BJ364" s="34"/>
      <c r="BK364" s="34"/>
      <c r="BL364" s="34"/>
      <c r="BM364" s="34"/>
      <c r="BN364" s="34"/>
      <c r="BO364" s="34"/>
      <c r="BP364" s="31" t="s">
        <v>4</v>
      </c>
    </row>
    <row r="365" spans="1:68">
      <c r="A365" s="12" t="s">
        <v>427</v>
      </c>
      <c r="B365" s="18"/>
      <c r="C365" s="1"/>
      <c r="D365" s="8">
        <v>61275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23">
        <f>SUM(D365:Q365)</f>
        <v>61275</v>
      </c>
      <c r="S365" s="12"/>
      <c r="T365" s="12">
        <f>R365-S365</f>
        <v>61275</v>
      </c>
      <c r="U365" s="34"/>
      <c r="V365" s="34"/>
      <c r="W365" s="34"/>
      <c r="X365" s="34"/>
      <c r="Y365" s="34" t="s">
        <v>812</v>
      </c>
      <c r="Z365" s="34"/>
      <c r="AA365" s="34"/>
      <c r="AB365" s="34"/>
      <c r="AC365" s="34"/>
      <c r="AD365" s="34"/>
      <c r="AE365" s="34"/>
      <c r="AF365" s="34"/>
      <c r="AG365" s="34" t="s">
        <v>795</v>
      </c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 t="s">
        <v>795</v>
      </c>
      <c r="AS365" s="34"/>
      <c r="AT365" s="67" t="s">
        <v>327</v>
      </c>
      <c r="AU365" s="34"/>
      <c r="AV365" s="34"/>
      <c r="AW365" s="34"/>
      <c r="AX365" s="34"/>
      <c r="AY365" s="34"/>
      <c r="AZ365" s="34" t="s">
        <v>327</v>
      </c>
      <c r="BA365" s="34"/>
      <c r="BB365" s="34"/>
      <c r="BC365" s="34"/>
      <c r="BD365" s="34"/>
      <c r="BE365" s="31" t="s">
        <v>4</v>
      </c>
      <c r="BF365" s="31"/>
      <c r="BG365" s="31"/>
      <c r="BH365" s="31"/>
      <c r="BI365" s="31" t="s">
        <v>795</v>
      </c>
      <c r="BJ365" s="31"/>
      <c r="BK365" s="31" t="s">
        <v>795</v>
      </c>
      <c r="BL365" s="31"/>
      <c r="BM365" s="31"/>
      <c r="BN365" s="31"/>
    </row>
    <row r="366" spans="1:68">
      <c r="A366" s="12" t="s">
        <v>331</v>
      </c>
      <c r="B366" s="3" t="s">
        <v>853</v>
      </c>
      <c r="C366" s="12"/>
      <c r="D366" s="8">
        <v>62180</v>
      </c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23">
        <f>SUM(D366:Q366)</f>
        <v>62180</v>
      </c>
      <c r="S366" s="12"/>
      <c r="T366" s="23">
        <f>R366-S366</f>
        <v>62180</v>
      </c>
      <c r="U366" s="31"/>
      <c r="V366" s="31"/>
      <c r="W366" s="31"/>
      <c r="X366" s="31"/>
      <c r="Y366" s="34" t="s">
        <v>807</v>
      </c>
      <c r="Z366" s="34"/>
      <c r="AA366" s="34"/>
      <c r="AB366" s="34"/>
      <c r="AC366" s="34"/>
      <c r="AD366" s="31" t="s">
        <v>4</v>
      </c>
      <c r="AE366" s="31"/>
      <c r="AF366" s="34" t="s">
        <v>792</v>
      </c>
      <c r="AG366" s="34"/>
      <c r="AH366" s="34"/>
      <c r="AI366" s="31" t="s">
        <v>4</v>
      </c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4">
        <v>15</v>
      </c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1" t="s">
        <v>4</v>
      </c>
    </row>
    <row r="367" spans="1:68">
      <c r="A367" s="12" t="s">
        <v>332</v>
      </c>
      <c r="B367" s="3"/>
      <c r="C367" s="8"/>
      <c r="D367" s="8">
        <v>300820</v>
      </c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23">
        <f>SUM(D367:Q367)</f>
        <v>300820</v>
      </c>
      <c r="S367" s="12"/>
      <c r="T367" s="23">
        <f>R367-S367</f>
        <v>300820</v>
      </c>
      <c r="U367" s="31"/>
      <c r="V367" s="31"/>
      <c r="W367" s="31"/>
      <c r="X367" s="31"/>
      <c r="Y367" s="31" t="s">
        <v>808</v>
      </c>
      <c r="Z367" s="31"/>
      <c r="AA367" s="31"/>
      <c r="AB367" s="31" t="s">
        <v>808</v>
      </c>
      <c r="AC367" s="31"/>
      <c r="AD367" s="31" t="s">
        <v>811</v>
      </c>
      <c r="AE367" s="31" t="s">
        <v>849</v>
      </c>
      <c r="AF367" s="34" t="s">
        <v>816</v>
      </c>
      <c r="AG367" s="34"/>
      <c r="AH367" s="34"/>
      <c r="AI367" s="34"/>
      <c r="AJ367" s="31"/>
      <c r="AK367" s="31" t="s">
        <v>869</v>
      </c>
      <c r="AL367" s="34" t="s">
        <v>841</v>
      </c>
      <c r="AM367" s="34"/>
      <c r="AN367" s="31" t="s">
        <v>4</v>
      </c>
      <c r="AO367" s="31" t="s">
        <v>808</v>
      </c>
      <c r="AP367" s="31"/>
      <c r="AQ367" s="31"/>
      <c r="AR367" s="31" t="s">
        <v>808</v>
      </c>
      <c r="AS367" s="31"/>
      <c r="AT367" s="31"/>
      <c r="AU367" s="31" t="s">
        <v>808</v>
      </c>
      <c r="AV367" s="31"/>
      <c r="AW367" s="31"/>
      <c r="AX367" s="31"/>
      <c r="AY367" s="31" t="s">
        <v>808</v>
      </c>
      <c r="AZ367" s="31"/>
      <c r="BA367" s="34" t="s">
        <v>795</v>
      </c>
      <c r="BB367" s="34"/>
      <c r="BC367" s="34"/>
      <c r="BD367" s="31"/>
      <c r="BE367" s="31"/>
      <c r="BF367" s="31"/>
      <c r="BG367" s="1" t="s">
        <v>808</v>
      </c>
      <c r="BH367" s="31"/>
      <c r="BI367" s="31"/>
      <c r="BJ367" s="31"/>
      <c r="BK367" s="31"/>
      <c r="BL367" s="31"/>
      <c r="BM367" s="31"/>
      <c r="BN367" s="31"/>
    </row>
    <row r="368" spans="1:68">
      <c r="A368" s="12" t="s">
        <v>433</v>
      </c>
      <c r="B368" s="3"/>
      <c r="C368" s="8"/>
      <c r="D368" s="8">
        <v>7500</v>
      </c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23">
        <f>SUM(D368:Q368)</f>
        <v>7500</v>
      </c>
      <c r="S368" s="12"/>
      <c r="T368" s="23">
        <f>R368-S368</f>
        <v>7500</v>
      </c>
      <c r="U368" s="12"/>
      <c r="V368" s="12"/>
      <c r="W368" s="12"/>
      <c r="X368" s="12"/>
      <c r="Y368" s="12"/>
      <c r="Z368" s="12"/>
      <c r="AA368" s="12"/>
      <c r="AB368" s="12"/>
      <c r="AC368" s="12"/>
      <c r="AD368" s="31" t="s">
        <v>795</v>
      </c>
      <c r="AE368" s="31"/>
      <c r="AF368" s="31" t="s">
        <v>795</v>
      </c>
      <c r="AG368" s="31" t="s">
        <v>795</v>
      </c>
      <c r="AH368" s="31"/>
      <c r="AI368" s="31"/>
      <c r="AJ368" s="31"/>
      <c r="AK368" s="31"/>
      <c r="AL368" s="31"/>
      <c r="AM368" s="31" t="s">
        <v>796</v>
      </c>
      <c r="AN368" s="31"/>
      <c r="AO368" s="31" t="s">
        <v>796</v>
      </c>
      <c r="AP368" s="31"/>
      <c r="AQ368" s="31"/>
      <c r="AR368" s="31" t="s">
        <v>796</v>
      </c>
      <c r="AS368" s="31"/>
      <c r="AT368" s="31"/>
      <c r="AU368" s="31" t="s">
        <v>795</v>
      </c>
      <c r="AV368" s="31"/>
      <c r="AW368" s="31"/>
      <c r="AX368" s="31"/>
      <c r="AY368" s="31" t="s">
        <v>796</v>
      </c>
      <c r="AZ368" s="31"/>
      <c r="BA368" s="31" t="s">
        <v>796</v>
      </c>
      <c r="BB368" s="31"/>
      <c r="BC368" s="31" t="s">
        <v>796</v>
      </c>
      <c r="BD368" s="31"/>
      <c r="BE368" s="31"/>
      <c r="BF368" s="31"/>
      <c r="BG368" s="31"/>
      <c r="BH368" s="31"/>
      <c r="BI368" s="31"/>
      <c r="BJ368" s="31"/>
      <c r="BK368" s="31" t="s">
        <v>796</v>
      </c>
      <c r="BL368" s="31"/>
      <c r="BM368" s="31"/>
      <c r="BN368" s="31"/>
    </row>
    <row r="369" spans="1:71">
      <c r="A369" s="12" t="s">
        <v>440</v>
      </c>
      <c r="B369" s="18"/>
      <c r="C369" s="1"/>
      <c r="D369" s="8">
        <v>6565</v>
      </c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23">
        <f>SUM(D369:Q369)</f>
        <v>6565</v>
      </c>
      <c r="S369" s="12"/>
      <c r="T369" s="12">
        <f>R369-S369</f>
        <v>6565</v>
      </c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63">
        <v>0.70833333333333337</v>
      </c>
      <c r="AF369" s="34" t="s">
        <v>829</v>
      </c>
      <c r="AG369" s="34"/>
      <c r="AH369" s="31" t="s">
        <v>4</v>
      </c>
      <c r="AI369" s="31"/>
      <c r="AJ369" s="31"/>
      <c r="AK369" s="34" t="s">
        <v>841</v>
      </c>
      <c r="AL369" s="34"/>
      <c r="AM369" s="34"/>
      <c r="AN369" s="31" t="s">
        <v>4</v>
      </c>
      <c r="AO369" s="34"/>
      <c r="AP369" s="31" t="s">
        <v>4</v>
      </c>
      <c r="AQ369" s="31"/>
      <c r="AR369" s="31" t="s">
        <v>795</v>
      </c>
      <c r="AS369" s="31"/>
      <c r="AT369" s="34" t="s">
        <v>880</v>
      </c>
      <c r="AU369" s="34"/>
      <c r="AV369" s="34"/>
      <c r="AW369" s="34"/>
      <c r="AX369" s="34"/>
      <c r="AY369" s="31" t="s">
        <v>795</v>
      </c>
      <c r="AZ369" s="34" t="s">
        <v>787</v>
      </c>
      <c r="BA369" s="34"/>
      <c r="BB369" s="31" t="s">
        <v>4</v>
      </c>
      <c r="BC369" s="31" t="s">
        <v>795</v>
      </c>
      <c r="BD369" s="31"/>
      <c r="BE369" s="31"/>
      <c r="BF369" s="31"/>
      <c r="BG369" s="31"/>
      <c r="BH369" s="31"/>
      <c r="BI369" s="31"/>
      <c r="BJ369" s="31"/>
      <c r="BK369" s="31" t="s">
        <v>796</v>
      </c>
      <c r="BL369" s="31"/>
      <c r="BM369" s="31"/>
      <c r="BN369" s="31"/>
    </row>
    <row r="370" spans="1:71">
      <c r="A370" s="12" t="s">
        <v>443</v>
      </c>
      <c r="B370" s="18"/>
      <c r="C370" s="1"/>
      <c r="D370" s="8">
        <v>6075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23">
        <f>SUM(D370:Q370)</f>
        <v>6075</v>
      </c>
      <c r="S370" s="12"/>
      <c r="T370" s="12">
        <f>R370-S370</f>
        <v>6075</v>
      </c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 t="s">
        <v>848</v>
      </c>
      <c r="AF370" s="34"/>
      <c r="AG370" s="34"/>
      <c r="AH370" s="34"/>
      <c r="AI370" s="34"/>
      <c r="AJ370" s="34"/>
      <c r="AK370" s="31" t="s">
        <v>4</v>
      </c>
      <c r="AL370" s="31"/>
      <c r="AM370" s="31" t="s">
        <v>795</v>
      </c>
      <c r="AN370" s="31"/>
      <c r="AO370" s="31" t="s">
        <v>795</v>
      </c>
      <c r="AP370" s="31"/>
      <c r="AQ370" s="31"/>
      <c r="AR370" s="31" t="s">
        <v>795</v>
      </c>
      <c r="AS370" s="31"/>
      <c r="AT370" s="31"/>
      <c r="AU370" s="31" t="s">
        <v>795</v>
      </c>
      <c r="AV370" s="31"/>
      <c r="AW370" s="31"/>
      <c r="AX370" s="31"/>
      <c r="AY370" s="31" t="s">
        <v>795</v>
      </c>
      <c r="AZ370" s="31"/>
      <c r="BA370" s="31" t="s">
        <v>795</v>
      </c>
      <c r="BB370" s="31"/>
      <c r="BC370" s="31" t="s">
        <v>795</v>
      </c>
      <c r="BD370" s="31"/>
      <c r="BE370" s="31"/>
      <c r="BF370" s="31"/>
      <c r="BG370" s="31"/>
      <c r="BH370" s="31"/>
      <c r="BI370" s="31"/>
      <c r="BJ370" s="31"/>
      <c r="BK370" s="34" t="s">
        <v>841</v>
      </c>
      <c r="BL370" s="34"/>
      <c r="BM370" s="34"/>
      <c r="BN370" s="34"/>
      <c r="BO370" s="34"/>
      <c r="BP370" s="34"/>
      <c r="BQ370" s="34"/>
      <c r="BR370" s="34"/>
      <c r="BS370" s="31" t="s">
        <v>4</v>
      </c>
    </row>
    <row r="371" spans="1:71">
      <c r="A371" s="12" t="s">
        <v>333</v>
      </c>
      <c r="B371" s="3"/>
      <c r="C371" s="8"/>
      <c r="D371" s="8">
        <v>20000</v>
      </c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23">
        <f>SUM(D371:Q371)</f>
        <v>20000</v>
      </c>
      <c r="S371" s="12"/>
      <c r="T371" s="23">
        <f>R371-S371</f>
        <v>20000</v>
      </c>
      <c r="U371" s="31"/>
      <c r="V371" s="31"/>
      <c r="W371" s="31"/>
      <c r="X371" s="31"/>
      <c r="Y371" s="31" t="s">
        <v>795</v>
      </c>
      <c r="Z371" s="31"/>
      <c r="AA371" s="31"/>
      <c r="AB371" s="31" t="s">
        <v>795</v>
      </c>
      <c r="AC371" s="31"/>
      <c r="AD371" s="31" t="s">
        <v>795</v>
      </c>
      <c r="AE371" s="31"/>
      <c r="AF371" s="31" t="s">
        <v>795</v>
      </c>
      <c r="AG371" s="31" t="s">
        <v>795</v>
      </c>
      <c r="AH371" s="31"/>
      <c r="AI371" s="31"/>
      <c r="AJ371" s="31"/>
      <c r="AK371" s="31"/>
      <c r="AL371" s="31"/>
      <c r="AM371" s="31" t="s">
        <v>795</v>
      </c>
      <c r="AN371" s="31"/>
      <c r="AO371" s="31" t="s">
        <v>795</v>
      </c>
      <c r="AP371" s="31"/>
      <c r="AQ371" s="31"/>
      <c r="AR371" s="31" t="s">
        <v>795</v>
      </c>
      <c r="AS371" s="31"/>
      <c r="AT371" s="31"/>
      <c r="AU371" s="31" t="s">
        <v>805</v>
      </c>
      <c r="AV371" s="31"/>
      <c r="AW371" s="31"/>
      <c r="AX371" s="31"/>
      <c r="AY371" s="31" t="s">
        <v>795</v>
      </c>
      <c r="AZ371" s="31"/>
      <c r="BA371" s="31" t="s">
        <v>795</v>
      </c>
      <c r="BB371" s="31"/>
      <c r="BC371" s="31" t="s">
        <v>795</v>
      </c>
      <c r="BD371" s="31"/>
      <c r="BE371" s="31"/>
      <c r="BF371" s="31"/>
      <c r="BG371" s="31"/>
      <c r="BH371" s="31"/>
      <c r="BI371" s="31"/>
      <c r="BJ371" s="31"/>
      <c r="BK371" s="31" t="s">
        <v>795</v>
      </c>
      <c r="BL371" s="31"/>
      <c r="BM371" s="31"/>
      <c r="BN371" s="31"/>
    </row>
    <row r="372" spans="1:71">
      <c r="A372" s="12" t="s">
        <v>334</v>
      </c>
      <c r="B372" s="3"/>
      <c r="C372" s="8"/>
      <c r="D372" s="8">
        <v>33075</v>
      </c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23">
        <f>SUM(D372:Q372)</f>
        <v>33075</v>
      </c>
      <c r="S372" s="12"/>
      <c r="T372" s="23">
        <f>R372-S372</f>
        <v>33075</v>
      </c>
      <c r="U372" s="31"/>
      <c r="V372" s="31"/>
      <c r="W372" s="31"/>
      <c r="X372" s="31"/>
      <c r="Y372" s="31" t="s">
        <v>795</v>
      </c>
      <c r="Z372" s="31"/>
      <c r="AA372" s="31"/>
      <c r="AB372" s="34" t="s">
        <v>792</v>
      </c>
      <c r="AC372" s="34"/>
      <c r="AD372" s="34"/>
      <c r="AE372" s="34"/>
      <c r="AF372" s="34"/>
      <c r="AG372" s="34"/>
      <c r="AH372" s="34"/>
      <c r="AI372" s="31" t="s">
        <v>4</v>
      </c>
      <c r="AJ372" s="31"/>
      <c r="AK372" s="31"/>
      <c r="AL372" s="31"/>
      <c r="AM372" s="31" t="s">
        <v>795</v>
      </c>
      <c r="AN372" s="31"/>
      <c r="AO372" s="31" t="s">
        <v>795</v>
      </c>
      <c r="AP372" s="31"/>
      <c r="AQ372" s="31"/>
      <c r="AR372" s="31" t="s">
        <v>795</v>
      </c>
      <c r="AS372" s="31"/>
      <c r="AT372" s="31"/>
      <c r="AU372" s="31" t="s">
        <v>795</v>
      </c>
      <c r="AV372" s="31"/>
      <c r="AW372" s="31"/>
      <c r="AX372" s="31"/>
      <c r="AY372" s="31" t="s">
        <v>795</v>
      </c>
      <c r="AZ372" s="31"/>
      <c r="BA372" s="31" t="s">
        <v>795</v>
      </c>
      <c r="BB372" s="31"/>
      <c r="BC372" s="31" t="s">
        <v>805</v>
      </c>
      <c r="BD372" s="31"/>
      <c r="BE372" s="31"/>
      <c r="BF372" s="31"/>
      <c r="BG372" s="31"/>
      <c r="BH372" s="31"/>
      <c r="BI372" s="31"/>
      <c r="BJ372" s="31"/>
      <c r="BK372" s="31" t="s">
        <v>805</v>
      </c>
      <c r="BL372" s="31"/>
      <c r="BM372" s="31"/>
      <c r="BN372" s="31"/>
    </row>
    <row r="373" spans="1:71">
      <c r="A373" s="12" t="s">
        <v>335</v>
      </c>
      <c r="B373" s="3"/>
      <c r="C373" s="8"/>
      <c r="D373" s="8">
        <v>19915</v>
      </c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23">
        <f>SUM(D373:Q373)</f>
        <v>19915</v>
      </c>
      <c r="S373" s="12"/>
      <c r="T373" s="23">
        <f>R373-S373</f>
        <v>19915</v>
      </c>
      <c r="U373" s="31"/>
      <c r="V373" s="31"/>
      <c r="W373" s="31"/>
      <c r="X373" s="31"/>
      <c r="Y373" s="31" t="s">
        <v>795</v>
      </c>
      <c r="Z373" s="31"/>
      <c r="AA373" s="31"/>
      <c r="AB373" s="31" t="s">
        <v>812</v>
      </c>
      <c r="AC373" s="31"/>
      <c r="AD373" s="31" t="s">
        <v>795</v>
      </c>
      <c r="AE373" s="31"/>
      <c r="AF373" s="31"/>
      <c r="AG373" s="31" t="s">
        <v>795</v>
      </c>
      <c r="AH373" s="31"/>
      <c r="AI373" s="31"/>
      <c r="AJ373" s="31"/>
      <c r="AK373" s="31"/>
      <c r="AL373" s="31"/>
      <c r="AM373" s="31" t="s">
        <v>795</v>
      </c>
      <c r="AN373" s="31"/>
      <c r="AO373" s="31" t="s">
        <v>795</v>
      </c>
      <c r="AP373" s="31"/>
      <c r="AQ373" s="31"/>
      <c r="AR373" s="31" t="s">
        <v>812</v>
      </c>
      <c r="AS373" s="31"/>
      <c r="AT373" s="31"/>
      <c r="AU373" s="31" t="s">
        <v>795</v>
      </c>
      <c r="AV373" s="31"/>
      <c r="AW373" s="31"/>
      <c r="AX373" s="31"/>
      <c r="AY373" s="31" t="s">
        <v>796</v>
      </c>
      <c r="AZ373" s="31"/>
      <c r="BA373" s="31" t="s">
        <v>795</v>
      </c>
      <c r="BB373" s="31"/>
      <c r="BC373" s="31" t="s">
        <v>812</v>
      </c>
      <c r="BD373" s="31"/>
      <c r="BE373" s="31"/>
      <c r="BF373" s="31"/>
      <c r="BG373" s="31"/>
      <c r="BH373" s="31"/>
      <c r="BI373" s="31"/>
      <c r="BJ373" s="31"/>
      <c r="BK373" s="31" t="s">
        <v>795</v>
      </c>
      <c r="BL373" s="31"/>
      <c r="BM373" s="31"/>
      <c r="BN373" s="31"/>
    </row>
    <row r="374" spans="1:71">
      <c r="A374" s="12" t="s">
        <v>336</v>
      </c>
      <c r="B374" s="3"/>
      <c r="C374" s="8"/>
      <c r="D374" s="8">
        <v>67712</v>
      </c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23">
        <f>SUM(D374:Q374)</f>
        <v>67712</v>
      </c>
      <c r="S374" s="12"/>
      <c r="T374" s="23">
        <f>R374-S374</f>
        <v>67712</v>
      </c>
      <c r="U374" s="31"/>
      <c r="V374" s="31"/>
      <c r="W374" s="31"/>
      <c r="X374" s="31"/>
      <c r="Y374" s="31"/>
      <c r="Z374" s="31"/>
      <c r="AA374" s="31"/>
      <c r="AB374" s="31" t="s">
        <v>795</v>
      </c>
      <c r="AC374" s="31"/>
      <c r="AD374" s="31" t="s">
        <v>795</v>
      </c>
      <c r="AE374" s="31"/>
      <c r="AF374" s="31"/>
      <c r="AG374" s="31" t="s">
        <v>795</v>
      </c>
      <c r="AH374" s="31"/>
      <c r="AI374" s="31"/>
      <c r="AJ374" s="31"/>
      <c r="AK374" s="31"/>
      <c r="AL374" s="31"/>
      <c r="AM374" s="31" t="s">
        <v>795</v>
      </c>
      <c r="AN374" s="31"/>
      <c r="AO374" s="31" t="s">
        <v>795</v>
      </c>
      <c r="AP374" s="31"/>
      <c r="AQ374" s="31"/>
      <c r="AR374" s="31" t="s">
        <v>796</v>
      </c>
      <c r="AS374" s="31"/>
      <c r="AT374" s="31"/>
      <c r="AU374" s="34" t="s">
        <v>880</v>
      </c>
      <c r="AV374" s="34"/>
      <c r="AW374" s="34" t="s">
        <v>902</v>
      </c>
      <c r="AX374" s="34"/>
      <c r="AY374" s="34" t="s">
        <v>796</v>
      </c>
      <c r="AZ374" s="31"/>
      <c r="BA374" s="31" t="s">
        <v>795</v>
      </c>
      <c r="BB374" s="31"/>
      <c r="BC374" s="31" t="s">
        <v>795</v>
      </c>
      <c r="BD374" s="31"/>
      <c r="BE374" s="31"/>
      <c r="BF374" s="31"/>
      <c r="BG374" s="31"/>
      <c r="BH374" s="31"/>
      <c r="BI374" s="31"/>
      <c r="BJ374" s="31"/>
      <c r="BK374" s="31" t="s">
        <v>795</v>
      </c>
      <c r="BL374" s="31"/>
      <c r="BM374" s="31"/>
      <c r="BN374" s="31"/>
    </row>
    <row r="375" spans="1:71">
      <c r="A375" s="12" t="s">
        <v>337</v>
      </c>
      <c r="B375" s="3"/>
      <c r="C375" s="12"/>
      <c r="D375" s="12">
        <v>43285</v>
      </c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23">
        <f>SUM(D375:Q375)</f>
        <v>43285</v>
      </c>
      <c r="S375" s="12"/>
      <c r="T375" s="23">
        <f>R375-S375</f>
        <v>43285</v>
      </c>
      <c r="U375" s="1" t="s">
        <v>784</v>
      </c>
      <c r="V375" s="31" t="s">
        <v>4</v>
      </c>
      <c r="W375" s="31"/>
      <c r="X375" s="31"/>
      <c r="Y375" s="34" t="s">
        <v>786</v>
      </c>
      <c r="Z375" s="34"/>
      <c r="AA375" s="34"/>
      <c r="AB375" s="34" t="s">
        <v>827</v>
      </c>
      <c r="AC375" s="34"/>
      <c r="AD375" s="34"/>
      <c r="AE375" s="31" t="s">
        <v>4</v>
      </c>
      <c r="AF375" s="34" t="s">
        <v>829</v>
      </c>
      <c r="AG375" s="34"/>
      <c r="AH375" s="34" t="s">
        <v>848</v>
      </c>
      <c r="AI375" s="34"/>
      <c r="AJ375" s="34"/>
      <c r="AK375" s="31" t="s">
        <v>795</v>
      </c>
      <c r="AL375" s="34" t="s">
        <v>872</v>
      </c>
      <c r="AM375" s="34"/>
      <c r="AN375" s="34"/>
      <c r="AO375" s="34" t="s">
        <v>879</v>
      </c>
      <c r="AP375" s="34"/>
      <c r="AQ375" s="34"/>
      <c r="AR375" s="31" t="s">
        <v>811</v>
      </c>
      <c r="AS375" s="31"/>
      <c r="AT375" s="34" t="s">
        <v>898</v>
      </c>
      <c r="AU375" s="34"/>
      <c r="AV375" s="31" t="s">
        <v>4</v>
      </c>
      <c r="AW375" s="31"/>
      <c r="AX375" s="31"/>
      <c r="AY375" s="34" t="s">
        <v>784</v>
      </c>
      <c r="AZ375" s="34"/>
      <c r="BA375" s="34" t="s">
        <v>787</v>
      </c>
      <c r="BB375" s="63">
        <v>0.70833333333333337</v>
      </c>
      <c r="BC375" s="63">
        <v>0.75</v>
      </c>
      <c r="BD375" s="31" t="s">
        <v>4</v>
      </c>
      <c r="BE375" s="31"/>
      <c r="BF375" s="31"/>
      <c r="BG375" s="31"/>
      <c r="BH375" s="34" t="s">
        <v>827</v>
      </c>
      <c r="BI375" s="34"/>
      <c r="BJ375" s="31" t="s">
        <v>4</v>
      </c>
      <c r="BK375" s="31" t="s">
        <v>796</v>
      </c>
      <c r="BL375" s="31"/>
      <c r="BM375" s="34" t="s">
        <v>816</v>
      </c>
      <c r="BN375" s="34"/>
      <c r="BO375" s="34"/>
      <c r="BP375" s="31" t="s">
        <v>4</v>
      </c>
    </row>
    <row r="376" spans="1:71">
      <c r="A376" s="12" t="s">
        <v>338</v>
      </c>
      <c r="B376" s="3"/>
      <c r="C376" s="12"/>
      <c r="D376" s="12">
        <v>1995</v>
      </c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23">
        <f>SUM(D376:Q376)</f>
        <v>1995</v>
      </c>
      <c r="S376" s="12"/>
      <c r="T376" s="23">
        <f>R376-S376</f>
        <v>1995</v>
      </c>
      <c r="U376" s="31"/>
      <c r="V376" s="31"/>
      <c r="W376" s="31"/>
      <c r="X376" s="31"/>
      <c r="Y376" s="31" t="s">
        <v>795</v>
      </c>
      <c r="Z376" s="31"/>
      <c r="AA376" s="31"/>
      <c r="AB376" s="31" t="s">
        <v>795</v>
      </c>
      <c r="AC376" s="31"/>
      <c r="AD376" s="31" t="s">
        <v>795</v>
      </c>
      <c r="AE376" s="31"/>
      <c r="AF376" s="31"/>
      <c r="AG376" s="31" t="s">
        <v>795</v>
      </c>
      <c r="AH376" s="31"/>
      <c r="AI376" s="31"/>
      <c r="AJ376" s="31"/>
      <c r="AK376" s="31" t="s">
        <v>795</v>
      </c>
      <c r="AL376" s="31"/>
      <c r="AM376" s="31" t="s">
        <v>795</v>
      </c>
      <c r="AN376" s="31"/>
      <c r="AO376" s="31" t="s">
        <v>795</v>
      </c>
      <c r="AP376" s="31"/>
      <c r="AQ376" s="31"/>
      <c r="AR376" s="31" t="s">
        <v>796</v>
      </c>
      <c r="AS376" s="31"/>
      <c r="AT376" s="31"/>
      <c r="AU376" s="31" t="s">
        <v>796</v>
      </c>
      <c r="AV376" s="31"/>
      <c r="AW376" s="31"/>
      <c r="AX376" s="31"/>
      <c r="AY376" s="31" t="s">
        <v>795</v>
      </c>
      <c r="AZ376" s="31"/>
      <c r="BA376" s="31" t="s">
        <v>796</v>
      </c>
      <c r="BB376" s="31"/>
      <c r="BC376" s="31" t="s">
        <v>796</v>
      </c>
      <c r="BD376" s="31"/>
      <c r="BE376" s="31"/>
      <c r="BF376" s="31"/>
      <c r="BG376" s="31"/>
      <c r="BH376" s="31"/>
      <c r="BI376" s="31"/>
      <c r="BJ376" s="31"/>
      <c r="BK376" s="31" t="s">
        <v>812</v>
      </c>
      <c r="BL376" s="31"/>
      <c r="BM376" s="31"/>
      <c r="BN376" s="31"/>
    </row>
    <row r="377" spans="1:71">
      <c r="A377" s="12" t="s">
        <v>340</v>
      </c>
      <c r="B377" s="3"/>
      <c r="C377" s="12"/>
      <c r="D377" s="12">
        <v>28000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23">
        <f>SUM(D377:Q377)</f>
        <v>28000</v>
      </c>
      <c r="S377" s="12"/>
      <c r="T377" s="23">
        <f>R377-S377</f>
        <v>28000</v>
      </c>
      <c r="U377" s="1" t="s">
        <v>786</v>
      </c>
      <c r="V377" s="34"/>
      <c r="W377" s="34"/>
      <c r="X377" s="34"/>
      <c r="Y377" s="34"/>
      <c r="Z377" s="34"/>
      <c r="AA377" s="34"/>
      <c r="AB377" s="31" t="s">
        <v>805</v>
      </c>
      <c r="AC377" s="31"/>
      <c r="AD377" s="31" t="s">
        <v>805</v>
      </c>
      <c r="AE377" s="34" t="s">
        <v>848</v>
      </c>
      <c r="AF377" s="34"/>
      <c r="AG377" s="34"/>
      <c r="AH377" s="34"/>
      <c r="AI377" s="34"/>
      <c r="AJ377" s="34"/>
      <c r="AK377" s="31" t="s">
        <v>805</v>
      </c>
      <c r="AL377" s="31"/>
      <c r="AM377" s="31" t="s">
        <v>805</v>
      </c>
      <c r="AN377" s="31"/>
      <c r="AO377" s="31" t="s">
        <v>795</v>
      </c>
      <c r="AP377" s="31"/>
      <c r="AQ377" s="31"/>
      <c r="AR377" s="31" t="s">
        <v>805</v>
      </c>
      <c r="AS377" s="31"/>
      <c r="AT377" s="31"/>
      <c r="AU377" s="31" t="s">
        <v>805</v>
      </c>
      <c r="AV377" s="31"/>
      <c r="AW377" s="31"/>
      <c r="AX377" s="31"/>
      <c r="AY377" s="31" t="s">
        <v>805</v>
      </c>
      <c r="AZ377" s="31"/>
      <c r="BA377" s="31" t="s">
        <v>805</v>
      </c>
      <c r="BB377" s="31"/>
      <c r="BC377" s="31" t="s">
        <v>805</v>
      </c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 spans="1:71">
      <c r="A378" s="12" t="s">
        <v>341</v>
      </c>
      <c r="B378" s="3"/>
      <c r="C378" s="12"/>
      <c r="D378" s="12">
        <v>33892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23">
        <f>SUM(D378:Q378)</f>
        <v>33892</v>
      </c>
      <c r="S378" s="12"/>
      <c r="T378" s="23">
        <f>R378-S378</f>
        <v>33892</v>
      </c>
      <c r="U378" s="31"/>
      <c r="V378" s="31"/>
      <c r="W378" s="31"/>
      <c r="X378" s="31"/>
      <c r="Y378" s="31"/>
      <c r="Z378" s="31"/>
      <c r="AA378" s="31"/>
      <c r="AB378" s="31" t="s">
        <v>796</v>
      </c>
      <c r="AC378" s="31"/>
      <c r="AD378" s="31" t="s">
        <v>838</v>
      </c>
      <c r="AE378" s="31"/>
      <c r="AF378" s="31"/>
      <c r="AG378" s="31" t="s">
        <v>796</v>
      </c>
      <c r="AH378" s="31"/>
      <c r="AI378" s="31"/>
      <c r="AJ378" s="31"/>
      <c r="AK378" s="31" t="s">
        <v>796</v>
      </c>
      <c r="AL378" s="31"/>
      <c r="AM378" s="31" t="s">
        <v>796</v>
      </c>
      <c r="AN378" s="31"/>
      <c r="AO378" s="31" t="s">
        <v>796</v>
      </c>
      <c r="AP378" s="31"/>
      <c r="AQ378" s="31"/>
      <c r="AR378" s="31" t="s">
        <v>796</v>
      </c>
      <c r="AS378" s="31"/>
      <c r="AT378" s="31"/>
      <c r="AU378" s="31" t="s">
        <v>796</v>
      </c>
      <c r="AV378" s="31"/>
      <c r="AW378" s="31"/>
      <c r="AX378" s="31"/>
      <c r="AY378" s="31" t="s">
        <v>796</v>
      </c>
      <c r="AZ378" s="31"/>
      <c r="BA378" s="31" t="s">
        <v>796</v>
      </c>
      <c r="BB378" s="31"/>
      <c r="BC378" s="31" t="s">
        <v>796</v>
      </c>
      <c r="BD378" s="31"/>
      <c r="BE378" s="31"/>
      <c r="BF378" s="31"/>
      <c r="BG378" s="31"/>
      <c r="BH378" s="31"/>
      <c r="BI378" s="31"/>
      <c r="BJ378" s="31"/>
      <c r="BK378" s="31" t="s">
        <v>796</v>
      </c>
      <c r="BL378" s="31"/>
      <c r="BM378" s="31"/>
      <c r="BN378" s="31"/>
    </row>
    <row r="379" spans="1:71">
      <c r="A379" s="12" t="s">
        <v>342</v>
      </c>
      <c r="B379" s="3"/>
      <c r="C379" s="12"/>
      <c r="D379" s="12">
        <v>9008</v>
      </c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23">
        <f>SUM(D379:Q379)</f>
        <v>9008</v>
      </c>
      <c r="S379" s="12"/>
      <c r="T379" s="23">
        <f>R379-S379</f>
        <v>9008</v>
      </c>
      <c r="U379" s="14"/>
      <c r="V379" s="31"/>
      <c r="W379" s="14"/>
      <c r="X379" s="14"/>
      <c r="Y379" s="14" t="s">
        <v>805</v>
      </c>
      <c r="Z379" s="14"/>
      <c r="AA379" s="14"/>
      <c r="AB379" s="14" t="s">
        <v>795</v>
      </c>
      <c r="AC379" s="14"/>
      <c r="AD379" s="14" t="s">
        <v>839</v>
      </c>
      <c r="AE379" s="31"/>
      <c r="AF379" s="31"/>
      <c r="AG379" s="34" t="s">
        <v>847</v>
      </c>
      <c r="AH379" s="34"/>
      <c r="AI379" s="34"/>
      <c r="AJ379" s="34"/>
      <c r="AK379" s="34"/>
      <c r="AL379" s="31" t="s">
        <v>4</v>
      </c>
      <c r="AM379" s="31" t="s">
        <v>805</v>
      </c>
      <c r="AN379" s="31"/>
      <c r="AO379" s="31" t="s">
        <v>805</v>
      </c>
      <c r="AP379" s="31"/>
      <c r="AQ379" s="31"/>
      <c r="AR379" s="31" t="s">
        <v>805</v>
      </c>
      <c r="AS379" s="31"/>
      <c r="AT379" s="31"/>
      <c r="AU379" s="31" t="s">
        <v>796</v>
      </c>
      <c r="AV379" s="31"/>
      <c r="AW379" s="31"/>
      <c r="AX379" s="31"/>
      <c r="AY379" s="31" t="s">
        <v>795</v>
      </c>
      <c r="AZ379" s="31"/>
      <c r="BA379" s="31" t="s">
        <v>795</v>
      </c>
      <c r="BB379" s="31"/>
      <c r="BC379" s="31" t="s">
        <v>795</v>
      </c>
      <c r="BD379" s="31"/>
      <c r="BE379" s="31"/>
      <c r="BF379" s="31"/>
      <c r="BG379" s="31"/>
      <c r="BH379" s="31"/>
      <c r="BI379" s="31"/>
      <c r="BJ379" s="31"/>
      <c r="BK379" s="31" t="s">
        <v>796</v>
      </c>
      <c r="BL379" s="31"/>
      <c r="BM379" s="31"/>
      <c r="BN379" s="31"/>
    </row>
    <row r="380" spans="1:71">
      <c r="A380" s="12" t="s">
        <v>480</v>
      </c>
      <c r="B380" s="18"/>
      <c r="C380" s="12"/>
      <c r="D380" s="12">
        <v>7600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23">
        <f>SUM(D380:Q380)</f>
        <v>7600</v>
      </c>
      <c r="S380" s="12"/>
      <c r="T380" s="12">
        <f>R380-S380</f>
        <v>7600</v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31"/>
      <c r="AE380" s="31"/>
      <c r="AF380" s="31"/>
      <c r="AG380" s="31"/>
      <c r="AH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 spans="1:71">
      <c r="A381" s="8" t="s">
        <v>311</v>
      </c>
      <c r="B381" s="24"/>
      <c r="C381" s="8"/>
      <c r="D381" s="23">
        <v>-8485</v>
      </c>
      <c r="E381" s="23"/>
      <c r="F381" s="23"/>
      <c r="G381" s="23"/>
      <c r="H381" s="23"/>
      <c r="I381" s="23"/>
      <c r="J381" s="23"/>
      <c r="K381" s="23"/>
      <c r="L381" s="23"/>
      <c r="M381" s="8"/>
      <c r="N381" s="8"/>
      <c r="O381" s="8"/>
      <c r="P381" s="8"/>
      <c r="Q381" s="8"/>
      <c r="R381" s="23">
        <f>SUM(D381:Q381)</f>
        <v>-8485</v>
      </c>
      <c r="S381" s="8"/>
      <c r="T381" s="8">
        <f>R381-S381</f>
        <v>-8485</v>
      </c>
    </row>
    <row r="382" spans="1:71">
      <c r="A382" s="12" t="s">
        <v>343</v>
      </c>
      <c r="B382" s="3"/>
      <c r="C382" s="12"/>
      <c r="D382" s="12">
        <v>7200</v>
      </c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23">
        <f>SUM(D382:Q382)</f>
        <v>7200</v>
      </c>
      <c r="S382" s="12"/>
      <c r="T382" s="23">
        <f>R382-S382</f>
        <v>7200</v>
      </c>
      <c r="U382" s="1" t="s">
        <v>787</v>
      </c>
      <c r="V382" s="34"/>
      <c r="W382" s="31" t="s">
        <v>4</v>
      </c>
      <c r="X382" s="31"/>
      <c r="Y382" s="31"/>
      <c r="Z382" s="31"/>
      <c r="AA382" s="34" t="s">
        <v>807</v>
      </c>
      <c r="AB382" s="34"/>
      <c r="AC382" s="34"/>
      <c r="AD382" s="34" t="s">
        <v>840</v>
      </c>
      <c r="AE382" s="34"/>
      <c r="AF382" s="34"/>
      <c r="AG382" s="34" t="s">
        <v>805</v>
      </c>
      <c r="AH382" s="34" t="s">
        <v>848</v>
      </c>
      <c r="AI382" s="34"/>
      <c r="AJ382" s="34"/>
      <c r="AK382" s="31" t="s">
        <v>805</v>
      </c>
      <c r="AL382" s="31"/>
      <c r="AM382" s="31" t="s">
        <v>805</v>
      </c>
      <c r="AN382" s="31"/>
      <c r="AO382" s="31" t="s">
        <v>795</v>
      </c>
      <c r="AP382" s="31"/>
      <c r="AQ382" s="31"/>
      <c r="AR382" s="31" t="s">
        <v>795</v>
      </c>
      <c r="AS382" s="31"/>
      <c r="AT382" s="31"/>
      <c r="AU382" s="34" t="s">
        <v>906</v>
      </c>
      <c r="AV382" s="34"/>
      <c r="AW382" s="34"/>
      <c r="AX382" s="34"/>
      <c r="AY382" s="34" t="s">
        <v>785</v>
      </c>
      <c r="AZ382" s="34"/>
      <c r="BA382" s="34"/>
      <c r="BB382" s="34"/>
      <c r="BC382" s="31" t="s">
        <v>805</v>
      </c>
      <c r="BD382" s="31"/>
      <c r="BE382" s="31"/>
      <c r="BF382" s="31"/>
      <c r="BG382" s="34" t="s">
        <v>825</v>
      </c>
      <c r="BH382" s="52">
        <v>0.70833333333333337</v>
      </c>
      <c r="BI382" s="52">
        <v>0.70833333333333337</v>
      </c>
      <c r="BJ382" s="31"/>
      <c r="BK382" s="34" t="s">
        <v>840</v>
      </c>
      <c r="BL382" s="31" t="s">
        <v>4</v>
      </c>
      <c r="BM382" s="1" t="s">
        <v>1002</v>
      </c>
      <c r="BN382" s="31"/>
    </row>
    <row r="383" spans="1:71">
      <c r="A383" s="12" t="s">
        <v>344</v>
      </c>
      <c r="B383" s="3"/>
      <c r="C383" s="12"/>
      <c r="D383" s="12">
        <v>13705</v>
      </c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23">
        <f>SUM(D383:Q383)</f>
        <v>13705</v>
      </c>
      <c r="S383" s="12"/>
      <c r="T383" s="23">
        <f>R383-S383</f>
        <v>13705</v>
      </c>
      <c r="U383" s="31"/>
      <c r="V383" s="31"/>
      <c r="W383" s="31"/>
      <c r="X383" s="31"/>
      <c r="Y383" s="31" t="s">
        <v>796</v>
      </c>
      <c r="Z383" s="31"/>
      <c r="AA383" s="31"/>
      <c r="AB383" s="31" t="s">
        <v>796</v>
      </c>
      <c r="AC383" s="31"/>
      <c r="AD383" s="31" t="s">
        <v>796</v>
      </c>
      <c r="AE383" s="31"/>
      <c r="AF383" s="31"/>
      <c r="AG383" s="31" t="s">
        <v>796</v>
      </c>
      <c r="AH383" s="31"/>
      <c r="AI383" s="31"/>
      <c r="AJ383" s="31"/>
      <c r="AK383" s="31" t="s">
        <v>796</v>
      </c>
      <c r="AL383" s="31"/>
      <c r="AM383" s="31" t="s">
        <v>796</v>
      </c>
      <c r="AN383" s="31"/>
      <c r="AO383" s="31" t="s">
        <v>796</v>
      </c>
      <c r="AP383" s="31"/>
      <c r="AQ383" s="31"/>
      <c r="AR383" s="31" t="s">
        <v>796</v>
      </c>
      <c r="AS383" s="31"/>
      <c r="AT383" s="31"/>
      <c r="AU383" s="31" t="s">
        <v>796</v>
      </c>
      <c r="AV383" s="31"/>
      <c r="AW383" s="31"/>
      <c r="AX383" s="31"/>
      <c r="AY383" s="31" t="s">
        <v>796</v>
      </c>
      <c r="AZ383" s="31"/>
      <c r="BA383" s="31" t="s">
        <v>796</v>
      </c>
      <c r="BB383" s="31"/>
      <c r="BC383" s="31" t="s">
        <v>796</v>
      </c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 spans="1:71">
      <c r="A384" s="12" t="s">
        <v>481</v>
      </c>
      <c r="B384" s="3" t="s">
        <v>901</v>
      </c>
      <c r="C384" s="12"/>
      <c r="D384" s="12">
        <v>2675</v>
      </c>
      <c r="E384" s="12"/>
      <c r="F384" s="12"/>
      <c r="G384" s="12"/>
      <c r="H384" s="12"/>
      <c r="I384" s="12"/>
      <c r="J384" s="2">
        <v>85000</v>
      </c>
      <c r="K384" s="12"/>
      <c r="L384" s="12"/>
      <c r="M384" s="12"/>
      <c r="N384" s="12"/>
      <c r="O384" s="12"/>
      <c r="P384" s="12"/>
      <c r="Q384" s="12"/>
      <c r="R384" s="23">
        <f>SUM(D384:Q384)</f>
        <v>87675</v>
      </c>
      <c r="S384" s="12">
        <f>AR384</f>
        <v>85000</v>
      </c>
      <c r="T384" s="23">
        <f>R384-S384</f>
        <v>2675</v>
      </c>
      <c r="U384" s="1"/>
      <c r="V384" s="34"/>
      <c r="W384" s="31"/>
      <c r="X384" s="31"/>
      <c r="Y384" s="31"/>
      <c r="Z384" s="31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1"/>
      <c r="AL384" s="31"/>
      <c r="AM384" s="31"/>
      <c r="AN384" s="31"/>
      <c r="AO384" s="31"/>
      <c r="AP384" s="31"/>
      <c r="AQ384" s="31"/>
      <c r="AR384" s="62">
        <v>85000</v>
      </c>
      <c r="AT384" s="31"/>
      <c r="AU384" s="31"/>
      <c r="AV384" s="31"/>
      <c r="AW384" s="31"/>
      <c r="AX384" s="31"/>
      <c r="AY384" s="31" t="s">
        <v>796</v>
      </c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 spans="1:76">
      <c r="A385" s="12" t="s">
        <v>346</v>
      </c>
      <c r="B385" s="3"/>
      <c r="C385" s="12"/>
      <c r="D385" s="12">
        <v>26232</v>
      </c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23">
        <f>SUM(D385:Q385)</f>
        <v>26232</v>
      </c>
      <c r="S385" s="12"/>
      <c r="T385" s="23">
        <f>R385-S385</f>
        <v>26232</v>
      </c>
      <c r="U385" s="14"/>
      <c r="V385" s="31"/>
      <c r="W385" s="14"/>
      <c r="X385" s="14"/>
      <c r="Y385" s="14"/>
      <c r="Z385" s="14"/>
      <c r="AA385" s="14"/>
      <c r="AB385" s="14"/>
      <c r="AC385" s="14"/>
      <c r="AD385" s="14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 spans="1:76">
      <c r="A386" s="12" t="s">
        <v>347</v>
      </c>
      <c r="B386" s="3"/>
      <c r="C386" s="12"/>
      <c r="D386" s="12">
        <v>24870</v>
      </c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23">
        <f>SUM(D386:Q386)</f>
        <v>24870</v>
      </c>
      <c r="S386" s="12"/>
      <c r="T386" s="23">
        <f>R386-S386</f>
        <v>24870</v>
      </c>
      <c r="U386" s="31"/>
      <c r="V386" s="31"/>
      <c r="W386" s="31"/>
      <c r="X386" s="31"/>
      <c r="Y386" s="31" t="s">
        <v>795</v>
      </c>
      <c r="Z386" s="31"/>
      <c r="AA386" s="31"/>
      <c r="AB386" s="31" t="s">
        <v>795</v>
      </c>
      <c r="AC386" s="31"/>
      <c r="AD386" s="31" t="s">
        <v>795</v>
      </c>
      <c r="AE386" s="31"/>
      <c r="AF386" s="31"/>
      <c r="AG386" s="34" t="s">
        <v>816</v>
      </c>
      <c r="AH386" s="34"/>
      <c r="AI386" s="34"/>
      <c r="AJ386" s="31" t="s">
        <v>4</v>
      </c>
      <c r="AK386" s="31" t="s">
        <v>795</v>
      </c>
      <c r="AL386" s="31"/>
      <c r="AM386" s="31" t="s">
        <v>795</v>
      </c>
      <c r="AN386" s="31"/>
      <c r="AO386" s="31" t="s">
        <v>795</v>
      </c>
      <c r="AP386" s="31"/>
      <c r="AQ386" s="31"/>
      <c r="AR386" s="31" t="s">
        <v>795</v>
      </c>
      <c r="AS386" s="31"/>
      <c r="AT386" s="31"/>
      <c r="AU386" s="31" t="s">
        <v>795</v>
      </c>
      <c r="AV386" s="31"/>
      <c r="AW386" s="31"/>
      <c r="AX386" s="31"/>
      <c r="AY386" s="31" t="s">
        <v>795</v>
      </c>
      <c r="AZ386" s="31"/>
      <c r="BA386" s="31" t="s">
        <v>795</v>
      </c>
      <c r="BB386" s="31"/>
      <c r="BC386" s="31" t="s">
        <v>795</v>
      </c>
      <c r="BD386" s="31"/>
      <c r="BE386" s="31"/>
      <c r="BF386" s="31"/>
      <c r="BG386" s="31"/>
      <c r="BH386" s="31"/>
      <c r="BI386" s="31" t="s">
        <v>795</v>
      </c>
      <c r="BJ386" s="31"/>
      <c r="BK386" s="31"/>
      <c r="BL386" s="31"/>
      <c r="BM386" s="31"/>
      <c r="BN386" s="31"/>
    </row>
    <row r="387" spans="1:76">
      <c r="A387" s="12" t="s">
        <v>489</v>
      </c>
      <c r="B387" s="3"/>
      <c r="C387" s="12"/>
      <c r="D387" s="12">
        <v>129500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23">
        <f>SUM(D387:Q387)</f>
        <v>129500</v>
      </c>
      <c r="S387" s="12"/>
      <c r="T387" s="23">
        <f>R387-S387</f>
        <v>129500</v>
      </c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 t="s">
        <v>798</v>
      </c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 t="s">
        <v>811</v>
      </c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 spans="1:76">
      <c r="A388" s="12" t="s">
        <v>348</v>
      </c>
      <c r="B388" s="3"/>
      <c r="C388" s="12"/>
      <c r="D388" s="12">
        <v>118350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23">
        <f>SUM(D388:Q388)</f>
        <v>118350</v>
      </c>
      <c r="S388" s="12"/>
      <c r="T388" s="23">
        <f>R388-S388</f>
        <v>118350</v>
      </c>
      <c r="U388" s="8" t="s">
        <v>788</v>
      </c>
      <c r="V388" s="31"/>
      <c r="W388" s="31"/>
      <c r="X388" s="31"/>
      <c r="Y388" s="31" t="s">
        <v>810</v>
      </c>
      <c r="Z388" s="31"/>
      <c r="AA388" s="31"/>
      <c r="AB388" s="31" t="s">
        <v>832</v>
      </c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 t="s">
        <v>795</v>
      </c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 spans="1:76">
      <c r="A389" s="12" t="s">
        <v>349</v>
      </c>
      <c r="B389" s="24" t="s">
        <v>853</v>
      </c>
      <c r="C389" s="12"/>
      <c r="D389" s="8">
        <v>8125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23">
        <f>SUM(D389:Q389)</f>
        <v>8125</v>
      </c>
      <c r="S389" s="12">
        <v>5000</v>
      </c>
      <c r="T389" s="23">
        <f>R389-S389</f>
        <v>3125</v>
      </c>
      <c r="U389" s="31"/>
      <c r="V389" s="31"/>
      <c r="W389" s="31"/>
      <c r="X389" s="31"/>
      <c r="Y389" s="31" t="s">
        <v>795</v>
      </c>
      <c r="Z389" s="31"/>
      <c r="AA389" s="31"/>
      <c r="AB389" s="34" t="s">
        <v>829</v>
      </c>
      <c r="AC389" s="34"/>
      <c r="AD389" s="34"/>
      <c r="AE389" s="34"/>
      <c r="AF389" s="34"/>
      <c r="AG389" s="34"/>
      <c r="AH389" s="65">
        <v>0.70833333333333337</v>
      </c>
      <c r="AI389" s="31"/>
      <c r="AJ389" s="31"/>
      <c r="AK389" s="62">
        <v>5000</v>
      </c>
      <c r="AL389" s="34"/>
      <c r="AM389" s="34"/>
      <c r="AN389" s="34"/>
      <c r="AO389" s="34"/>
      <c r="AP389" s="34"/>
      <c r="AQ389" s="34"/>
      <c r="AR389" s="34" t="s">
        <v>894</v>
      </c>
      <c r="AS389" s="34"/>
      <c r="AT389" s="34"/>
      <c r="AU389" s="34"/>
      <c r="AV389" s="34"/>
      <c r="AW389" s="31" t="s">
        <v>4</v>
      </c>
      <c r="AX389" s="31"/>
      <c r="AY389" s="31" t="s">
        <v>795</v>
      </c>
      <c r="AZ389" s="34" t="s">
        <v>169</v>
      </c>
      <c r="BA389" s="34"/>
      <c r="BB389" s="34"/>
      <c r="BC389" s="34"/>
      <c r="BD389" s="31" t="s">
        <v>4</v>
      </c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 spans="1:76">
      <c r="A390" s="12" t="s">
        <v>350</v>
      </c>
      <c r="B390" s="3"/>
      <c r="C390" s="12"/>
      <c r="D390" s="12">
        <v>2293</v>
      </c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23">
        <f>SUM(D390:Q390)</f>
        <v>2293</v>
      </c>
      <c r="S390" s="12"/>
      <c r="T390" s="23">
        <f>R390-S390</f>
        <v>2293</v>
      </c>
      <c r="U390" s="1" t="s">
        <v>787</v>
      </c>
      <c r="V390" s="34"/>
      <c r="W390" s="31" t="s">
        <v>4</v>
      </c>
      <c r="X390" s="31"/>
      <c r="Y390" s="31"/>
      <c r="Z390" s="34" t="s">
        <v>823</v>
      </c>
      <c r="AA390" s="34"/>
      <c r="AB390" s="34"/>
      <c r="AC390" s="34"/>
      <c r="AD390" s="34" t="s">
        <v>783</v>
      </c>
      <c r="AE390" s="34"/>
      <c r="AF390" s="31" t="s">
        <v>4</v>
      </c>
      <c r="AG390" s="34" t="s">
        <v>855</v>
      </c>
      <c r="AH390" s="34"/>
      <c r="AI390" s="34"/>
      <c r="AJ390" s="34"/>
      <c r="AK390" s="34"/>
      <c r="AL390" s="34"/>
      <c r="AM390" s="34" t="s">
        <v>811</v>
      </c>
      <c r="AN390" s="34" t="s">
        <v>881</v>
      </c>
      <c r="AO390" s="34"/>
      <c r="AP390" s="34"/>
      <c r="AQ390" s="34"/>
      <c r="AR390" s="34"/>
      <c r="AS390" s="31" t="s">
        <v>4</v>
      </c>
      <c r="AT390" s="31"/>
      <c r="AU390" s="31" t="s">
        <v>811</v>
      </c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 spans="1:76">
      <c r="A391" s="12" t="s">
        <v>658</v>
      </c>
      <c r="B391" s="18" t="s">
        <v>878</v>
      </c>
      <c r="C391" s="2"/>
      <c r="D391" s="2">
        <v>0</v>
      </c>
      <c r="E391" s="12"/>
      <c r="F391" s="2">
        <v>9731.01</v>
      </c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23">
        <f>SUM(D391:Q391)</f>
        <v>9731.01</v>
      </c>
      <c r="S391" s="12"/>
      <c r="T391" s="12">
        <f>R391-S391</f>
        <v>9731.01</v>
      </c>
      <c r="AB391" s="34"/>
      <c r="AC391" s="34"/>
      <c r="AD391" s="34"/>
      <c r="AE391" s="34"/>
      <c r="AF391" s="34"/>
      <c r="AG391" s="34" t="s">
        <v>847</v>
      </c>
      <c r="AH391" s="34"/>
      <c r="AI391" s="34"/>
      <c r="AJ391" s="34"/>
      <c r="AK391" s="34"/>
      <c r="AL391" s="34" t="s">
        <v>872</v>
      </c>
      <c r="AM391" s="34"/>
      <c r="AN391" s="34"/>
      <c r="AO391" s="34" t="s">
        <v>881</v>
      </c>
      <c r="AP391" s="34"/>
      <c r="AQ391" s="34"/>
      <c r="AR391" s="34"/>
      <c r="AS391" s="34"/>
      <c r="AT391" s="31"/>
      <c r="AU391" s="31"/>
      <c r="AV391" s="31"/>
      <c r="AW391" s="31"/>
      <c r="AX391" s="31"/>
      <c r="AY391" s="31"/>
      <c r="AZ391" s="31"/>
      <c r="BA391" s="31"/>
      <c r="BB391" s="34" t="s">
        <v>786</v>
      </c>
      <c r="BC391" s="34"/>
      <c r="BD391" s="34"/>
      <c r="BE391" s="34"/>
      <c r="BF391" s="34"/>
      <c r="BG391" s="34" t="s">
        <v>783</v>
      </c>
      <c r="BH391" s="34"/>
      <c r="BI391" s="34"/>
      <c r="BJ391" s="34"/>
      <c r="BK391" s="34" t="s">
        <v>829</v>
      </c>
      <c r="BL391" s="34"/>
      <c r="BM391" s="34" t="s">
        <v>848</v>
      </c>
      <c r="BN391" s="34"/>
      <c r="BO391" s="34"/>
      <c r="BP391" s="34"/>
      <c r="BQ391" s="31" t="s">
        <v>4</v>
      </c>
    </row>
    <row r="392" spans="1:76">
      <c r="A392" s="12" t="s">
        <v>351</v>
      </c>
      <c r="B392" s="3"/>
      <c r="C392" s="12"/>
      <c r="D392" s="12">
        <v>43517</v>
      </c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23">
        <f>SUM(D392:Q392)</f>
        <v>43517</v>
      </c>
      <c r="S392" s="12">
        <f>2500+2500</f>
        <v>5000</v>
      </c>
      <c r="T392" s="23">
        <f>R392-S392</f>
        <v>38517</v>
      </c>
      <c r="U392" s="8" t="s">
        <v>785</v>
      </c>
      <c r="V392" s="34"/>
      <c r="W392" s="12"/>
      <c r="X392" s="31" t="s">
        <v>169</v>
      </c>
      <c r="Y392" s="51">
        <v>0.58333333333333337</v>
      </c>
      <c r="Z392" s="1">
        <v>2500</v>
      </c>
      <c r="AA392" s="34"/>
      <c r="AB392" s="12"/>
      <c r="AC392" s="12"/>
      <c r="AD392" s="12"/>
      <c r="AE392" s="34" t="s">
        <v>829</v>
      </c>
      <c r="AF392" s="34"/>
      <c r="AG392" s="34"/>
      <c r="AH392" s="34" t="s">
        <v>792</v>
      </c>
      <c r="AI392" s="34" t="s">
        <v>847</v>
      </c>
      <c r="AJ392" s="34"/>
      <c r="AK392" s="34"/>
      <c r="AL392" s="34"/>
      <c r="AM392" s="52">
        <v>0.75</v>
      </c>
      <c r="AN392" s="31"/>
      <c r="AO392" s="52">
        <v>0.75</v>
      </c>
      <c r="AP392" s="62">
        <v>2500</v>
      </c>
      <c r="AQ392" s="31"/>
      <c r="AR392" s="34" t="s">
        <v>894</v>
      </c>
      <c r="AS392" s="34"/>
      <c r="AT392" s="34"/>
      <c r="AU392" s="34"/>
      <c r="AV392" s="34"/>
      <c r="AW392" s="31" t="s">
        <v>784</v>
      </c>
      <c r="AX392" s="31"/>
      <c r="AY392" s="31"/>
      <c r="AZ392" s="34">
        <v>2</v>
      </c>
      <c r="BA392" s="1" t="s">
        <v>973</v>
      </c>
      <c r="BB392" s="31" t="s">
        <v>785</v>
      </c>
      <c r="BC392" s="52">
        <v>0.70833333333333337</v>
      </c>
      <c r="BD392" s="31"/>
      <c r="BE392" s="31"/>
      <c r="BF392" s="52">
        <v>0.75</v>
      </c>
      <c r="BG392" s="1" t="s">
        <v>973</v>
      </c>
      <c r="BH392" s="31"/>
      <c r="BI392" s="31"/>
      <c r="BJ392" s="31"/>
      <c r="BK392" s="34" t="s">
        <v>792</v>
      </c>
      <c r="BL392" s="34"/>
      <c r="BM392" s="34"/>
      <c r="BN392" s="31" t="s">
        <v>4</v>
      </c>
    </row>
    <row r="393" spans="1:76">
      <c r="A393" s="12" t="s">
        <v>352</v>
      </c>
      <c r="B393" s="3"/>
      <c r="C393" s="12"/>
      <c r="D393" s="12">
        <v>5900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23">
        <f>SUM(D393:Q393)</f>
        <v>5900</v>
      </c>
      <c r="S393" s="12"/>
      <c r="T393" s="23">
        <f>R393-S393</f>
        <v>5900</v>
      </c>
      <c r="U393" s="31"/>
      <c r="V393" s="31"/>
      <c r="W393" s="31"/>
      <c r="X393" s="31"/>
      <c r="Y393" s="31" t="s">
        <v>795</v>
      </c>
      <c r="Z393" s="31"/>
      <c r="AA393" s="31"/>
      <c r="AB393" s="31" t="s">
        <v>795</v>
      </c>
      <c r="AC393" s="31"/>
      <c r="AD393" s="31" t="s">
        <v>795</v>
      </c>
      <c r="AE393" s="31"/>
      <c r="AF393" s="31"/>
      <c r="AG393" s="31" t="s">
        <v>795</v>
      </c>
      <c r="AH393" s="31"/>
      <c r="AI393" s="31"/>
      <c r="AJ393" s="31"/>
      <c r="AK393" s="31" t="s">
        <v>795</v>
      </c>
      <c r="AL393" s="31"/>
      <c r="AM393" s="31" t="s">
        <v>795</v>
      </c>
      <c r="AN393" s="31"/>
      <c r="AO393" s="31" t="s">
        <v>795</v>
      </c>
      <c r="AP393" s="31"/>
      <c r="AQ393" s="31"/>
      <c r="AR393" s="31" t="s">
        <v>795</v>
      </c>
      <c r="AS393" s="31"/>
      <c r="AT393" s="31"/>
      <c r="AU393" s="31" t="s">
        <v>795</v>
      </c>
      <c r="AV393" s="31"/>
      <c r="AW393" s="31"/>
      <c r="AX393" s="31"/>
      <c r="AY393" s="34" t="s">
        <v>327</v>
      </c>
      <c r="AZ393" s="34"/>
      <c r="BA393" s="34"/>
      <c r="BB393" s="34"/>
      <c r="BC393" s="34"/>
      <c r="BD393" s="34"/>
      <c r="BE393" s="31" t="s">
        <v>4</v>
      </c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 spans="1:76">
      <c r="A394" s="12" t="s">
        <v>982</v>
      </c>
      <c r="B394" s="3"/>
      <c r="C394" s="12"/>
      <c r="D394" s="12">
        <v>10000</v>
      </c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23">
        <f>SUM(D394:Q394)</f>
        <v>10000</v>
      </c>
      <c r="S394" s="12"/>
      <c r="T394" s="23">
        <f>R394-S394</f>
        <v>10000</v>
      </c>
      <c r="U394" s="31"/>
      <c r="V394" s="31"/>
      <c r="W394" s="31"/>
      <c r="X394" s="31"/>
      <c r="Y394" s="31" t="s">
        <v>795</v>
      </c>
      <c r="Z394" s="31"/>
      <c r="AA394" s="31"/>
      <c r="AB394" s="31" t="s">
        <v>795</v>
      </c>
      <c r="AC394" s="31"/>
      <c r="AD394" s="31" t="s">
        <v>795</v>
      </c>
      <c r="AE394" s="31"/>
      <c r="AF394" s="31"/>
      <c r="AG394" s="31" t="s">
        <v>795</v>
      </c>
      <c r="AH394" s="31"/>
      <c r="AI394" s="31"/>
      <c r="AJ394" s="31"/>
      <c r="AK394" s="31" t="s">
        <v>795</v>
      </c>
      <c r="AL394" s="31"/>
      <c r="AM394" s="31" t="s">
        <v>796</v>
      </c>
      <c r="AN394" s="31"/>
      <c r="AO394" s="31" t="s">
        <v>796</v>
      </c>
      <c r="AP394" s="31"/>
      <c r="AQ394" s="31"/>
      <c r="AR394" s="31" t="s">
        <v>795</v>
      </c>
      <c r="AS394" s="31"/>
      <c r="AT394" s="31"/>
      <c r="AU394" s="31" t="s">
        <v>795</v>
      </c>
      <c r="AV394" s="31"/>
      <c r="AW394" s="31"/>
      <c r="AX394" s="31"/>
      <c r="AY394" s="31" t="s">
        <v>795</v>
      </c>
      <c r="AZ394" s="31"/>
      <c r="BA394" s="31" t="s">
        <v>795</v>
      </c>
      <c r="BB394" s="31"/>
      <c r="BC394" s="34" t="s">
        <v>825</v>
      </c>
      <c r="BD394" s="34"/>
      <c r="BE394" s="34"/>
      <c r="BF394" s="34"/>
      <c r="BG394" s="34"/>
      <c r="BH394" s="31" t="s">
        <v>4</v>
      </c>
      <c r="BI394" s="31"/>
      <c r="BJ394" s="31"/>
      <c r="BK394" s="31"/>
      <c r="BL394" s="31"/>
      <c r="BM394" s="31"/>
      <c r="BN394" s="31"/>
    </row>
    <row r="395" spans="1:76" ht="18.75">
      <c r="A395" s="79" t="s">
        <v>354</v>
      </c>
      <c r="B395" s="80"/>
      <c r="C395" s="79"/>
      <c r="D395" s="84">
        <v>13670</v>
      </c>
      <c r="E395" s="12"/>
      <c r="F395" s="12"/>
      <c r="G395" s="12"/>
      <c r="H395" s="12"/>
      <c r="I395" s="2">
        <v>25444</v>
      </c>
      <c r="J395" s="12"/>
      <c r="K395" s="12"/>
      <c r="L395" s="12"/>
      <c r="M395" s="12"/>
      <c r="N395" s="12"/>
      <c r="O395" s="12"/>
      <c r="P395" s="12"/>
      <c r="Q395" s="12"/>
      <c r="R395" s="23">
        <f>SUM(D395:Q395)</f>
        <v>39114</v>
      </c>
      <c r="S395" s="12">
        <f>BC395</f>
        <v>25400</v>
      </c>
      <c r="T395" s="23">
        <f>R395-S395</f>
        <v>13714</v>
      </c>
      <c r="U395" s="31"/>
      <c r="V395" s="31"/>
      <c r="W395" s="31"/>
      <c r="X395" s="31"/>
      <c r="Y395" s="31"/>
      <c r="Z395" s="31"/>
      <c r="AA395" s="31"/>
      <c r="AB395" s="31" t="s">
        <v>795</v>
      </c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 t="s">
        <v>884</v>
      </c>
      <c r="AO395" s="34"/>
      <c r="AP395" s="34"/>
      <c r="AQ395" s="34"/>
      <c r="AR395" s="34"/>
      <c r="AS395" s="34"/>
      <c r="AT395" s="34"/>
      <c r="AU395" s="34" t="s">
        <v>880</v>
      </c>
      <c r="AV395" s="34"/>
      <c r="AW395" s="34"/>
      <c r="AX395" s="34"/>
      <c r="AY395" s="31" t="s">
        <v>795</v>
      </c>
      <c r="AZ395" s="31"/>
      <c r="BA395" s="1" t="s">
        <v>787</v>
      </c>
      <c r="BB395" s="1" t="s">
        <v>981</v>
      </c>
      <c r="BC395" s="1">
        <v>25400</v>
      </c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 spans="1:76">
      <c r="A396" s="12" t="s">
        <v>355</v>
      </c>
      <c r="B396" s="3"/>
      <c r="C396" s="12"/>
      <c r="D396" s="12">
        <v>44600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23">
        <f>SUM(D396:Q396)</f>
        <v>44600</v>
      </c>
      <c r="S396" s="12"/>
      <c r="T396" s="23">
        <f>R396-S396</f>
        <v>44600</v>
      </c>
      <c r="U396" s="31"/>
      <c r="V396" s="31"/>
      <c r="W396" s="31"/>
      <c r="X396" s="31"/>
      <c r="Y396" s="31" t="s">
        <v>795</v>
      </c>
      <c r="Z396" s="31"/>
      <c r="AA396" s="31"/>
      <c r="AB396" s="31" t="s">
        <v>795</v>
      </c>
      <c r="AC396" s="31"/>
      <c r="AD396" s="31" t="s">
        <v>795</v>
      </c>
      <c r="AE396" s="34" t="s">
        <v>816</v>
      </c>
      <c r="AF396" s="34"/>
      <c r="AG396" s="34" t="s">
        <v>795</v>
      </c>
      <c r="AH396" s="34"/>
      <c r="AI396" s="34"/>
      <c r="AJ396" s="31" t="s">
        <v>4</v>
      </c>
      <c r="AK396" s="31" t="s">
        <v>795</v>
      </c>
      <c r="AL396" s="31"/>
      <c r="AM396" s="31" t="s">
        <v>795</v>
      </c>
      <c r="AN396" s="31"/>
      <c r="AO396" s="31" t="s">
        <v>795</v>
      </c>
      <c r="AP396" s="31"/>
      <c r="AQ396" s="31"/>
      <c r="AR396" s="34" t="s">
        <v>795</v>
      </c>
      <c r="AS396" s="34" t="s">
        <v>886</v>
      </c>
      <c r="AT396" s="34"/>
      <c r="AU396" s="31" t="s">
        <v>4</v>
      </c>
      <c r="AV396" s="31"/>
      <c r="AW396" s="31"/>
      <c r="AX396" s="31"/>
      <c r="AY396" s="31" t="s">
        <v>795</v>
      </c>
      <c r="AZ396" s="31"/>
      <c r="BA396" s="31" t="s">
        <v>795</v>
      </c>
      <c r="BB396" s="31"/>
      <c r="BC396" s="31" t="s">
        <v>795</v>
      </c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 spans="1:76">
      <c r="A397" s="12" t="s">
        <v>356</v>
      </c>
      <c r="B397" s="3"/>
      <c r="C397" s="12"/>
      <c r="D397" s="12">
        <v>43225</v>
      </c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23">
        <f>SUM(D397:Q397)</f>
        <v>43225</v>
      </c>
      <c r="S397" s="12"/>
      <c r="T397" s="23">
        <f>R397-S397</f>
        <v>43225</v>
      </c>
      <c r="U397" s="31"/>
      <c r="V397" s="31"/>
      <c r="W397" s="31"/>
      <c r="X397" s="31"/>
      <c r="Y397" s="31" t="s">
        <v>795</v>
      </c>
      <c r="Z397" s="31"/>
      <c r="AA397" s="31"/>
      <c r="AB397" s="31" t="s">
        <v>795</v>
      </c>
      <c r="AC397" s="31"/>
      <c r="AD397" s="34" t="s">
        <v>792</v>
      </c>
      <c r="AE397" s="34"/>
      <c r="AF397" s="34"/>
      <c r="AG397" s="34" t="s">
        <v>795</v>
      </c>
      <c r="AH397" s="31" t="s">
        <v>4</v>
      </c>
      <c r="AI397" s="31"/>
      <c r="AJ397" s="31"/>
      <c r="AK397" s="31" t="s">
        <v>795</v>
      </c>
      <c r="AL397" s="31"/>
      <c r="AM397" s="31" t="s">
        <v>795</v>
      </c>
      <c r="AN397" s="31"/>
      <c r="AO397" s="31" t="s">
        <v>795</v>
      </c>
      <c r="AP397" s="31"/>
      <c r="AQ397" s="31"/>
      <c r="AR397" s="31" t="s">
        <v>795</v>
      </c>
      <c r="AS397" s="31"/>
      <c r="AT397" s="31"/>
      <c r="AU397" s="31" t="s">
        <v>795</v>
      </c>
      <c r="AV397" s="31"/>
      <c r="AW397" s="31"/>
      <c r="AX397" s="31"/>
      <c r="AY397" s="31" t="s">
        <v>795</v>
      </c>
      <c r="AZ397" s="31"/>
      <c r="BA397" s="31" t="s">
        <v>795</v>
      </c>
      <c r="BB397" s="31"/>
      <c r="BC397" s="31" t="s">
        <v>795</v>
      </c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 spans="1:76">
      <c r="A398" s="12" t="s">
        <v>1004</v>
      </c>
      <c r="B398" s="3" t="s">
        <v>878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14954.02</v>
      </c>
      <c r="Q398" s="12"/>
      <c r="R398" s="23">
        <f>SUM(D398:Q398)</f>
        <v>14954.02</v>
      </c>
      <c r="S398" s="12"/>
      <c r="T398" s="23">
        <f>R398-S398</f>
        <v>14954.02</v>
      </c>
      <c r="U398" s="31"/>
      <c r="V398" s="31"/>
      <c r="W398" s="31"/>
      <c r="X398" s="31"/>
      <c r="Y398" s="31"/>
      <c r="Z398" s="31"/>
      <c r="AA398" s="31"/>
      <c r="AB398" s="31"/>
      <c r="AC398" s="31"/>
      <c r="AD398" s="34"/>
      <c r="AE398" s="34"/>
      <c r="AF398" s="34"/>
      <c r="AG398" s="34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1" t="s">
        <v>4</v>
      </c>
    </row>
    <row r="399" spans="1:76">
      <c r="A399" s="12" t="s">
        <v>357</v>
      </c>
      <c r="B399" s="3"/>
      <c r="C399" s="12"/>
      <c r="D399" s="12">
        <v>19520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23">
        <f>SUM(D399:Q399)</f>
        <v>19520</v>
      </c>
      <c r="S399" s="12">
        <f>Z399</f>
        <v>14000</v>
      </c>
      <c r="T399" s="23">
        <f>R399-S399</f>
        <v>5520</v>
      </c>
      <c r="U399" s="31"/>
      <c r="V399" s="31"/>
      <c r="W399" s="31"/>
      <c r="X399" s="31"/>
      <c r="Y399" s="31"/>
      <c r="Z399" s="1">
        <v>14000</v>
      </c>
      <c r="AA399" s="31"/>
      <c r="AB399" s="31"/>
      <c r="AC399" s="31"/>
      <c r="AD399" s="31"/>
      <c r="AE399" s="31"/>
      <c r="AF399" s="31"/>
      <c r="AG399" s="31" t="s">
        <v>858</v>
      </c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 t="s">
        <v>871</v>
      </c>
      <c r="AS399" s="31"/>
      <c r="AT399" s="31"/>
      <c r="AU399" s="31" t="s">
        <v>871</v>
      </c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 spans="1:76">
      <c r="A400" s="12" t="s">
        <v>510</v>
      </c>
      <c r="B400" s="18"/>
      <c r="C400" s="34"/>
      <c r="D400" s="23">
        <v>12860</v>
      </c>
      <c r="E400" s="23"/>
      <c r="F400" s="23"/>
      <c r="G400" s="23"/>
      <c r="H400" s="23"/>
      <c r="I400" s="23"/>
      <c r="J400" s="23"/>
      <c r="K400" s="23"/>
      <c r="L400" s="23"/>
      <c r="M400" s="23"/>
      <c r="N400" s="12"/>
      <c r="O400" s="12"/>
      <c r="P400" s="12"/>
      <c r="Q400" s="12"/>
      <c r="R400" s="23">
        <f>SUM(D400:Q400)</f>
        <v>12860</v>
      </c>
      <c r="S400" s="23">
        <f>AU400</f>
        <v>8000</v>
      </c>
      <c r="T400" s="23">
        <f>R400-S400</f>
        <v>4860</v>
      </c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1">
        <v>8000</v>
      </c>
      <c r="BB400" s="34"/>
      <c r="BC400" s="34"/>
      <c r="BD400" s="34"/>
      <c r="BE400" s="34"/>
      <c r="BF400" s="34"/>
      <c r="BG400" s="34"/>
      <c r="BH400" s="31"/>
      <c r="BI400" s="31"/>
      <c r="BJ400" s="31"/>
      <c r="BK400" s="31"/>
      <c r="BL400" s="31"/>
      <c r="BM400" s="31"/>
      <c r="BN400" s="31"/>
    </row>
    <row r="401" spans="1:68">
      <c r="A401" s="12" t="s">
        <v>900</v>
      </c>
      <c r="B401" s="3" t="s">
        <v>968</v>
      </c>
      <c r="C401" s="2"/>
      <c r="D401" s="2"/>
      <c r="E401" s="12"/>
      <c r="F401" s="12"/>
      <c r="G401" s="12"/>
      <c r="H401" s="12"/>
      <c r="I401" s="12"/>
      <c r="J401" s="12"/>
      <c r="K401" s="2">
        <v>97000.01</v>
      </c>
      <c r="L401" s="14"/>
      <c r="M401" s="14"/>
      <c r="N401" s="14"/>
      <c r="O401" s="14"/>
      <c r="P401" s="14"/>
      <c r="Q401" s="14"/>
      <c r="R401" s="23">
        <f>SUM(D401:Q401)</f>
        <v>97000.01</v>
      </c>
      <c r="S401" s="12"/>
      <c r="T401" s="23">
        <f>R401-S401</f>
        <v>97000.01</v>
      </c>
      <c r="U401" s="31"/>
      <c r="V401" s="31"/>
      <c r="W401" s="31"/>
      <c r="X401" s="31"/>
      <c r="Y401" s="31"/>
      <c r="Z401" s="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4" t="s">
        <v>807</v>
      </c>
      <c r="AU401" s="34"/>
      <c r="AV401" s="34"/>
      <c r="AW401" s="34"/>
      <c r="AX401" s="34"/>
      <c r="AY401" s="34"/>
      <c r="AZ401" s="34" t="s">
        <v>807</v>
      </c>
      <c r="BA401" s="34"/>
      <c r="BB401" s="34"/>
      <c r="BC401" s="34"/>
      <c r="BD401" s="34"/>
      <c r="BE401" s="34"/>
      <c r="BF401" s="34"/>
      <c r="BG401" s="34"/>
      <c r="BH401" s="34"/>
      <c r="BI401" s="31" t="s">
        <v>4</v>
      </c>
      <c r="BJ401" s="31"/>
      <c r="BK401" s="34" t="s">
        <v>792</v>
      </c>
      <c r="BL401" s="34"/>
      <c r="BM401" s="34"/>
      <c r="BN401" s="31" t="s">
        <v>4</v>
      </c>
    </row>
    <row r="402" spans="1:68">
      <c r="A402" s="12" t="s">
        <v>358</v>
      </c>
      <c r="B402" s="3"/>
      <c r="C402" s="12"/>
      <c r="D402" s="12">
        <v>14350</v>
      </c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23">
        <f>SUM(D402:Q402)</f>
        <v>14350</v>
      </c>
      <c r="S402" s="12">
        <f>AV402</f>
        <v>10000</v>
      </c>
      <c r="T402" s="23">
        <f>R402-S402</f>
        <v>4350</v>
      </c>
      <c r="U402" s="12" t="s">
        <v>327</v>
      </c>
      <c r="V402" s="34"/>
      <c r="W402" s="34"/>
      <c r="X402" s="34"/>
      <c r="Y402" s="34"/>
      <c r="Z402" s="52">
        <v>0.66666666666666663</v>
      </c>
      <c r="AA402" s="31" t="s">
        <v>825</v>
      </c>
      <c r="AB402" s="34"/>
      <c r="AC402" s="31" t="s">
        <v>4</v>
      </c>
      <c r="AD402" s="31" t="s">
        <v>795</v>
      </c>
      <c r="AE402" s="31"/>
      <c r="AF402" s="31"/>
      <c r="AG402" s="34" t="s">
        <v>792</v>
      </c>
      <c r="AH402" s="34"/>
      <c r="AI402" s="34" t="s">
        <v>867</v>
      </c>
      <c r="AJ402" s="34"/>
      <c r="AK402" s="34"/>
      <c r="AL402" s="34"/>
      <c r="AM402" s="34"/>
      <c r="AN402" s="34"/>
      <c r="AO402" s="34"/>
      <c r="AP402" s="34"/>
      <c r="AQ402" s="34"/>
      <c r="AR402" s="31" t="s">
        <v>795</v>
      </c>
      <c r="AS402" s="31" t="s">
        <v>888</v>
      </c>
      <c r="AT402" s="31" t="s">
        <v>886</v>
      </c>
      <c r="AU402" s="31" t="s">
        <v>907</v>
      </c>
      <c r="AV402" s="62">
        <v>10000</v>
      </c>
      <c r="AW402" s="31" t="s">
        <v>807</v>
      </c>
      <c r="AX402" s="31"/>
      <c r="AY402" s="31"/>
      <c r="AZ402" s="34" t="s">
        <v>807</v>
      </c>
      <c r="BA402" s="34"/>
      <c r="BB402" s="34"/>
      <c r="BC402" s="34"/>
      <c r="BD402" s="34"/>
      <c r="BE402" s="34"/>
      <c r="BF402" s="34"/>
      <c r="BG402" s="34"/>
      <c r="BH402" s="34"/>
      <c r="BI402" s="31" t="s">
        <v>4</v>
      </c>
      <c r="BJ402" s="31"/>
      <c r="BK402" s="31"/>
      <c r="BL402" s="31"/>
      <c r="BM402" s="31"/>
      <c r="BN402" s="31"/>
    </row>
    <row r="403" spans="1:68">
      <c r="A403" s="12" t="s">
        <v>359</v>
      </c>
      <c r="B403" s="3" t="s">
        <v>853</v>
      </c>
      <c r="C403" s="12"/>
      <c r="D403" s="8">
        <v>31810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23">
        <f>SUM(D403:Q403)</f>
        <v>31810</v>
      </c>
      <c r="S403" s="12"/>
      <c r="T403" s="23">
        <f>R403-S403</f>
        <v>31810</v>
      </c>
      <c r="U403" s="31"/>
      <c r="V403" s="31"/>
      <c r="W403" s="31"/>
      <c r="X403" s="31"/>
      <c r="Y403" s="34" t="s">
        <v>807</v>
      </c>
      <c r="Z403" s="34"/>
      <c r="AA403" s="34"/>
      <c r="AB403" s="34"/>
      <c r="AC403" s="34"/>
      <c r="AD403" s="31" t="s">
        <v>811</v>
      </c>
      <c r="AE403" s="31"/>
      <c r="AF403" s="31"/>
      <c r="AG403" s="34" t="s">
        <v>841</v>
      </c>
      <c r="AH403" s="34"/>
      <c r="AI403" s="34"/>
      <c r="AJ403" s="34"/>
      <c r="AK403" s="34"/>
      <c r="AL403" s="34"/>
      <c r="AM403" s="34"/>
      <c r="AN403" s="34" t="s">
        <v>881</v>
      </c>
      <c r="AO403" s="34"/>
      <c r="AP403" s="34"/>
      <c r="AQ403" s="34"/>
      <c r="AR403" s="34"/>
      <c r="AS403" s="34" t="s">
        <v>894</v>
      </c>
      <c r="AT403" s="34"/>
      <c r="AU403" s="34"/>
      <c r="AV403" s="34"/>
      <c r="AW403" s="31" t="s">
        <v>4</v>
      </c>
      <c r="AX403" s="31"/>
      <c r="AY403" s="31" t="s">
        <v>811</v>
      </c>
      <c r="AZ403" s="31"/>
      <c r="BA403" s="31"/>
      <c r="BB403" s="31"/>
      <c r="BC403" s="34" t="s">
        <v>786</v>
      </c>
      <c r="BD403" s="34"/>
      <c r="BE403" s="34"/>
      <c r="BF403" s="34"/>
      <c r="BG403" s="31" t="s">
        <v>4</v>
      </c>
      <c r="BH403" s="31"/>
      <c r="BI403" s="31"/>
      <c r="BJ403" s="31"/>
      <c r="BK403" s="34"/>
      <c r="BL403" s="34"/>
      <c r="BM403" s="34" t="s">
        <v>811</v>
      </c>
      <c r="BN403" s="31"/>
    </row>
    <row r="404" spans="1:68">
      <c r="A404" s="12" t="s">
        <v>517</v>
      </c>
      <c r="B404" s="3"/>
      <c r="C404" s="12"/>
      <c r="D404" s="12">
        <v>30000</v>
      </c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23">
        <f>SUM(D404:Q404)</f>
        <v>30000</v>
      </c>
      <c r="S404" s="12"/>
      <c r="T404" s="12">
        <f>R404-S404</f>
        <v>30000</v>
      </c>
      <c r="U404" s="12"/>
      <c r="V404" s="12"/>
      <c r="W404" s="12"/>
      <c r="X404" s="12"/>
      <c r="Y404" s="12"/>
      <c r="Z404" s="12"/>
      <c r="AA404" s="12"/>
      <c r="AB404" s="12"/>
      <c r="AC404" s="12"/>
      <c r="AD404" s="31" t="s">
        <v>4</v>
      </c>
      <c r="AE404" s="31"/>
      <c r="AF404" s="31"/>
      <c r="AG404" s="31" t="s">
        <v>795</v>
      </c>
      <c r="AH404" s="31"/>
      <c r="AI404" s="31"/>
      <c r="AJ404" s="31"/>
      <c r="AK404" s="31" t="s">
        <v>796</v>
      </c>
      <c r="AL404" s="31"/>
      <c r="AM404" s="31" t="s">
        <v>796</v>
      </c>
      <c r="AN404" s="31"/>
      <c r="AO404" s="31"/>
      <c r="AP404" s="31"/>
      <c r="AQ404" s="31"/>
      <c r="AR404" s="31" t="s">
        <v>795</v>
      </c>
      <c r="AS404" s="31"/>
      <c r="AT404" s="31"/>
      <c r="AU404" s="31" t="s">
        <v>795</v>
      </c>
      <c r="AV404" s="31"/>
      <c r="AW404" s="31"/>
      <c r="AX404" s="31"/>
      <c r="AY404" s="31" t="s">
        <v>796</v>
      </c>
      <c r="AZ404" s="31"/>
      <c r="BA404" s="31" t="s">
        <v>796</v>
      </c>
      <c r="BB404" s="31"/>
      <c r="BC404" s="31" t="s">
        <v>796</v>
      </c>
      <c r="BD404" s="31"/>
      <c r="BE404" s="31"/>
      <c r="BF404" s="31"/>
      <c r="BG404" s="31"/>
      <c r="BH404" s="31"/>
      <c r="BI404" s="31"/>
      <c r="BJ404" s="31"/>
      <c r="BK404" s="31" t="s">
        <v>796</v>
      </c>
      <c r="BL404" s="31"/>
      <c r="BM404" s="31"/>
      <c r="BN404" s="31"/>
    </row>
    <row r="405" spans="1:68">
      <c r="A405" s="12" t="s">
        <v>360</v>
      </c>
      <c r="B405" s="3"/>
      <c r="C405" s="12"/>
      <c r="D405" s="12">
        <v>7720</v>
      </c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23">
        <f>SUM(D405:Q405)</f>
        <v>7720</v>
      </c>
      <c r="S405" s="12"/>
      <c r="T405" s="23">
        <f>R405-S405</f>
        <v>7720</v>
      </c>
      <c r="U405" s="31"/>
      <c r="V405" s="31"/>
      <c r="W405" s="31"/>
      <c r="X405" s="31"/>
      <c r="Y405" s="31" t="s">
        <v>795</v>
      </c>
      <c r="Z405" s="31"/>
      <c r="AA405" s="31"/>
      <c r="AB405" s="31" t="s">
        <v>796</v>
      </c>
      <c r="AC405" s="31"/>
      <c r="AD405" s="31" t="s">
        <v>795</v>
      </c>
      <c r="AE405" s="31"/>
      <c r="AF405" s="31"/>
      <c r="AG405" s="31" t="s">
        <v>795</v>
      </c>
      <c r="AH405" s="31"/>
      <c r="AI405" s="31"/>
      <c r="AJ405" s="31"/>
      <c r="AK405" s="34" t="s">
        <v>841</v>
      </c>
      <c r="AL405" s="34"/>
      <c r="AM405" s="34"/>
      <c r="AN405" s="31" t="s">
        <v>4</v>
      </c>
      <c r="AO405" s="34" t="s">
        <v>888</v>
      </c>
      <c r="AP405" s="34"/>
      <c r="AQ405" s="34"/>
      <c r="AR405" s="34"/>
      <c r="AS405" s="34"/>
      <c r="AT405" s="31"/>
      <c r="AU405" s="31" t="s">
        <v>795</v>
      </c>
      <c r="AV405" s="31"/>
      <c r="AW405" s="31"/>
      <c r="AX405" s="31"/>
      <c r="AY405" s="31" t="s">
        <v>795</v>
      </c>
      <c r="AZ405" s="31"/>
      <c r="BA405" s="31" t="s">
        <v>795</v>
      </c>
      <c r="BB405" s="31"/>
      <c r="BC405" s="31"/>
      <c r="BD405" s="31"/>
      <c r="BE405" s="31"/>
      <c r="BF405" s="31"/>
      <c r="BG405" s="31"/>
      <c r="BH405" s="31"/>
      <c r="BI405" s="31"/>
      <c r="BJ405" s="31"/>
      <c r="BK405" s="31" t="s">
        <v>796</v>
      </c>
      <c r="BL405" s="31"/>
      <c r="BM405" s="31"/>
      <c r="BN405" s="31"/>
    </row>
    <row r="406" spans="1:68">
      <c r="A406" s="12" t="s">
        <v>361</v>
      </c>
      <c r="B406" s="3"/>
      <c r="C406" s="12"/>
      <c r="D406" s="12">
        <v>11130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23">
        <f>SUM(D406:Q406)</f>
        <v>11130</v>
      </c>
      <c r="S406" s="12"/>
      <c r="T406" s="23">
        <f>R406-S406</f>
        <v>11130</v>
      </c>
      <c r="U406" s="1" t="s">
        <v>787</v>
      </c>
      <c r="V406" s="34"/>
      <c r="W406" s="31" t="s">
        <v>4</v>
      </c>
      <c r="X406" s="31"/>
      <c r="Y406" s="34"/>
      <c r="Z406" s="34" t="s">
        <v>820</v>
      </c>
      <c r="AA406" s="34"/>
      <c r="AB406" s="31" t="s">
        <v>795</v>
      </c>
      <c r="AC406" s="31"/>
      <c r="AD406" s="34" t="s">
        <v>783</v>
      </c>
      <c r="AE406" s="34"/>
      <c r="AF406" s="34" t="s">
        <v>4</v>
      </c>
      <c r="AG406" s="34" t="s">
        <v>848</v>
      </c>
      <c r="AH406" s="34"/>
      <c r="AI406" s="34"/>
      <c r="AJ406" s="34"/>
      <c r="AK406" s="31" t="s">
        <v>811</v>
      </c>
      <c r="AL406" s="31"/>
      <c r="AM406" s="31" t="s">
        <v>805</v>
      </c>
      <c r="AN406" s="34" t="s">
        <v>885</v>
      </c>
      <c r="AO406" s="34"/>
      <c r="AP406" s="34"/>
      <c r="AQ406" s="31" t="s">
        <v>4</v>
      </c>
      <c r="AR406" s="31" t="s">
        <v>795</v>
      </c>
      <c r="AS406" s="31"/>
      <c r="AT406" s="31"/>
      <c r="AU406" s="31" t="s">
        <v>795</v>
      </c>
      <c r="AV406" s="31"/>
      <c r="AW406" s="31"/>
      <c r="AX406" s="31"/>
      <c r="AY406" s="31" t="s">
        <v>795</v>
      </c>
      <c r="AZ406" s="31"/>
      <c r="BA406" s="31" t="s">
        <v>795</v>
      </c>
      <c r="BB406" s="31"/>
      <c r="BC406" s="31"/>
      <c r="BD406" s="31"/>
      <c r="BE406" s="31"/>
      <c r="BF406" s="31"/>
      <c r="BG406" s="34" t="s">
        <v>783</v>
      </c>
      <c r="BH406" s="34"/>
      <c r="BI406" s="34"/>
      <c r="BJ406" s="34"/>
      <c r="BK406" s="31" t="s">
        <v>805</v>
      </c>
      <c r="BL406" s="31"/>
      <c r="BM406" s="31"/>
      <c r="BN406" s="31"/>
    </row>
    <row r="407" spans="1:68">
      <c r="A407" s="12" t="s">
        <v>876</v>
      </c>
      <c r="B407" s="18" t="s">
        <v>878</v>
      </c>
      <c r="C407" s="2"/>
      <c r="D407" s="2"/>
      <c r="E407" s="12"/>
      <c r="F407" s="12"/>
      <c r="G407" s="12"/>
      <c r="H407" s="12"/>
      <c r="I407" s="2">
        <v>13840.01</v>
      </c>
      <c r="J407" s="12"/>
      <c r="K407" s="12"/>
      <c r="L407" s="12"/>
      <c r="M407" s="12"/>
      <c r="N407" s="12"/>
      <c r="O407" s="12"/>
      <c r="P407" s="12"/>
      <c r="Q407" s="12"/>
      <c r="R407" s="23">
        <f>SUM(D407:Q407)</f>
        <v>13840.01</v>
      </c>
      <c r="S407" s="12">
        <f>AM407</f>
        <v>13500</v>
      </c>
      <c r="T407" s="23">
        <f>R407-S407</f>
        <v>340.01000000000022</v>
      </c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4"/>
      <c r="AL407" s="31"/>
      <c r="AM407" s="62">
        <v>13500</v>
      </c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 spans="1:68">
      <c r="A408" s="12" t="s">
        <v>362</v>
      </c>
      <c r="B408" s="3"/>
      <c r="C408" s="12"/>
      <c r="D408" s="12">
        <v>5525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23">
        <f>SUM(D408:Q408)</f>
        <v>5525</v>
      </c>
      <c r="S408" s="12"/>
      <c r="T408" s="23">
        <f>R408-S408</f>
        <v>5525</v>
      </c>
      <c r="U408" s="31"/>
      <c r="V408" s="1" t="s">
        <v>785</v>
      </c>
      <c r="W408" s="34"/>
      <c r="X408" s="31" t="s">
        <v>4</v>
      </c>
      <c r="Y408" s="31" t="s">
        <v>795</v>
      </c>
      <c r="Z408" s="52">
        <v>0.70833333333333337</v>
      </c>
      <c r="AA408" s="31" t="s">
        <v>821</v>
      </c>
      <c r="AB408" s="31" t="s">
        <v>833</v>
      </c>
      <c r="AC408" s="31"/>
      <c r="AD408" s="31" t="s">
        <v>795</v>
      </c>
      <c r="AE408" s="1" t="s">
        <v>783</v>
      </c>
      <c r="AF408" s="31" t="s">
        <v>4</v>
      </c>
      <c r="AG408" s="31" t="s">
        <v>795</v>
      </c>
      <c r="AH408" s="31"/>
      <c r="AI408" s="31"/>
      <c r="AJ408" s="31"/>
      <c r="AK408" s="31" t="s">
        <v>795</v>
      </c>
      <c r="AL408" s="34" t="s">
        <v>855</v>
      </c>
      <c r="AM408" s="34" t="s">
        <v>795</v>
      </c>
      <c r="AN408" s="34"/>
      <c r="AO408" s="34" t="s">
        <v>795</v>
      </c>
      <c r="AP408" s="34" t="s">
        <v>888</v>
      </c>
      <c r="AQ408" s="34"/>
      <c r="AR408" s="34"/>
      <c r="AS408" s="34"/>
      <c r="AT408" s="34" t="s">
        <v>898</v>
      </c>
      <c r="AU408" s="34"/>
      <c r="AV408" s="34"/>
      <c r="AW408" s="31" t="s">
        <v>4</v>
      </c>
      <c r="AX408" s="31"/>
      <c r="AY408" s="31" t="s">
        <v>795</v>
      </c>
      <c r="AZ408" s="31"/>
      <c r="BA408" s="31" t="s">
        <v>795</v>
      </c>
      <c r="BB408" s="31"/>
      <c r="BC408" s="31"/>
      <c r="BD408" s="31"/>
      <c r="BE408" s="31"/>
      <c r="BF408" s="31"/>
      <c r="BG408" s="31"/>
      <c r="BH408" s="34" t="s">
        <v>807</v>
      </c>
      <c r="BI408" s="31" t="s">
        <v>4</v>
      </c>
      <c r="BJ408" s="31"/>
      <c r="BK408" s="31" t="s">
        <v>795</v>
      </c>
      <c r="BL408" s="31"/>
      <c r="BM408" s="31"/>
      <c r="BN408" s="31"/>
    </row>
    <row r="409" spans="1:68">
      <c r="A409" s="12" t="s">
        <v>222</v>
      </c>
      <c r="B409" s="3"/>
      <c r="C409" s="12"/>
      <c r="D409" s="12">
        <v>32430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23">
        <f>SUM(D409:Q409)</f>
        <v>32430</v>
      </c>
      <c r="S409" s="12"/>
      <c r="T409" s="23">
        <f>R409-S409</f>
        <v>32430</v>
      </c>
      <c r="U409" s="31"/>
      <c r="V409" s="31"/>
      <c r="W409" s="31"/>
      <c r="X409" s="31"/>
      <c r="Y409" s="31" t="s">
        <v>795</v>
      </c>
      <c r="Z409" s="31"/>
      <c r="AA409" s="31"/>
      <c r="AB409" s="31" t="s">
        <v>795</v>
      </c>
      <c r="AC409" s="31"/>
      <c r="AD409" s="31" t="s">
        <v>795</v>
      </c>
      <c r="AE409" s="31"/>
      <c r="AF409" s="31"/>
      <c r="AG409" s="31" t="s">
        <v>796</v>
      </c>
      <c r="AH409" s="31"/>
      <c r="AI409" s="31"/>
      <c r="AJ409" s="31"/>
      <c r="AK409" s="34" t="s">
        <v>847</v>
      </c>
      <c r="AL409" s="31"/>
      <c r="AM409" s="34" t="s">
        <v>795</v>
      </c>
      <c r="AN409" s="34" t="s">
        <v>856</v>
      </c>
      <c r="AO409" s="34"/>
      <c r="AP409" s="31" t="s">
        <v>4</v>
      </c>
      <c r="AQ409" s="31"/>
      <c r="AR409" s="31" t="s">
        <v>795</v>
      </c>
      <c r="AS409" s="31"/>
      <c r="AT409" s="31"/>
      <c r="AU409" s="31" t="s">
        <v>795</v>
      </c>
      <c r="AV409" s="31"/>
      <c r="AW409" s="31"/>
      <c r="AX409" s="31"/>
      <c r="AY409" s="31" t="s">
        <v>795</v>
      </c>
      <c r="AZ409" s="31"/>
      <c r="BA409" s="31" t="s">
        <v>795</v>
      </c>
      <c r="BB409" s="31"/>
      <c r="BC409" s="31"/>
      <c r="BD409" s="31"/>
      <c r="BE409" s="31"/>
      <c r="BF409" s="31"/>
      <c r="BG409" s="31"/>
      <c r="BH409" s="34" t="s">
        <v>816</v>
      </c>
      <c r="BI409" s="34"/>
      <c r="BJ409" s="34"/>
      <c r="BK409" s="34"/>
      <c r="BL409" s="34"/>
      <c r="BM409" s="34"/>
      <c r="BN409" s="34"/>
      <c r="BO409" s="31" t="s">
        <v>4</v>
      </c>
    </row>
    <row r="410" spans="1:68">
      <c r="A410" s="12" t="s">
        <v>363</v>
      </c>
      <c r="B410" s="3"/>
      <c r="C410" s="12"/>
      <c r="D410" s="12">
        <v>7515</v>
      </c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23">
        <f>SUM(D410:Q410)</f>
        <v>7515</v>
      </c>
      <c r="S410" s="12"/>
      <c r="T410" s="23">
        <f>R410-S410</f>
        <v>7515</v>
      </c>
      <c r="U410" s="1" t="s">
        <v>327</v>
      </c>
      <c r="V410" s="34"/>
      <c r="W410" s="34"/>
      <c r="X410" s="34"/>
      <c r="Y410" s="34"/>
      <c r="Z410" s="33" t="s">
        <v>824</v>
      </c>
      <c r="AA410" s="33"/>
      <c r="AB410" s="33"/>
      <c r="AC410" s="33"/>
      <c r="AD410" s="33"/>
      <c r="AE410" s="33"/>
      <c r="AF410" s="31" t="s">
        <v>4</v>
      </c>
      <c r="AG410" s="34" t="s">
        <v>841</v>
      </c>
      <c r="AH410" s="34"/>
      <c r="AI410" s="34"/>
      <c r="AJ410" s="34"/>
      <c r="AK410" s="34"/>
      <c r="AL410" s="34"/>
      <c r="AM410" s="34"/>
      <c r="AN410" s="34" t="s">
        <v>879</v>
      </c>
      <c r="AO410" s="34"/>
      <c r="AP410" s="34"/>
      <c r="AQ410" s="34"/>
      <c r="AR410" s="31" t="s">
        <v>795</v>
      </c>
      <c r="AS410" s="31"/>
      <c r="AT410" s="34"/>
      <c r="AU410" s="34"/>
      <c r="AV410" s="34"/>
      <c r="AW410" s="31" t="s">
        <v>4</v>
      </c>
      <c r="AX410" s="31"/>
      <c r="AY410" s="34" t="s">
        <v>169</v>
      </c>
      <c r="AZ410" s="34"/>
      <c r="BA410" s="34"/>
      <c r="BB410" s="34"/>
      <c r="BC410" s="34"/>
      <c r="BD410" s="31" t="s">
        <v>4</v>
      </c>
      <c r="BE410" s="31"/>
      <c r="BF410" s="34" t="s">
        <v>825</v>
      </c>
      <c r="BG410" s="34"/>
      <c r="BH410" s="34" t="s">
        <v>827</v>
      </c>
      <c r="BI410" s="34"/>
      <c r="BJ410" s="31" t="s">
        <v>4</v>
      </c>
      <c r="BK410" s="34" t="s">
        <v>848</v>
      </c>
      <c r="BL410" s="34"/>
      <c r="BM410" s="34"/>
      <c r="BN410" s="34"/>
      <c r="BO410" s="34"/>
      <c r="BP410" s="31" t="s">
        <v>4</v>
      </c>
    </row>
    <row r="411" spans="1:68">
      <c r="A411" s="12" t="s">
        <v>364</v>
      </c>
      <c r="B411" s="3"/>
      <c r="C411" s="12"/>
      <c r="D411" s="12">
        <v>148227</v>
      </c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23">
        <f>SUM(D411:Q411)</f>
        <v>148227</v>
      </c>
      <c r="S411" s="12">
        <f>AB411+5000</f>
        <v>10000</v>
      </c>
      <c r="T411" s="23">
        <f>R411-S411</f>
        <v>138227</v>
      </c>
      <c r="U411" s="31"/>
      <c r="V411" s="31"/>
      <c r="W411" s="31"/>
      <c r="X411" s="31"/>
      <c r="Y411" s="31" t="s">
        <v>811</v>
      </c>
      <c r="Z411" s="31"/>
      <c r="AA411" s="31"/>
      <c r="AB411" s="1">
        <v>5000</v>
      </c>
      <c r="AC411" s="34"/>
      <c r="AD411" s="34"/>
      <c r="AE411" s="34"/>
      <c r="AF411" s="34"/>
      <c r="AG411" s="34"/>
      <c r="AH411" s="34"/>
      <c r="AI411" s="34" t="s">
        <v>4</v>
      </c>
      <c r="AJ411" s="34"/>
      <c r="AK411" s="34"/>
      <c r="AL411" s="34"/>
      <c r="AM411" s="34" t="s">
        <v>856</v>
      </c>
      <c r="AN411" s="34"/>
      <c r="AO411" s="34"/>
      <c r="AP411" s="34"/>
      <c r="AQ411" s="31"/>
      <c r="AR411" s="31" t="s">
        <v>795</v>
      </c>
      <c r="AS411" s="31"/>
      <c r="AT411" s="31"/>
      <c r="AU411" s="31" t="s">
        <v>811</v>
      </c>
      <c r="AV411" s="62">
        <v>5000</v>
      </c>
      <c r="AW411" s="31"/>
      <c r="AX411" s="31"/>
      <c r="AY411" s="34"/>
      <c r="AZ411" s="34" t="s">
        <v>790</v>
      </c>
      <c r="BA411" s="34"/>
      <c r="BB411" s="34"/>
      <c r="BC411" s="34"/>
      <c r="BD411" s="34"/>
      <c r="BE411" s="34"/>
      <c r="BF411" s="31" t="s">
        <v>4</v>
      </c>
      <c r="BG411" s="34" t="s">
        <v>783</v>
      </c>
      <c r="BH411" s="34"/>
      <c r="BI411" s="34"/>
      <c r="BJ411" s="34"/>
      <c r="BK411" s="31" t="s">
        <v>811</v>
      </c>
      <c r="BL411" s="31"/>
      <c r="BM411" s="31"/>
      <c r="BN411" s="31"/>
    </row>
    <row r="412" spans="1:68">
      <c r="A412" s="12" t="s">
        <v>532</v>
      </c>
      <c r="B412" s="18"/>
      <c r="C412" s="34"/>
      <c r="D412" s="12">
        <v>65500</v>
      </c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23">
        <f>SUM(D412:Q412)</f>
        <v>65500</v>
      </c>
      <c r="S412" s="12"/>
      <c r="T412" s="12">
        <f>R412-S412</f>
        <v>65500</v>
      </c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 t="s">
        <v>847</v>
      </c>
      <c r="AF412" s="34"/>
      <c r="AG412" s="34"/>
      <c r="AH412" s="34"/>
      <c r="AI412" s="34"/>
      <c r="AJ412" s="34"/>
      <c r="AK412" s="34"/>
      <c r="AL412" s="31" t="s">
        <v>4</v>
      </c>
      <c r="AM412" s="31" t="s">
        <v>795</v>
      </c>
      <c r="AN412" s="31"/>
      <c r="AO412" s="31"/>
      <c r="AP412" s="31"/>
      <c r="AQ412" s="31"/>
      <c r="AR412" s="31" t="s">
        <v>795</v>
      </c>
      <c r="AS412" s="31"/>
      <c r="AT412" s="31"/>
      <c r="AU412" s="31" t="s">
        <v>795</v>
      </c>
      <c r="AV412" s="31"/>
      <c r="AW412" s="31"/>
      <c r="AX412" s="31"/>
      <c r="AY412" s="31" t="s">
        <v>811</v>
      </c>
      <c r="AZ412" s="31"/>
      <c r="BA412" s="31" t="s">
        <v>795</v>
      </c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 spans="1:68">
      <c r="A413" s="12" t="s">
        <v>969</v>
      </c>
      <c r="B413" s="18" t="s">
        <v>901</v>
      </c>
      <c r="C413" s="34"/>
      <c r="D413" s="12">
        <v>20990.11</v>
      </c>
      <c r="E413" s="12"/>
      <c r="F413" s="12"/>
      <c r="G413" s="12"/>
      <c r="H413" s="12"/>
      <c r="I413" s="12"/>
      <c r="J413" s="12"/>
      <c r="K413" s="2">
        <v>5856.01</v>
      </c>
      <c r="L413" s="12"/>
      <c r="M413" s="12"/>
      <c r="N413" s="12"/>
      <c r="O413" s="12"/>
      <c r="P413" s="12"/>
      <c r="Q413" s="12"/>
      <c r="R413" s="23">
        <f>SUM(D413:Q413)</f>
        <v>26846.120000000003</v>
      </c>
      <c r="S413" s="12"/>
      <c r="T413" s="12">
        <f>R413-S413</f>
        <v>26846.120000000003</v>
      </c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 spans="1:68">
      <c r="A414" s="12" t="s">
        <v>366</v>
      </c>
      <c r="B414" s="3"/>
      <c r="C414" s="12"/>
      <c r="D414" s="12">
        <v>51438</v>
      </c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23">
        <f>SUM(D414:Q414)</f>
        <v>51438</v>
      </c>
      <c r="S414" s="12"/>
      <c r="T414" s="23">
        <f>R414-S414</f>
        <v>51438</v>
      </c>
      <c r="U414" s="31"/>
      <c r="V414" s="31"/>
      <c r="W414" s="31"/>
      <c r="X414" s="31"/>
      <c r="Y414" s="31"/>
      <c r="Z414" s="31"/>
      <c r="AA414" s="34"/>
      <c r="AB414" s="34"/>
      <c r="AC414" s="34"/>
      <c r="AD414" s="34" t="s">
        <v>829</v>
      </c>
      <c r="AE414" s="34"/>
      <c r="AF414" s="34"/>
      <c r="AG414" s="34"/>
      <c r="AH414" s="34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 spans="1:68">
      <c r="A415" s="12" t="s">
        <v>537</v>
      </c>
      <c r="B415" s="18"/>
      <c r="C415" s="34"/>
      <c r="D415" s="12">
        <v>41000</v>
      </c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23">
        <f>SUM(D415:Q415)</f>
        <v>41000</v>
      </c>
      <c r="S415" s="12"/>
      <c r="T415" s="12">
        <f>R415-S415</f>
        <v>41000</v>
      </c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4" t="s">
        <v>846</v>
      </c>
      <c r="AF415" s="34"/>
      <c r="AG415" s="34"/>
      <c r="AH415" s="34"/>
      <c r="AI415" s="31" t="s">
        <v>4</v>
      </c>
      <c r="AJ415" s="31"/>
      <c r="AK415" s="34" t="s">
        <v>855</v>
      </c>
      <c r="AL415" s="34"/>
      <c r="AM415" s="34" t="s">
        <v>872</v>
      </c>
      <c r="AN415" s="34"/>
      <c r="AO415" s="31"/>
      <c r="AP415" s="34" t="s">
        <v>879</v>
      </c>
      <c r="AQ415" s="34"/>
      <c r="AR415" s="31" t="s">
        <v>795</v>
      </c>
      <c r="AS415" s="31"/>
      <c r="AT415" s="31"/>
      <c r="AU415" s="31" t="s">
        <v>795</v>
      </c>
      <c r="AV415" s="31"/>
      <c r="AW415" s="31"/>
      <c r="AX415" s="31"/>
      <c r="AY415" s="34" t="s">
        <v>784</v>
      </c>
      <c r="AZ415" s="34"/>
      <c r="BA415" s="31" t="s">
        <v>795</v>
      </c>
      <c r="BB415" s="31"/>
      <c r="BC415" s="31"/>
      <c r="BD415" s="31"/>
      <c r="BE415" s="31"/>
      <c r="BF415" s="34" t="s">
        <v>807</v>
      </c>
      <c r="BG415" s="34"/>
      <c r="BH415" s="34"/>
      <c r="BI415" s="31" t="s">
        <v>4</v>
      </c>
      <c r="BJ415" s="31"/>
      <c r="BK415" s="31" t="s">
        <v>795</v>
      </c>
      <c r="BL415" s="31"/>
      <c r="BM415" s="31"/>
      <c r="BN415" s="31"/>
    </row>
    <row r="416" spans="1:68">
      <c r="A416" s="12" t="s">
        <v>367</v>
      </c>
      <c r="B416" s="3"/>
      <c r="C416" s="12"/>
      <c r="D416" s="12">
        <v>19220</v>
      </c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23">
        <f>SUM(D416:Q416)</f>
        <v>19220</v>
      </c>
      <c r="S416" s="12"/>
      <c r="T416" s="23">
        <f>R416-S416</f>
        <v>19220</v>
      </c>
      <c r="U416" s="31"/>
      <c r="V416" s="31"/>
      <c r="W416" s="31"/>
      <c r="X416" s="31"/>
      <c r="Y416" s="31" t="s">
        <v>805</v>
      </c>
      <c r="Z416" s="31"/>
      <c r="AA416" s="31" t="s">
        <v>786</v>
      </c>
      <c r="AB416" s="31" t="s">
        <v>795</v>
      </c>
      <c r="AC416" s="31"/>
      <c r="AD416" s="34" t="s">
        <v>792</v>
      </c>
      <c r="AE416" s="34"/>
      <c r="AF416" s="34"/>
      <c r="AG416" s="34"/>
      <c r="AH416" s="34"/>
      <c r="AI416" s="31" t="s">
        <v>4</v>
      </c>
      <c r="AJ416" s="31"/>
      <c r="AK416" s="34" t="s">
        <v>872</v>
      </c>
      <c r="AL416" s="34"/>
      <c r="AM416" s="34"/>
      <c r="AN416" s="34"/>
      <c r="AO416" s="31" t="s">
        <v>795</v>
      </c>
      <c r="AP416" s="34" t="s">
        <v>881</v>
      </c>
      <c r="AQ416" s="34"/>
      <c r="AR416" s="34"/>
      <c r="AS416" s="34" t="s">
        <v>886</v>
      </c>
      <c r="AT416" s="34"/>
      <c r="AU416" s="31" t="s">
        <v>795</v>
      </c>
      <c r="AV416" s="31"/>
      <c r="AW416" s="31"/>
      <c r="AX416" s="31"/>
      <c r="AY416" s="34" t="s">
        <v>787</v>
      </c>
      <c r="AZ416" s="34"/>
      <c r="BA416" s="34"/>
      <c r="BB416" s="31" t="s">
        <v>4</v>
      </c>
      <c r="BC416" s="31"/>
      <c r="BD416" s="31"/>
      <c r="BE416" s="31"/>
      <c r="BF416" s="31"/>
      <c r="BG416" s="31"/>
      <c r="BH416" s="31"/>
      <c r="BI416" s="31"/>
      <c r="BJ416" s="31"/>
      <c r="BK416" s="34" t="s">
        <v>816</v>
      </c>
      <c r="BL416" s="34"/>
      <c r="BM416" s="34"/>
      <c r="BN416" s="34"/>
      <c r="BO416" s="31" t="s">
        <v>4</v>
      </c>
    </row>
    <row r="417" spans="1:76">
      <c r="A417" s="12" t="s">
        <v>368</v>
      </c>
      <c r="B417" s="3"/>
      <c r="C417" s="12"/>
      <c r="D417" s="12">
        <v>49330</v>
      </c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23">
        <f>SUM(D417:Q417)</f>
        <v>49330</v>
      </c>
      <c r="S417" s="12"/>
      <c r="T417" s="23">
        <f>R417-S417</f>
        <v>49330</v>
      </c>
      <c r="U417" s="31"/>
      <c r="V417" s="31"/>
      <c r="W417" s="31"/>
      <c r="X417" s="31"/>
      <c r="Y417" s="31"/>
      <c r="Z417" s="31"/>
      <c r="AA417" s="31"/>
      <c r="AB417" s="31" t="s">
        <v>795</v>
      </c>
      <c r="AC417" s="31"/>
      <c r="AD417" s="31" t="s">
        <v>795</v>
      </c>
      <c r="AE417" s="31"/>
      <c r="AF417" s="31"/>
      <c r="AG417" s="31" t="s">
        <v>795</v>
      </c>
      <c r="AH417" s="31"/>
      <c r="AI417" s="31"/>
      <c r="AJ417" s="31"/>
      <c r="AK417" s="31"/>
      <c r="AL417" s="31"/>
      <c r="AM417" s="31" t="s">
        <v>795</v>
      </c>
      <c r="AN417" s="31"/>
      <c r="AO417" s="31" t="s">
        <v>795</v>
      </c>
      <c r="AP417" s="31"/>
      <c r="AQ417" s="31"/>
      <c r="AR417" s="31" t="s">
        <v>795</v>
      </c>
      <c r="AS417" s="31"/>
      <c r="AT417" s="31"/>
      <c r="AU417" s="31" t="s">
        <v>795</v>
      </c>
      <c r="AV417" s="31"/>
      <c r="AW417" s="31"/>
      <c r="AX417" s="31"/>
      <c r="AY417" s="31" t="s">
        <v>795</v>
      </c>
      <c r="AZ417" s="31"/>
      <c r="BA417" s="31" t="s">
        <v>795</v>
      </c>
      <c r="BB417" s="31"/>
      <c r="BC417" s="31"/>
      <c r="BD417" s="31"/>
      <c r="BE417" s="31"/>
      <c r="BF417" s="31"/>
      <c r="BG417" s="31"/>
      <c r="BH417" s="31"/>
      <c r="BI417" s="31"/>
      <c r="BJ417" s="31"/>
      <c r="BK417" s="31" t="s">
        <v>796</v>
      </c>
      <c r="BL417" s="31"/>
      <c r="BM417" s="31"/>
      <c r="BN417" s="31"/>
    </row>
    <row r="418" spans="1:76">
      <c r="A418" s="12" t="s">
        <v>369</v>
      </c>
      <c r="B418" s="3"/>
      <c r="C418" s="12"/>
      <c r="D418" s="12">
        <v>786513</v>
      </c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23">
        <f>SUM(D418:Q418)</f>
        <v>786513</v>
      </c>
      <c r="S418" s="12"/>
      <c r="T418" s="23">
        <f>R418-S418</f>
        <v>786513</v>
      </c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4" t="s">
        <v>841</v>
      </c>
      <c r="AH418" s="34"/>
      <c r="AI418" s="34"/>
      <c r="AJ418" s="34"/>
      <c r="AK418" s="34"/>
      <c r="AL418" s="34"/>
      <c r="AM418" s="34"/>
      <c r="AN418" s="31" t="s">
        <v>4</v>
      </c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 spans="1:76">
      <c r="A419" s="12" t="s">
        <v>370</v>
      </c>
      <c r="B419" s="3"/>
      <c r="C419" s="12"/>
      <c r="D419" s="12">
        <v>2000</v>
      </c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23">
        <f>SUM(D419:Q419)</f>
        <v>2000</v>
      </c>
      <c r="S419" s="12"/>
      <c r="T419" s="23">
        <f>R419-S419</f>
        <v>2000</v>
      </c>
      <c r="U419" s="31"/>
      <c r="V419" s="31"/>
      <c r="W419" s="31"/>
      <c r="X419" s="31"/>
      <c r="Y419" s="31" t="s">
        <v>795</v>
      </c>
      <c r="Z419" s="31"/>
      <c r="AA419" s="31"/>
      <c r="AB419" s="31" t="s">
        <v>795</v>
      </c>
      <c r="AC419" s="31"/>
      <c r="AD419" s="31" t="s">
        <v>795</v>
      </c>
      <c r="AE419" s="31"/>
      <c r="AF419" s="31"/>
      <c r="AG419" s="31" t="s">
        <v>795</v>
      </c>
      <c r="AH419" s="31"/>
      <c r="AI419" s="31"/>
      <c r="AJ419" s="31"/>
      <c r="AK419" s="31"/>
      <c r="AL419" s="31"/>
      <c r="AM419" s="31" t="s">
        <v>795</v>
      </c>
      <c r="AN419" s="31"/>
      <c r="AO419" s="31" t="s">
        <v>795</v>
      </c>
      <c r="AP419" s="31"/>
      <c r="AQ419" s="31"/>
      <c r="AR419" s="31" t="s">
        <v>795</v>
      </c>
      <c r="AS419" s="31"/>
      <c r="AT419" s="31"/>
      <c r="AU419" s="31" t="s">
        <v>795</v>
      </c>
      <c r="AV419" s="31"/>
      <c r="AW419" s="31"/>
      <c r="AX419" s="31"/>
      <c r="AY419" s="31" t="s">
        <v>795</v>
      </c>
      <c r="AZ419" s="31"/>
      <c r="BA419" s="31" t="s">
        <v>795</v>
      </c>
      <c r="BB419" s="31"/>
      <c r="BC419" s="31"/>
      <c r="BD419" s="31"/>
      <c r="BE419" s="31"/>
      <c r="BF419" s="31"/>
      <c r="BG419" s="31"/>
      <c r="BH419" s="31"/>
      <c r="BI419" s="31"/>
      <c r="BJ419" s="31"/>
      <c r="BK419" s="31" t="s">
        <v>795</v>
      </c>
      <c r="BL419" s="31"/>
      <c r="BM419" s="31"/>
      <c r="BN419" s="31"/>
    </row>
    <row r="420" spans="1:76">
      <c r="A420" s="12" t="s">
        <v>549</v>
      </c>
      <c r="B420" s="3"/>
      <c r="C420" s="12"/>
      <c r="D420" s="12">
        <v>102070</v>
      </c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23">
        <f>SUM(D420:Q420)</f>
        <v>102070</v>
      </c>
      <c r="S420" s="12"/>
      <c r="T420" s="12">
        <f>R420-S420</f>
        <v>102070</v>
      </c>
      <c r="U420" s="12"/>
      <c r="V420" s="12"/>
      <c r="W420" s="12"/>
      <c r="X420" s="12"/>
      <c r="Y420" s="12"/>
      <c r="Z420" s="12"/>
      <c r="AA420" s="12"/>
      <c r="AB420" s="12"/>
      <c r="AC420" s="12"/>
      <c r="AD420" s="31" t="s">
        <v>4</v>
      </c>
      <c r="AE420" s="31"/>
      <c r="AF420" s="31"/>
      <c r="AG420" s="31" t="s">
        <v>795</v>
      </c>
      <c r="AH420" s="31"/>
      <c r="AI420" s="31"/>
      <c r="AJ420" s="31"/>
      <c r="AK420" s="31"/>
      <c r="AL420" s="31"/>
      <c r="AM420" s="31" t="s">
        <v>796</v>
      </c>
      <c r="AN420" s="31"/>
      <c r="AO420" s="31" t="s">
        <v>796</v>
      </c>
      <c r="AP420" s="31"/>
      <c r="AQ420" s="31"/>
      <c r="AR420" s="31" t="s">
        <v>796</v>
      </c>
      <c r="AS420" s="31"/>
      <c r="AT420" s="31"/>
      <c r="AU420" s="31" t="s">
        <v>796</v>
      </c>
      <c r="AV420" s="31"/>
      <c r="AW420" s="31"/>
      <c r="AX420" s="31"/>
      <c r="AY420" s="31" t="s">
        <v>795</v>
      </c>
      <c r="AZ420" s="31"/>
      <c r="BA420" s="31" t="s">
        <v>796</v>
      </c>
      <c r="BB420" s="31"/>
      <c r="BC420" s="31"/>
      <c r="BD420" s="31"/>
      <c r="BE420" s="31"/>
      <c r="BF420" s="31"/>
      <c r="BG420" s="31"/>
      <c r="BH420" s="31"/>
      <c r="BI420" s="31"/>
      <c r="BJ420" s="31"/>
      <c r="BK420" s="31" t="s">
        <v>796</v>
      </c>
      <c r="BL420" s="31"/>
      <c r="BM420" s="31"/>
      <c r="BN420" s="31"/>
    </row>
    <row r="421" spans="1:76">
      <c r="A421" s="12" t="s">
        <v>552</v>
      </c>
      <c r="B421" s="3"/>
      <c r="C421" s="12"/>
      <c r="D421" s="12">
        <v>4150</v>
      </c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23">
        <f>SUM(D421:Q421)</f>
        <v>4150</v>
      </c>
      <c r="S421" s="12"/>
      <c r="T421" s="12">
        <f>R421-S421</f>
        <v>4150</v>
      </c>
      <c r="U421" s="12"/>
      <c r="V421" s="12"/>
      <c r="W421" s="12"/>
      <c r="X421" s="12"/>
      <c r="Y421" s="12"/>
      <c r="Z421" s="12"/>
      <c r="AA421" s="12"/>
      <c r="AB421" s="12"/>
      <c r="AC421" s="12"/>
      <c r="AD421" s="31" t="s">
        <v>4</v>
      </c>
      <c r="AE421" s="31"/>
      <c r="AF421" s="31"/>
      <c r="AG421" s="31" t="s">
        <v>796</v>
      </c>
      <c r="AH421" s="31"/>
      <c r="AI421" s="31"/>
      <c r="AJ421" s="31"/>
      <c r="AK421" s="31"/>
      <c r="AL421" s="31"/>
      <c r="AM421" s="31" t="s">
        <v>796</v>
      </c>
      <c r="AN421" s="31"/>
      <c r="AO421" s="31" t="s">
        <v>796</v>
      </c>
      <c r="AP421" s="31"/>
      <c r="AQ421" s="31"/>
      <c r="AR421" s="31" t="s">
        <v>796</v>
      </c>
      <c r="AS421" s="31"/>
      <c r="AT421" s="31"/>
      <c r="AU421" s="31" t="s">
        <v>796</v>
      </c>
      <c r="AV421" s="31"/>
      <c r="AW421" s="31"/>
      <c r="AX421" s="31"/>
      <c r="AY421" s="31" t="s">
        <v>796</v>
      </c>
      <c r="AZ421" s="31"/>
      <c r="BA421" s="31" t="s">
        <v>795</v>
      </c>
      <c r="BB421" s="31"/>
      <c r="BC421" s="31"/>
      <c r="BD421" s="31"/>
      <c r="BE421" s="31"/>
      <c r="BF421" s="31"/>
      <c r="BG421" s="31"/>
      <c r="BH421" s="31"/>
      <c r="BI421" s="31"/>
      <c r="BJ421" s="31"/>
      <c r="BK421" s="31" t="s">
        <v>796</v>
      </c>
      <c r="BL421" s="31"/>
      <c r="BM421" s="31"/>
      <c r="BN421" s="31"/>
    </row>
    <row r="422" spans="1:76">
      <c r="A422" s="12" t="s">
        <v>371</v>
      </c>
      <c r="B422" s="3"/>
      <c r="C422" s="12"/>
      <c r="D422" s="12">
        <v>177630</v>
      </c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23">
        <f>SUM(D422:Q422)</f>
        <v>177630</v>
      </c>
      <c r="S422" s="12"/>
      <c r="T422" s="23">
        <f>R422-S422</f>
        <v>177630</v>
      </c>
      <c r="U422" s="31"/>
      <c r="V422" s="31"/>
      <c r="W422" s="31"/>
      <c r="X422" s="31"/>
      <c r="Y422" s="31" t="s">
        <v>795</v>
      </c>
      <c r="Z422" s="31"/>
      <c r="AA422" s="31"/>
      <c r="AB422" s="31" t="s">
        <v>795</v>
      </c>
      <c r="AC422" s="31"/>
      <c r="AD422" s="31" t="s">
        <v>795</v>
      </c>
      <c r="AE422" s="31"/>
      <c r="AF422" s="31"/>
      <c r="AG422" s="31" t="s">
        <v>795</v>
      </c>
      <c r="AH422" s="31"/>
      <c r="AI422" s="31"/>
      <c r="AJ422" s="31"/>
      <c r="AK422" s="31"/>
      <c r="AL422" s="31"/>
      <c r="AM422" s="31" t="s">
        <v>795</v>
      </c>
      <c r="AN422" s="31"/>
      <c r="AO422" s="31" t="s">
        <v>795</v>
      </c>
      <c r="AP422" s="31"/>
      <c r="AQ422" s="31"/>
      <c r="AR422" s="31" t="s">
        <v>795</v>
      </c>
      <c r="AS422" s="31"/>
      <c r="AT422" s="31"/>
      <c r="AU422" s="31" t="s">
        <v>795</v>
      </c>
      <c r="AV422" s="31"/>
      <c r="AW422" s="31"/>
      <c r="AX422" s="31"/>
      <c r="AY422" s="31" t="s">
        <v>805</v>
      </c>
      <c r="AZ422" s="31"/>
      <c r="BA422" s="31" t="s">
        <v>805</v>
      </c>
      <c r="BB422" s="31"/>
      <c r="BC422" s="31"/>
      <c r="BD422" s="31"/>
      <c r="BE422" s="31"/>
      <c r="BF422" s="31"/>
      <c r="BG422" s="31"/>
      <c r="BH422" s="31"/>
      <c r="BI422" s="31"/>
      <c r="BJ422" s="31"/>
      <c r="BK422" s="31" t="s">
        <v>805</v>
      </c>
      <c r="BL422" s="31"/>
      <c r="BM422" s="31"/>
      <c r="BN422" s="31"/>
    </row>
    <row r="423" spans="1:76">
      <c r="A423" s="12" t="s">
        <v>372</v>
      </c>
      <c r="B423" s="3"/>
      <c r="C423" s="12"/>
      <c r="D423" s="12">
        <v>20425</v>
      </c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23">
        <f>SUM(D423:Q423)</f>
        <v>20425</v>
      </c>
      <c r="S423" s="12"/>
      <c r="T423" s="23">
        <f>R423-S423</f>
        <v>20425</v>
      </c>
      <c r="U423" s="31"/>
      <c r="V423" s="31"/>
      <c r="W423" s="31"/>
      <c r="X423" s="31"/>
      <c r="Y423" s="31" t="s">
        <v>795</v>
      </c>
      <c r="Z423" s="31"/>
      <c r="AA423" s="31"/>
      <c r="AB423" s="31" t="s">
        <v>795</v>
      </c>
      <c r="AC423" s="31"/>
      <c r="AD423" s="31" t="s">
        <v>795</v>
      </c>
      <c r="AE423" s="31"/>
      <c r="AF423" s="31"/>
      <c r="AG423" s="31" t="s">
        <v>795</v>
      </c>
      <c r="AH423" s="31"/>
      <c r="AI423" s="31"/>
      <c r="AJ423" s="31"/>
      <c r="AK423" s="31"/>
      <c r="AL423" s="31"/>
      <c r="AM423" s="31" t="s">
        <v>795</v>
      </c>
      <c r="AN423" s="31"/>
      <c r="AO423" s="31" t="s">
        <v>795</v>
      </c>
      <c r="AP423" s="31"/>
      <c r="AQ423" s="31"/>
      <c r="AR423" s="31" t="s">
        <v>795</v>
      </c>
      <c r="AS423" s="31"/>
      <c r="AT423" s="31"/>
      <c r="AU423" s="31" t="s">
        <v>805</v>
      </c>
      <c r="AV423" s="31"/>
      <c r="AW423" s="31"/>
      <c r="AX423" s="31"/>
      <c r="AY423" s="31" t="s">
        <v>805</v>
      </c>
      <c r="AZ423" s="31"/>
      <c r="BA423" s="31" t="s">
        <v>795</v>
      </c>
      <c r="BB423" s="31"/>
      <c r="BC423" s="31"/>
      <c r="BD423" s="31"/>
      <c r="BE423" s="31"/>
      <c r="BF423" s="31"/>
      <c r="BG423" s="31"/>
      <c r="BH423" s="31"/>
      <c r="BI423" s="31"/>
      <c r="BJ423" s="31"/>
      <c r="BK423" s="31" t="s">
        <v>805</v>
      </c>
      <c r="BL423" s="31"/>
      <c r="BM423" s="31"/>
      <c r="BN423" s="31"/>
    </row>
    <row r="424" spans="1:76">
      <c r="A424" s="12" t="s">
        <v>373</v>
      </c>
      <c r="B424" s="3"/>
      <c r="C424" s="12"/>
      <c r="D424" s="12">
        <v>56940</v>
      </c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23">
        <f>SUM(D424:Q424)</f>
        <v>56940</v>
      </c>
      <c r="S424" s="12"/>
      <c r="T424" s="23">
        <f>R424-S424</f>
        <v>56940</v>
      </c>
      <c r="U424" s="31"/>
      <c r="V424" s="31"/>
      <c r="W424" s="31"/>
      <c r="X424" s="31"/>
      <c r="Y424" s="31" t="s">
        <v>795</v>
      </c>
      <c r="Z424" s="31"/>
      <c r="AA424" s="31"/>
      <c r="AB424" s="31" t="s">
        <v>795</v>
      </c>
      <c r="AC424" s="31"/>
      <c r="AD424" s="31" t="s">
        <v>795</v>
      </c>
      <c r="AE424" s="31"/>
      <c r="AF424" s="31"/>
      <c r="AG424" s="31" t="s">
        <v>795</v>
      </c>
      <c r="AH424" s="31"/>
      <c r="AI424" s="31"/>
      <c r="AJ424" s="31"/>
      <c r="AK424" s="31"/>
      <c r="AL424" s="31"/>
      <c r="AM424" s="31" t="s">
        <v>795</v>
      </c>
      <c r="AN424" s="31"/>
      <c r="AO424" s="31" t="s">
        <v>795</v>
      </c>
      <c r="AP424" s="31"/>
      <c r="AQ424" s="31"/>
      <c r="AR424" s="31" t="s">
        <v>795</v>
      </c>
      <c r="AS424" s="31"/>
      <c r="AT424" s="31"/>
      <c r="AU424" s="31" t="s">
        <v>795</v>
      </c>
      <c r="AV424" s="31"/>
      <c r="AW424" s="31"/>
      <c r="AX424" s="31"/>
      <c r="AY424" s="31" t="s">
        <v>795</v>
      </c>
      <c r="AZ424" s="31"/>
      <c r="BA424" s="31" t="s">
        <v>795</v>
      </c>
      <c r="BB424" s="31"/>
      <c r="BC424" s="31"/>
      <c r="BD424" s="31"/>
      <c r="BE424" s="31"/>
      <c r="BF424" s="31"/>
      <c r="BG424" s="31"/>
      <c r="BH424" s="31"/>
      <c r="BI424" s="31"/>
      <c r="BJ424" s="31"/>
      <c r="BK424" s="31" t="s">
        <v>795</v>
      </c>
      <c r="BL424" s="31"/>
      <c r="BM424" s="31"/>
      <c r="BN424" s="31"/>
    </row>
    <row r="425" spans="1:76">
      <c r="A425" s="12" t="s">
        <v>374</v>
      </c>
      <c r="B425" s="3"/>
      <c r="C425" s="12"/>
      <c r="D425" s="12">
        <v>22980</v>
      </c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23">
        <f>SUM(D425:Q425)</f>
        <v>22980</v>
      </c>
      <c r="S425" s="12"/>
      <c r="T425" s="23">
        <f>R425-S425</f>
        <v>22980</v>
      </c>
      <c r="U425" s="14"/>
      <c r="V425" s="14"/>
      <c r="W425" s="14"/>
      <c r="X425" s="14"/>
      <c r="Y425" s="14" t="s">
        <v>795</v>
      </c>
      <c r="Z425" s="14"/>
      <c r="AA425" s="14"/>
      <c r="AB425" s="14" t="s">
        <v>795</v>
      </c>
      <c r="AC425" s="14"/>
      <c r="AD425" s="14" t="s">
        <v>795</v>
      </c>
      <c r="AE425" s="31"/>
      <c r="AF425" s="31"/>
      <c r="AG425" s="31" t="s">
        <v>795</v>
      </c>
      <c r="AH425" s="31"/>
      <c r="AI425" s="31"/>
      <c r="AJ425" s="31"/>
      <c r="AK425" s="31"/>
      <c r="AL425" s="31"/>
      <c r="AM425" s="31" t="s">
        <v>795</v>
      </c>
      <c r="AN425" s="31"/>
      <c r="AO425" s="31" t="s">
        <v>795</v>
      </c>
      <c r="AP425" s="31"/>
      <c r="AQ425" s="31"/>
      <c r="AR425" s="31" t="s">
        <v>795</v>
      </c>
      <c r="AS425" s="31"/>
      <c r="AT425" s="31"/>
      <c r="AU425" s="31" t="s">
        <v>795</v>
      </c>
      <c r="AV425" s="31"/>
      <c r="AW425" s="31"/>
      <c r="AX425" s="31"/>
      <c r="AY425" s="31" t="s">
        <v>795</v>
      </c>
      <c r="AZ425" s="31"/>
      <c r="BA425" s="31" t="s">
        <v>795</v>
      </c>
      <c r="BB425" s="31"/>
      <c r="BC425" s="31"/>
      <c r="BD425" s="31"/>
      <c r="BE425" s="31"/>
      <c r="BF425" s="31"/>
      <c r="BG425" s="31"/>
      <c r="BH425" s="31"/>
      <c r="BI425" s="31"/>
      <c r="BJ425" s="31"/>
      <c r="BK425" s="31" t="s">
        <v>795</v>
      </c>
      <c r="BL425" s="31"/>
      <c r="BM425" s="31"/>
      <c r="BN425" s="31"/>
    </row>
    <row r="426" spans="1:76">
      <c r="A426" s="12" t="s">
        <v>375</v>
      </c>
      <c r="B426" s="3"/>
      <c r="C426" s="12"/>
      <c r="D426" s="12">
        <v>11780</v>
      </c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23">
        <f>SUM(D426:Q426)</f>
        <v>11780</v>
      </c>
      <c r="S426" s="12"/>
      <c r="T426" s="23">
        <f>R426-S426</f>
        <v>11780</v>
      </c>
      <c r="U426" s="31"/>
      <c r="V426" s="31"/>
      <c r="W426" s="31"/>
      <c r="X426" s="31"/>
      <c r="Y426" s="31" t="s">
        <v>795</v>
      </c>
      <c r="Z426" s="31"/>
      <c r="AA426" s="31"/>
      <c r="AB426" s="31" t="s">
        <v>795</v>
      </c>
      <c r="AC426" s="31"/>
      <c r="AD426" s="31" t="s">
        <v>795</v>
      </c>
      <c r="AE426" s="31"/>
      <c r="AF426" s="31"/>
      <c r="AG426" s="31" t="s">
        <v>795</v>
      </c>
      <c r="AH426" s="31"/>
      <c r="AI426" s="31"/>
      <c r="AJ426" s="31"/>
      <c r="AK426" s="31"/>
      <c r="AL426" s="31"/>
      <c r="AM426" s="31" t="s">
        <v>795</v>
      </c>
      <c r="AN426" s="31"/>
      <c r="AO426" s="31" t="s">
        <v>795</v>
      </c>
      <c r="AP426" s="31"/>
      <c r="AQ426" s="31"/>
      <c r="AR426" s="31" t="s">
        <v>795</v>
      </c>
      <c r="AS426" s="31"/>
      <c r="AT426" s="31"/>
      <c r="AU426" s="31" t="s">
        <v>795</v>
      </c>
      <c r="AV426" s="31"/>
      <c r="AW426" s="31"/>
      <c r="AX426" s="31"/>
      <c r="AY426" s="31" t="s">
        <v>795</v>
      </c>
      <c r="AZ426" s="31"/>
      <c r="BA426" s="31" t="s">
        <v>795</v>
      </c>
      <c r="BB426" s="31"/>
      <c r="BC426" s="31"/>
      <c r="BD426" s="31"/>
      <c r="BE426" s="31"/>
      <c r="BF426" s="31"/>
      <c r="BG426" s="31"/>
      <c r="BH426" s="31"/>
      <c r="BI426" s="31"/>
      <c r="BJ426" s="31"/>
      <c r="BK426" s="31" t="s">
        <v>795</v>
      </c>
      <c r="BL426" s="31"/>
      <c r="BM426" s="31"/>
      <c r="BN426" s="31"/>
    </row>
    <row r="427" spans="1:76">
      <c r="A427" s="12" t="s">
        <v>376</v>
      </c>
      <c r="B427" s="3"/>
      <c r="C427" s="12"/>
      <c r="D427" s="12">
        <v>128495</v>
      </c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23">
        <f>SUM(D427:Q427)</f>
        <v>128495</v>
      </c>
      <c r="S427" s="12">
        <f>15000+10000</f>
        <v>25000</v>
      </c>
      <c r="T427" s="23">
        <f>R427-S427</f>
        <v>103495</v>
      </c>
      <c r="U427" s="1">
        <v>15000</v>
      </c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1" t="s">
        <v>4</v>
      </c>
      <c r="AJ427" s="31"/>
      <c r="AK427" s="31"/>
      <c r="AL427" s="34" t="s">
        <v>879</v>
      </c>
      <c r="AM427" s="34"/>
      <c r="AN427" s="34"/>
      <c r="AO427" s="34"/>
      <c r="AP427" s="34"/>
      <c r="AQ427" s="34"/>
      <c r="AR427" s="34"/>
      <c r="AS427" s="34" t="s">
        <v>894</v>
      </c>
      <c r="AT427" s="34"/>
      <c r="AU427" s="34"/>
      <c r="AV427" s="34"/>
      <c r="AW427" s="31" t="s">
        <v>4</v>
      </c>
      <c r="AX427" s="31"/>
      <c r="AY427" s="34" t="s">
        <v>790</v>
      </c>
      <c r="AZ427" s="34"/>
      <c r="BA427" s="34"/>
      <c r="BB427" s="34"/>
      <c r="BC427" s="34"/>
      <c r="BD427" s="1">
        <v>10000</v>
      </c>
      <c r="BE427" s="34"/>
      <c r="BF427" s="34" t="s">
        <v>986</v>
      </c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1" t="s">
        <v>4</v>
      </c>
    </row>
    <row r="428" spans="1:76">
      <c r="A428" s="12" t="s">
        <v>377</v>
      </c>
      <c r="B428" s="3"/>
      <c r="C428" s="12"/>
      <c r="D428" s="12">
        <v>15500</v>
      </c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23">
        <f>SUM(D428:Q428)</f>
        <v>15500</v>
      </c>
      <c r="S428" s="12"/>
      <c r="T428" s="23">
        <f>R428-S428</f>
        <v>15500</v>
      </c>
      <c r="U428" s="31"/>
      <c r="V428" s="31"/>
      <c r="W428" s="31"/>
      <c r="X428" s="34" t="s">
        <v>807</v>
      </c>
      <c r="Y428" s="34"/>
      <c r="Z428" s="34"/>
      <c r="AA428" s="34"/>
      <c r="AB428" s="34"/>
      <c r="AC428" s="34"/>
      <c r="AD428" s="34" t="s">
        <v>792</v>
      </c>
      <c r="AE428" s="34"/>
      <c r="AF428" s="34"/>
      <c r="AG428" s="34"/>
      <c r="AH428" s="34"/>
      <c r="AI428" s="31" t="s">
        <v>4</v>
      </c>
      <c r="AJ428" s="31"/>
      <c r="AK428" s="31"/>
      <c r="AL428" s="31"/>
      <c r="AM428" s="31" t="s">
        <v>795</v>
      </c>
      <c r="AN428" s="31"/>
      <c r="AO428" s="31" t="s">
        <v>795</v>
      </c>
      <c r="AP428" s="31"/>
      <c r="AQ428" s="31"/>
      <c r="AR428" s="31" t="s">
        <v>795</v>
      </c>
      <c r="AS428" s="31"/>
      <c r="AT428" s="31"/>
      <c r="AU428" s="31" t="s">
        <v>795</v>
      </c>
      <c r="AV428" s="31"/>
      <c r="AW428" s="31"/>
      <c r="AX428" s="31"/>
      <c r="AY428" s="31" t="s">
        <v>795</v>
      </c>
      <c r="AZ428" s="31"/>
      <c r="BA428" s="31" t="s">
        <v>795</v>
      </c>
      <c r="BB428" s="31"/>
      <c r="BC428" s="31"/>
      <c r="BD428" s="31"/>
      <c r="BE428" s="31"/>
      <c r="BF428" s="31"/>
      <c r="BG428" s="31"/>
      <c r="BH428" s="31"/>
      <c r="BI428" s="31"/>
      <c r="BJ428" s="31"/>
      <c r="BK428" s="31" t="s">
        <v>795</v>
      </c>
      <c r="BL428" s="31"/>
      <c r="BM428" s="31"/>
      <c r="BN428" s="31"/>
    </row>
    <row r="429" spans="1:76">
      <c r="A429" s="12" t="s">
        <v>378</v>
      </c>
      <c r="B429" s="3"/>
      <c r="C429" s="12"/>
      <c r="D429" s="12">
        <v>84965</v>
      </c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23">
        <f>SUM(D429:Q429)</f>
        <v>84965</v>
      </c>
      <c r="S429" s="12"/>
      <c r="T429" s="23">
        <f>R429-S429</f>
        <v>84965</v>
      </c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 t="s">
        <v>857</v>
      </c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 t="s">
        <v>796</v>
      </c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 spans="1:76">
      <c r="A430" s="12" t="s">
        <v>379</v>
      </c>
      <c r="B430" s="3"/>
      <c r="C430" s="12"/>
      <c r="D430" s="12">
        <v>5750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23">
        <f>SUM(D430:Q430)</f>
        <v>5750</v>
      </c>
      <c r="S430" s="12"/>
      <c r="T430" s="23">
        <f>R430-S430</f>
        <v>5750</v>
      </c>
      <c r="U430" s="1" t="s">
        <v>789</v>
      </c>
      <c r="V430" s="31"/>
      <c r="W430" s="31"/>
      <c r="X430" s="31"/>
      <c r="Y430" s="34" t="s">
        <v>816</v>
      </c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1" t="s">
        <v>4</v>
      </c>
      <c r="AK430" s="31"/>
      <c r="AL430" s="31"/>
      <c r="AM430" s="31" t="s">
        <v>795</v>
      </c>
      <c r="AN430" s="31"/>
      <c r="AO430" s="31" t="s">
        <v>795</v>
      </c>
      <c r="AP430" s="31"/>
      <c r="AQ430" s="31"/>
      <c r="AR430" s="31" t="s">
        <v>795</v>
      </c>
      <c r="AS430" s="31"/>
      <c r="AT430" s="31"/>
      <c r="AU430" s="31" t="s">
        <v>795</v>
      </c>
      <c r="AV430" s="31"/>
      <c r="AW430" s="31"/>
      <c r="AX430" s="31"/>
      <c r="AY430" s="31" t="s">
        <v>795</v>
      </c>
      <c r="AZ430" s="31"/>
      <c r="BA430" s="31" t="s">
        <v>795</v>
      </c>
      <c r="BB430" s="52">
        <v>0.70833333333333337</v>
      </c>
      <c r="BC430" s="31"/>
      <c r="BD430" s="31"/>
      <c r="BE430" s="31"/>
      <c r="BF430" s="31"/>
      <c r="BG430" s="31"/>
      <c r="BH430" s="31"/>
      <c r="BI430" s="31"/>
      <c r="BJ430" s="31"/>
      <c r="BK430" s="31" t="s">
        <v>795</v>
      </c>
      <c r="BL430" s="31"/>
      <c r="BM430" s="31"/>
      <c r="BN430" s="31"/>
    </row>
    <row r="431" spans="1:76">
      <c r="A431" s="12" t="s">
        <v>380</v>
      </c>
      <c r="B431" s="3"/>
      <c r="C431" s="12"/>
      <c r="D431" s="12">
        <v>139530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23">
        <f>SUM(D431:Q431)</f>
        <v>139530</v>
      </c>
      <c r="S431" s="12"/>
      <c r="T431" s="23">
        <f>R431-S431</f>
        <v>139530</v>
      </c>
      <c r="U431" s="1" t="s">
        <v>787</v>
      </c>
      <c r="V431" s="34"/>
      <c r="W431" s="31" t="s">
        <v>4</v>
      </c>
      <c r="X431" s="31"/>
      <c r="Y431" s="31"/>
      <c r="Z431" s="31"/>
      <c r="AA431" s="31"/>
      <c r="AB431" s="31" t="s">
        <v>795</v>
      </c>
      <c r="AC431" s="31"/>
      <c r="AD431" s="31" t="s">
        <v>795</v>
      </c>
      <c r="AE431" s="31"/>
      <c r="AF431" s="31"/>
      <c r="AG431" s="31" t="s">
        <v>795</v>
      </c>
      <c r="AH431" s="31"/>
      <c r="AI431" s="31"/>
      <c r="AJ431" s="31"/>
      <c r="AK431" s="31"/>
      <c r="AL431" s="31"/>
      <c r="AM431" s="34" t="s">
        <v>795</v>
      </c>
      <c r="AN431" s="34" t="s">
        <v>881</v>
      </c>
      <c r="AO431" s="34"/>
      <c r="AP431" s="34"/>
      <c r="AQ431" s="34"/>
      <c r="AR431" s="34"/>
      <c r="AS431" s="34" t="s">
        <v>898</v>
      </c>
      <c r="AT431" s="34"/>
      <c r="AU431" s="34"/>
      <c r="AV431" s="31" t="s">
        <v>4</v>
      </c>
      <c r="AW431" s="31"/>
      <c r="AX431" s="31"/>
      <c r="AY431" s="31" t="s">
        <v>795</v>
      </c>
      <c r="AZ431" s="34" t="s">
        <v>169</v>
      </c>
      <c r="BA431" s="34"/>
      <c r="BB431" s="34"/>
      <c r="BC431" s="34"/>
      <c r="BD431" s="31" t="s">
        <v>4</v>
      </c>
      <c r="BE431" s="31"/>
      <c r="BF431" s="31"/>
      <c r="BG431" s="31"/>
      <c r="BH431" s="34" t="s">
        <v>792</v>
      </c>
      <c r="BI431" s="34"/>
      <c r="BJ431" s="34"/>
      <c r="BK431" s="34"/>
      <c r="BL431" s="34"/>
      <c r="BM431" s="34"/>
      <c r="BN431" s="31" t="s">
        <v>4</v>
      </c>
    </row>
    <row r="432" spans="1:76">
      <c r="A432" s="12" t="s">
        <v>381</v>
      </c>
      <c r="B432" s="3"/>
      <c r="C432" s="12"/>
      <c r="D432" s="12">
        <v>150000</v>
      </c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23">
        <f>SUM(D432:Q432)</f>
        <v>150000</v>
      </c>
      <c r="S432" s="12"/>
      <c r="T432" s="23">
        <f>R432-S432</f>
        <v>150000</v>
      </c>
      <c r="U432" s="12" t="s">
        <v>169</v>
      </c>
      <c r="V432" s="34"/>
      <c r="W432" s="34"/>
      <c r="X432" s="34"/>
      <c r="Y432" s="31" t="s">
        <v>795</v>
      </c>
      <c r="Z432" s="31"/>
      <c r="AA432" s="31"/>
      <c r="AB432" s="31" t="s">
        <v>795</v>
      </c>
      <c r="AC432" s="31"/>
      <c r="AD432" s="31" t="s">
        <v>795</v>
      </c>
      <c r="AE432" s="31"/>
      <c r="AF432" s="31"/>
      <c r="AG432" s="31" t="s">
        <v>795</v>
      </c>
      <c r="AH432" s="34"/>
      <c r="AI432" s="34"/>
      <c r="AJ432" s="34"/>
      <c r="AK432" s="34"/>
      <c r="AL432" s="34"/>
      <c r="AM432" s="31" t="s">
        <v>811</v>
      </c>
      <c r="AN432" s="31"/>
      <c r="AO432" s="31"/>
      <c r="AP432" s="31"/>
      <c r="AQ432" s="31"/>
      <c r="AR432" s="31" t="s">
        <v>811</v>
      </c>
      <c r="AS432" s="31"/>
      <c r="AT432" s="34" t="s">
        <v>902</v>
      </c>
      <c r="AU432" s="34"/>
      <c r="AV432" s="34"/>
      <c r="AW432" s="34"/>
      <c r="AX432" s="34"/>
      <c r="AY432" s="34" t="s">
        <v>796</v>
      </c>
      <c r="AZ432" s="31"/>
      <c r="BA432" s="31" t="s">
        <v>795</v>
      </c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 spans="1:83">
      <c r="A433" s="12" t="s">
        <v>382</v>
      </c>
      <c r="B433" s="3"/>
      <c r="C433" s="12"/>
      <c r="D433" s="12">
        <v>9700</v>
      </c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23">
        <f>SUM(D433:Q433)</f>
        <v>9700</v>
      </c>
      <c r="S433" s="12"/>
      <c r="T433" s="23">
        <f>R433-S433</f>
        <v>9700</v>
      </c>
      <c r="U433" s="31"/>
      <c r="V433" s="31"/>
      <c r="W433" s="31"/>
      <c r="X433" s="31"/>
      <c r="Y433" s="31"/>
      <c r="Z433" s="31"/>
      <c r="AA433" s="31"/>
      <c r="AB433" s="31" t="s">
        <v>812</v>
      </c>
      <c r="AC433" s="31"/>
      <c r="AD433" s="31" t="s">
        <v>795</v>
      </c>
      <c r="AE433" s="31"/>
      <c r="AF433" s="31"/>
      <c r="AG433" s="31" t="s">
        <v>795</v>
      </c>
      <c r="AH433" s="31"/>
      <c r="AI433" s="31"/>
      <c r="AJ433" s="31"/>
      <c r="AK433" s="31"/>
      <c r="AL433" s="31"/>
      <c r="AM433" s="31" t="s">
        <v>795</v>
      </c>
      <c r="AN433" s="31"/>
      <c r="AO433" s="31" t="s">
        <v>795</v>
      </c>
      <c r="AP433" s="31"/>
      <c r="AQ433" s="31"/>
      <c r="AR433" s="31" t="s">
        <v>795</v>
      </c>
      <c r="AS433" s="31"/>
      <c r="AT433" s="34" t="s">
        <v>169</v>
      </c>
      <c r="AU433" s="34"/>
      <c r="AV433" s="34"/>
      <c r="AW433" s="34"/>
      <c r="AX433" s="34"/>
      <c r="AY433" s="34"/>
      <c r="AZ433" s="34" t="s">
        <v>169</v>
      </c>
      <c r="BA433" s="34"/>
      <c r="BB433" s="34"/>
      <c r="BC433" s="34"/>
      <c r="BD433" s="31" t="s">
        <v>4</v>
      </c>
      <c r="BE433" s="31"/>
      <c r="BF433" s="31"/>
      <c r="BG433" s="31"/>
      <c r="BH433" s="31"/>
      <c r="BI433" s="31"/>
      <c r="BJ433" s="31"/>
      <c r="BK433" s="31" t="s">
        <v>812</v>
      </c>
      <c r="BL433" s="31"/>
      <c r="BM433" s="31"/>
      <c r="BN433" s="31"/>
    </row>
    <row r="434" spans="1:83">
      <c r="A434" s="12" t="s">
        <v>383</v>
      </c>
      <c r="B434" s="3"/>
      <c r="C434" s="12"/>
      <c r="D434" s="12">
        <v>69250</v>
      </c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23">
        <f>SUM(D434:Q434)</f>
        <v>69250</v>
      </c>
      <c r="S434" s="12"/>
      <c r="T434" s="23">
        <f>R434-S434</f>
        <v>69250</v>
      </c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 t="s">
        <v>795</v>
      </c>
      <c r="AH434" s="31"/>
      <c r="AI434" s="31"/>
      <c r="AJ434" s="31"/>
      <c r="AK434" s="31"/>
      <c r="AL434" s="31"/>
      <c r="AM434" s="31" t="s">
        <v>795</v>
      </c>
      <c r="AN434" s="31"/>
      <c r="AO434" s="31" t="s">
        <v>795</v>
      </c>
      <c r="AP434" s="31"/>
      <c r="AQ434" s="31"/>
      <c r="AR434" s="31" t="s">
        <v>795</v>
      </c>
      <c r="AS434" s="31"/>
      <c r="AT434" s="31"/>
      <c r="AU434" s="31"/>
      <c r="AV434" s="31"/>
      <c r="AW434" s="31"/>
      <c r="AX434" s="31"/>
      <c r="AY434" s="31"/>
      <c r="AZ434" s="31"/>
      <c r="BA434" s="31" t="s">
        <v>796</v>
      </c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 spans="1:83">
      <c r="A435" s="12" t="s">
        <v>384</v>
      </c>
      <c r="B435" s="3" t="s">
        <v>875</v>
      </c>
      <c r="C435" s="12"/>
      <c r="D435" s="8">
        <v>443528.4</v>
      </c>
      <c r="E435" s="12"/>
      <c r="F435" s="2">
        <f>5400+25450.02</f>
        <v>30850.02</v>
      </c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23">
        <f>SUM(D435:Q435)</f>
        <v>474378.42000000004</v>
      </c>
      <c r="S435" s="12"/>
      <c r="T435" s="23">
        <f>R435-S435</f>
        <v>474378.42000000004</v>
      </c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4" t="s">
        <v>792</v>
      </c>
      <c r="AH435" s="34"/>
      <c r="AI435" s="31" t="s">
        <v>4</v>
      </c>
      <c r="AJ435" s="31"/>
      <c r="AK435" s="31"/>
      <c r="AL435" s="31"/>
      <c r="AM435" s="34" t="s">
        <v>856</v>
      </c>
      <c r="AN435" s="34"/>
      <c r="AO435" s="34"/>
      <c r="AP435" s="34"/>
      <c r="AQ435" s="31"/>
      <c r="AR435" s="31"/>
      <c r="AS435" s="31"/>
      <c r="AT435" s="31"/>
      <c r="AU435" s="31"/>
      <c r="AV435" s="31"/>
      <c r="AW435" s="31"/>
      <c r="AX435" s="31"/>
      <c r="AY435" s="34" t="s">
        <v>787</v>
      </c>
      <c r="AZ435" s="34"/>
      <c r="BA435" s="34"/>
      <c r="BB435" s="31" t="s">
        <v>4</v>
      </c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 spans="1:83">
      <c r="A436" s="12" t="s">
        <v>385</v>
      </c>
      <c r="B436" s="3"/>
      <c r="C436" s="12"/>
      <c r="D436" s="12">
        <v>23000</v>
      </c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23">
        <f>SUM(D436:Q436)</f>
        <v>23000</v>
      </c>
      <c r="S436" s="12"/>
      <c r="T436" s="23">
        <f>R436-S436</f>
        <v>23000</v>
      </c>
      <c r="U436" s="31"/>
      <c r="V436" s="31"/>
      <c r="W436" s="31"/>
      <c r="X436" s="31"/>
      <c r="Y436" s="31"/>
      <c r="Z436" s="31"/>
      <c r="AA436" s="34" t="s">
        <v>792</v>
      </c>
      <c r="AB436" s="34"/>
      <c r="AC436" s="34"/>
      <c r="AD436" s="34"/>
      <c r="AE436" s="34"/>
      <c r="AF436" s="34"/>
      <c r="AG436" s="34"/>
      <c r="AH436" s="34"/>
      <c r="AI436" s="31" t="s">
        <v>4</v>
      </c>
      <c r="AJ436" s="31"/>
      <c r="AK436" s="31"/>
      <c r="AL436" s="31"/>
      <c r="AM436" s="31" t="s">
        <v>796</v>
      </c>
      <c r="AN436" s="31"/>
      <c r="AO436" s="31" t="s">
        <v>796</v>
      </c>
      <c r="AP436" s="31"/>
      <c r="AQ436" s="31"/>
      <c r="AR436" s="34" t="s">
        <v>796</v>
      </c>
      <c r="AS436" s="34" t="s">
        <v>894</v>
      </c>
      <c r="AT436" s="34"/>
      <c r="AU436" s="34"/>
      <c r="AV436" s="34"/>
      <c r="AW436" s="31" t="s">
        <v>4</v>
      </c>
      <c r="AX436" s="31"/>
      <c r="AY436" s="31" t="s">
        <v>795</v>
      </c>
      <c r="AZ436" s="31"/>
      <c r="BA436" s="31" t="s">
        <v>796</v>
      </c>
      <c r="BB436" s="31"/>
      <c r="BC436" s="31"/>
      <c r="BD436" s="31"/>
      <c r="BE436" s="31"/>
      <c r="BF436" s="34" t="s">
        <v>987</v>
      </c>
      <c r="BG436" s="34"/>
      <c r="BH436" s="34"/>
      <c r="BI436" s="34"/>
      <c r="BJ436" s="34"/>
      <c r="BK436" s="34"/>
      <c r="BL436" s="34"/>
      <c r="BM436" s="34"/>
      <c r="BN436" s="31" t="s">
        <v>4</v>
      </c>
    </row>
    <row r="437" spans="1:83">
      <c r="A437" s="12" t="s">
        <v>386</v>
      </c>
      <c r="B437" s="3"/>
      <c r="C437" s="12"/>
      <c r="D437" s="12">
        <v>32150</v>
      </c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23">
        <f>SUM(D437:Q437)</f>
        <v>32150</v>
      </c>
      <c r="S437" s="12"/>
      <c r="T437" s="23">
        <f>R437-S437</f>
        <v>32150</v>
      </c>
      <c r="U437" s="31"/>
      <c r="V437" s="31"/>
      <c r="W437" s="31"/>
      <c r="X437" s="31"/>
      <c r="Y437" s="31"/>
      <c r="Z437" s="31"/>
      <c r="AA437" s="31"/>
      <c r="AB437" s="31" t="s">
        <v>796</v>
      </c>
      <c r="AC437" s="31"/>
      <c r="AD437" s="31" t="s">
        <v>796</v>
      </c>
      <c r="AE437" s="31"/>
      <c r="AF437" s="31"/>
      <c r="AG437" s="31" t="s">
        <v>796</v>
      </c>
      <c r="AH437" s="31"/>
      <c r="AI437" s="31"/>
      <c r="AJ437" s="31"/>
      <c r="AK437" s="31"/>
      <c r="AL437" s="31"/>
      <c r="AM437" s="31" t="s">
        <v>796</v>
      </c>
      <c r="AN437" s="31"/>
      <c r="AO437" s="31" t="s">
        <v>796</v>
      </c>
      <c r="AP437" s="31"/>
      <c r="AQ437" s="31"/>
      <c r="AR437" s="31" t="s">
        <v>796</v>
      </c>
      <c r="AS437" s="31"/>
      <c r="AT437" s="31"/>
      <c r="AU437" s="31" t="s">
        <v>796</v>
      </c>
      <c r="AV437" s="31"/>
      <c r="AW437" s="31"/>
      <c r="AX437" s="31"/>
      <c r="AY437" s="31" t="s">
        <v>796</v>
      </c>
      <c r="AZ437" s="31"/>
      <c r="BA437" s="31" t="s">
        <v>796</v>
      </c>
      <c r="BB437" s="31"/>
      <c r="BC437" s="31"/>
      <c r="BD437" s="31"/>
      <c r="BE437" s="31"/>
      <c r="BF437" s="31"/>
      <c r="BG437" s="31"/>
      <c r="BH437" s="31"/>
      <c r="BI437" s="31"/>
      <c r="BJ437" s="31"/>
      <c r="BK437" s="31" t="s">
        <v>796</v>
      </c>
      <c r="BL437" s="31"/>
      <c r="BM437" s="31"/>
      <c r="BN437" s="31"/>
    </row>
    <row r="438" spans="1:83">
      <c r="A438" s="12" t="s">
        <v>387</v>
      </c>
      <c r="B438" s="3"/>
      <c r="C438" s="12"/>
      <c r="D438" s="12">
        <v>65745</v>
      </c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23">
        <f>SUM(D438:Q438)</f>
        <v>65745</v>
      </c>
      <c r="S438" s="12"/>
      <c r="T438" s="23">
        <f>R438-S438</f>
        <v>65745</v>
      </c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31"/>
      <c r="AF438" s="31"/>
      <c r="AG438" s="34" t="s">
        <v>847</v>
      </c>
      <c r="AH438" s="34"/>
      <c r="AI438" s="34"/>
      <c r="AJ438" s="34"/>
      <c r="AK438" s="34"/>
      <c r="AL438" s="31" t="s">
        <v>4</v>
      </c>
      <c r="AM438" s="34" t="s">
        <v>881</v>
      </c>
      <c r="AN438" s="34"/>
      <c r="AO438" s="34"/>
      <c r="AP438" s="34"/>
      <c r="AQ438" s="34"/>
      <c r="AR438" s="34"/>
      <c r="AS438" s="31"/>
      <c r="AT438" s="31"/>
      <c r="AU438" s="31"/>
      <c r="AV438" s="31"/>
      <c r="AW438" s="31"/>
      <c r="AX438" s="31"/>
      <c r="AY438" s="31"/>
      <c r="AZ438" s="31"/>
      <c r="BA438" s="31" t="s">
        <v>796</v>
      </c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 spans="1:83">
      <c r="A439" s="12" t="s">
        <v>388</v>
      </c>
      <c r="B439" s="3"/>
      <c r="C439" s="12"/>
      <c r="D439" s="12">
        <v>64540</v>
      </c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23">
        <f>SUM(D439:Q439)</f>
        <v>64540</v>
      </c>
      <c r="S439" s="12"/>
      <c r="T439" s="23">
        <f>R439-S439</f>
        <v>64540</v>
      </c>
      <c r="U439" s="31"/>
      <c r="V439" s="31"/>
      <c r="W439" s="31"/>
      <c r="X439" s="31"/>
      <c r="Y439" s="31" t="s">
        <v>812</v>
      </c>
      <c r="Z439" s="31"/>
      <c r="AA439" s="31"/>
      <c r="AB439" s="31" t="s">
        <v>812</v>
      </c>
      <c r="AC439" s="31"/>
      <c r="AD439" s="31" t="s">
        <v>812</v>
      </c>
      <c r="AE439" s="31"/>
      <c r="AF439" s="31"/>
      <c r="AG439" s="31" t="s">
        <v>812</v>
      </c>
      <c r="AH439" s="31"/>
      <c r="AI439" s="31"/>
      <c r="AJ439" s="31"/>
      <c r="AK439" s="31"/>
      <c r="AL439" s="31"/>
      <c r="AM439" s="31" t="s">
        <v>812</v>
      </c>
      <c r="AN439" s="31"/>
      <c r="AO439" s="31"/>
      <c r="AP439" s="31"/>
      <c r="AQ439" s="31"/>
      <c r="AR439" s="31"/>
      <c r="AS439" s="31"/>
      <c r="AT439" s="31"/>
      <c r="AU439" s="31" t="s">
        <v>812</v>
      </c>
      <c r="AV439" s="31"/>
      <c r="AW439" s="31"/>
      <c r="AX439" s="31"/>
      <c r="AY439" s="31" t="s">
        <v>812</v>
      </c>
      <c r="AZ439" s="31"/>
      <c r="BA439" s="31" t="s">
        <v>793</v>
      </c>
      <c r="BB439" s="31"/>
      <c r="BC439" s="31"/>
      <c r="BD439" s="31"/>
      <c r="BE439" s="31"/>
      <c r="BF439" s="31"/>
      <c r="BG439" s="31"/>
      <c r="BH439" s="31"/>
      <c r="BI439" s="31"/>
      <c r="BJ439" s="31"/>
      <c r="BK439" s="31" t="s">
        <v>812</v>
      </c>
      <c r="BL439" s="31"/>
      <c r="BM439" s="31"/>
      <c r="BN439" s="31"/>
    </row>
    <row r="440" spans="1:83">
      <c r="A440" s="12" t="s">
        <v>389</v>
      </c>
      <c r="B440" s="3"/>
      <c r="C440" s="12"/>
      <c r="D440" s="12">
        <v>109865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23">
        <f>SUM(D440:Q440)</f>
        <v>109865</v>
      </c>
      <c r="S440" s="12"/>
      <c r="T440" s="23">
        <f>R440-S440</f>
        <v>109865</v>
      </c>
      <c r="U440" s="31"/>
      <c r="V440" s="31"/>
      <c r="W440" s="31"/>
      <c r="X440" s="31"/>
      <c r="Y440" s="31" t="s">
        <v>795</v>
      </c>
      <c r="Z440" s="31"/>
      <c r="AA440" s="31"/>
      <c r="AB440" s="31" t="s">
        <v>795</v>
      </c>
      <c r="AC440" s="31"/>
      <c r="AD440" s="34" t="s">
        <v>841</v>
      </c>
      <c r="AE440" s="34"/>
      <c r="AF440" s="34"/>
      <c r="AG440" s="34"/>
      <c r="AH440" s="34"/>
      <c r="AI440" s="34"/>
      <c r="AJ440" s="34"/>
      <c r="AK440" s="34"/>
      <c r="AL440" s="34"/>
      <c r="AM440" s="34"/>
      <c r="AN440" s="31" t="s">
        <v>4</v>
      </c>
      <c r="AO440" s="31" t="s">
        <v>795</v>
      </c>
      <c r="AP440" s="31"/>
      <c r="AQ440" s="31"/>
      <c r="AR440" s="31" t="s">
        <v>795</v>
      </c>
      <c r="AS440" s="31"/>
      <c r="AT440" s="31"/>
      <c r="AU440" s="31"/>
      <c r="AV440" s="31"/>
      <c r="AW440" s="31"/>
      <c r="AX440" s="31"/>
      <c r="AY440" s="31" t="s">
        <v>795</v>
      </c>
      <c r="AZ440" s="31"/>
      <c r="BA440" s="31" t="s">
        <v>796</v>
      </c>
      <c r="BB440" s="31"/>
      <c r="BC440" s="31"/>
      <c r="BD440" s="31"/>
      <c r="BE440" s="31"/>
      <c r="BF440" s="31"/>
      <c r="BG440" s="31"/>
      <c r="BH440" s="31"/>
      <c r="BI440" s="31"/>
      <c r="BJ440" s="31"/>
      <c r="BK440" s="31" t="s">
        <v>795</v>
      </c>
      <c r="BL440" s="31"/>
      <c r="BM440" s="31"/>
      <c r="BN440" s="31"/>
    </row>
    <row r="441" spans="1:83">
      <c r="A441" s="12" t="s">
        <v>390</v>
      </c>
      <c r="B441" s="3"/>
      <c r="C441" s="12"/>
      <c r="D441" s="12">
        <v>10400.460000000006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23">
        <f>SUM(D441:Q441)</f>
        <v>10400.460000000006</v>
      </c>
      <c r="S441" s="12"/>
      <c r="T441" s="23">
        <f>R441-S441</f>
        <v>10400.460000000006</v>
      </c>
      <c r="U441" s="1" t="s">
        <v>790</v>
      </c>
      <c r="V441" s="34"/>
      <c r="W441" s="34"/>
      <c r="X441" s="34"/>
      <c r="Y441" s="34"/>
      <c r="Z441" s="34"/>
      <c r="AA441" s="31" t="s">
        <v>4</v>
      </c>
      <c r="AB441" s="31" t="s">
        <v>795</v>
      </c>
      <c r="AC441" s="31"/>
      <c r="AD441" s="31" t="s">
        <v>795</v>
      </c>
      <c r="AE441" s="31"/>
      <c r="AF441" s="31"/>
      <c r="AG441" s="31" t="s">
        <v>795</v>
      </c>
      <c r="AH441" s="31"/>
      <c r="AI441" s="31"/>
      <c r="AJ441" s="31"/>
      <c r="AK441" s="31"/>
      <c r="AL441" s="31"/>
      <c r="AM441" s="34" t="s">
        <v>795</v>
      </c>
      <c r="AN441" s="34" t="s">
        <v>856</v>
      </c>
      <c r="AO441" s="34"/>
      <c r="AP441" s="31" t="s">
        <v>4</v>
      </c>
      <c r="AQ441" s="31"/>
      <c r="AR441" s="31" t="s">
        <v>795</v>
      </c>
      <c r="AS441" s="31"/>
      <c r="AT441" s="31"/>
      <c r="AU441" s="31"/>
      <c r="AV441" s="31"/>
      <c r="AW441" s="31"/>
      <c r="AX441" s="31"/>
      <c r="AY441" s="31" t="s">
        <v>795</v>
      </c>
      <c r="AZ441" s="31"/>
      <c r="BA441" s="31" t="s">
        <v>796</v>
      </c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 spans="1:83" ht="18.75">
      <c r="A442" s="79" t="s">
        <v>391</v>
      </c>
      <c r="B442" s="80"/>
      <c r="C442" s="79"/>
      <c r="D442" s="79">
        <v>82250</v>
      </c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23">
        <f>SUM(D442:Q442)</f>
        <v>82250</v>
      </c>
      <c r="S442" s="12">
        <f>AA442</f>
        <v>5000</v>
      </c>
      <c r="T442" s="23">
        <f>R442-S442</f>
        <v>77250</v>
      </c>
      <c r="U442" s="31"/>
      <c r="V442" s="31"/>
      <c r="W442" s="31"/>
      <c r="X442" s="31"/>
      <c r="Y442" s="1" t="s">
        <v>813</v>
      </c>
      <c r="Z442" s="34" t="s">
        <v>822</v>
      </c>
      <c r="AA442" s="1">
        <v>5000</v>
      </c>
      <c r="AB442" s="34"/>
      <c r="AC442" s="34"/>
      <c r="AD442" s="34"/>
      <c r="AE442" s="34"/>
      <c r="AF442" s="34"/>
      <c r="AG442" s="34" t="s">
        <v>792</v>
      </c>
      <c r="AH442" s="34"/>
      <c r="AI442" s="34" t="s">
        <v>4</v>
      </c>
      <c r="AJ442" s="34"/>
      <c r="AK442" s="31" t="s">
        <v>4</v>
      </c>
      <c r="AL442" s="34" t="s">
        <v>872</v>
      </c>
      <c r="AM442" s="34"/>
      <c r="AN442" s="34"/>
      <c r="AO442" s="34" t="s">
        <v>856</v>
      </c>
      <c r="AP442" s="34" t="s">
        <v>881</v>
      </c>
      <c r="AQ442" s="34"/>
      <c r="AR442" s="34"/>
      <c r="AS442" s="31" t="s">
        <v>4</v>
      </c>
      <c r="AT442" s="31" t="s">
        <v>4</v>
      </c>
      <c r="AU442" s="31" t="s">
        <v>907</v>
      </c>
      <c r="AV442" s="31"/>
      <c r="AW442" s="31"/>
      <c r="AX442" s="31"/>
      <c r="AY442" s="34" t="s">
        <v>784</v>
      </c>
      <c r="AZ442" s="34" t="s">
        <v>971</v>
      </c>
      <c r="BA442" s="34" t="s">
        <v>169</v>
      </c>
      <c r="BB442" s="34"/>
      <c r="BC442" s="34"/>
      <c r="BD442" s="31"/>
      <c r="BE442" s="31"/>
      <c r="BF442" s="31"/>
      <c r="BG442" s="52">
        <v>0.75</v>
      </c>
      <c r="BH442" s="52">
        <v>0.75</v>
      </c>
      <c r="BI442" s="31"/>
      <c r="BJ442" s="31"/>
      <c r="BK442" s="31"/>
      <c r="BL442" s="31"/>
      <c r="BM442" s="52">
        <v>0.75</v>
      </c>
      <c r="BN442" s="31"/>
    </row>
    <row r="443" spans="1:83">
      <c r="A443" s="12" t="s">
        <v>392</v>
      </c>
      <c r="B443" s="3"/>
      <c r="C443" s="12"/>
      <c r="D443" s="12">
        <v>10575</v>
      </c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23">
        <f>SUM(D443:Q443)</f>
        <v>10575</v>
      </c>
      <c r="S443" s="12"/>
      <c r="T443" s="23">
        <f>R443-S443</f>
        <v>10575</v>
      </c>
      <c r="U443" s="31"/>
      <c r="V443" s="31"/>
      <c r="W443" s="31"/>
      <c r="X443" s="31"/>
      <c r="Y443" s="31" t="s">
        <v>796</v>
      </c>
      <c r="Z443" s="34"/>
      <c r="AA443" s="31"/>
      <c r="AB443" s="31" t="s">
        <v>796</v>
      </c>
      <c r="AC443" s="31"/>
      <c r="AD443" s="31" t="s">
        <v>796</v>
      </c>
      <c r="AE443" s="31"/>
      <c r="AF443" s="31"/>
      <c r="AG443" s="31" t="s">
        <v>796</v>
      </c>
      <c r="AH443" s="31"/>
      <c r="AI443" s="31"/>
      <c r="AJ443" s="31"/>
      <c r="AK443" s="31"/>
      <c r="AL443" s="31"/>
      <c r="AM443" s="31" t="s">
        <v>796</v>
      </c>
      <c r="AN443" s="31"/>
      <c r="AO443" s="31" t="s">
        <v>796</v>
      </c>
      <c r="AP443" s="31"/>
      <c r="AQ443" s="31"/>
      <c r="AR443" s="31" t="s">
        <v>796</v>
      </c>
      <c r="AS443" s="31"/>
      <c r="AT443" s="31"/>
      <c r="AU443" s="31" t="s">
        <v>796</v>
      </c>
      <c r="AV443" s="31"/>
      <c r="AW443" s="31"/>
      <c r="AX443" s="31"/>
      <c r="AY443" s="31" t="s">
        <v>796</v>
      </c>
      <c r="AZ443" s="31"/>
      <c r="BA443" s="31" t="s">
        <v>796</v>
      </c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 spans="1:83">
      <c r="A444" s="12" t="s">
        <v>393</v>
      </c>
      <c r="B444" s="3"/>
      <c r="C444" s="12"/>
      <c r="D444" s="12">
        <v>105000</v>
      </c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23">
        <f>SUM(D444:Q444)</f>
        <v>105000</v>
      </c>
      <c r="S444" s="12"/>
      <c r="T444" s="23">
        <f>R444-S444</f>
        <v>105000</v>
      </c>
      <c r="U444" s="31"/>
      <c r="V444" s="31"/>
      <c r="W444" s="31"/>
      <c r="X444" s="31"/>
      <c r="Y444" s="34" t="s">
        <v>786</v>
      </c>
      <c r="Z444" s="34"/>
      <c r="AA444" s="34"/>
      <c r="AB444" s="31" t="s">
        <v>795</v>
      </c>
      <c r="AC444" s="31"/>
      <c r="AD444" s="31" t="s">
        <v>795</v>
      </c>
      <c r="AE444" s="34" t="s">
        <v>840</v>
      </c>
      <c r="AF444" s="34"/>
      <c r="AG444" s="34" t="s">
        <v>847</v>
      </c>
      <c r="AH444" s="34"/>
      <c r="AI444" s="34"/>
      <c r="AJ444" s="34"/>
      <c r="AK444" s="34"/>
      <c r="AL444" s="34" t="s">
        <v>872</v>
      </c>
      <c r="AM444" s="34"/>
      <c r="AN444" s="34"/>
      <c r="AO444" s="31" t="s">
        <v>795</v>
      </c>
      <c r="AP444" s="31"/>
      <c r="AQ444" s="31"/>
      <c r="AR444" s="34" t="s">
        <v>886</v>
      </c>
      <c r="AS444" s="34"/>
      <c r="AT444" s="34"/>
      <c r="AU444" s="31" t="s">
        <v>795</v>
      </c>
      <c r="AV444" s="31"/>
      <c r="AW444" s="31" t="s">
        <v>790</v>
      </c>
      <c r="AX444" s="31"/>
      <c r="AY444" s="31"/>
      <c r="AZ444" s="34">
        <v>7</v>
      </c>
      <c r="BA444" s="34"/>
      <c r="BB444" s="34"/>
      <c r="BC444" s="34"/>
      <c r="BD444" s="34"/>
      <c r="BE444" s="34"/>
      <c r="BF444" s="31" t="s">
        <v>4</v>
      </c>
      <c r="BG444" s="34" t="s">
        <v>840</v>
      </c>
      <c r="BH444" s="34"/>
      <c r="BI444" s="34"/>
      <c r="BJ444" s="34"/>
      <c r="BK444" s="34"/>
      <c r="BL444" s="31" t="s">
        <v>4</v>
      </c>
      <c r="BM444" s="31"/>
      <c r="BN444" s="31"/>
    </row>
    <row r="445" spans="1:83">
      <c r="A445" s="12" t="s">
        <v>394</v>
      </c>
      <c r="B445" s="3"/>
      <c r="C445" s="12"/>
      <c r="D445" s="12">
        <v>12550</v>
      </c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23">
        <f>SUM(D445:Q445)</f>
        <v>12550</v>
      </c>
      <c r="S445" s="12">
        <f>AK445</f>
        <v>3000</v>
      </c>
      <c r="T445" s="23">
        <f>R445-S445</f>
        <v>9550</v>
      </c>
      <c r="U445" s="31"/>
      <c r="V445" s="31"/>
      <c r="W445" s="31"/>
      <c r="X445" s="31"/>
      <c r="Y445" s="31" t="s">
        <v>795</v>
      </c>
      <c r="Z445" s="34"/>
      <c r="AA445" s="31"/>
      <c r="AB445" s="31" t="s">
        <v>795</v>
      </c>
      <c r="AC445" s="31"/>
      <c r="AD445" s="31" t="s">
        <v>795</v>
      </c>
      <c r="AE445" s="31"/>
      <c r="AF445" s="31"/>
      <c r="AG445" s="31" t="s">
        <v>796</v>
      </c>
      <c r="AH445" s="31"/>
      <c r="AI445" s="31"/>
      <c r="AJ445" s="31"/>
      <c r="AK445" s="62">
        <v>3000</v>
      </c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>
        <v>2</v>
      </c>
      <c r="BA445" s="34" t="s">
        <v>977</v>
      </c>
      <c r="BB445" s="34"/>
      <c r="BC445" s="34"/>
      <c r="BD445" s="34"/>
      <c r="BE445" s="31" t="s">
        <v>4</v>
      </c>
      <c r="BF445" s="34" t="s">
        <v>825</v>
      </c>
      <c r="BG445" s="34"/>
      <c r="BH445" s="31" t="s">
        <v>4</v>
      </c>
      <c r="BI445" s="31"/>
      <c r="BJ445" s="31"/>
      <c r="BK445" s="34" t="s">
        <v>847</v>
      </c>
      <c r="BL445" s="34"/>
      <c r="BM445" s="34"/>
      <c r="BN445" s="34"/>
      <c r="BO445" s="34"/>
      <c r="BP445" s="34"/>
      <c r="BQ445" s="31" t="s">
        <v>4</v>
      </c>
    </row>
    <row r="446" spans="1:83">
      <c r="A446" s="12" t="s">
        <v>395</v>
      </c>
      <c r="B446" s="3" t="s">
        <v>878</v>
      </c>
      <c r="C446" s="12"/>
      <c r="D446" s="12">
        <v>519700</v>
      </c>
      <c r="E446" s="12"/>
      <c r="F446" s="12"/>
      <c r="G446" s="2">
        <v>12222</v>
      </c>
      <c r="H446" s="2">
        <v>23144.03</v>
      </c>
      <c r="I446" s="12"/>
      <c r="J446" s="2">
        <f>11572</f>
        <v>11572</v>
      </c>
      <c r="K446" s="2">
        <v>11572.01</v>
      </c>
      <c r="L446" s="2">
        <f>23394.03+17358</f>
        <v>40752.03</v>
      </c>
      <c r="M446" s="12"/>
      <c r="N446" s="8">
        <v>11572.01</v>
      </c>
      <c r="O446" s="8">
        <v>23694</v>
      </c>
      <c r="P446" s="12"/>
      <c r="Q446" s="12"/>
      <c r="R446" s="23">
        <f>SUM(D446:Q446)</f>
        <v>654228.08000000007</v>
      </c>
      <c r="S446" s="12">
        <f>AE446+32000+13000+8000+10000+10000+20000+15000+12000</f>
        <v>130000</v>
      </c>
      <c r="T446" s="23">
        <f>R446-S446</f>
        <v>524228.08000000007</v>
      </c>
      <c r="U446" s="31"/>
      <c r="V446" s="31"/>
      <c r="W446" s="31"/>
      <c r="X446" s="31"/>
      <c r="Y446" s="31"/>
      <c r="Z446" s="34"/>
      <c r="AA446" s="31"/>
      <c r="AB446" s="34" t="s">
        <v>807</v>
      </c>
      <c r="AC446" s="34"/>
      <c r="AD446" s="31" t="s">
        <v>4</v>
      </c>
      <c r="AE446" s="1">
        <v>10000</v>
      </c>
      <c r="AF446" s="31"/>
      <c r="AG446" s="34" t="s">
        <v>792</v>
      </c>
      <c r="AH446" s="62">
        <v>32000</v>
      </c>
      <c r="AI446" s="31" t="s">
        <v>4</v>
      </c>
      <c r="AJ446" s="31"/>
      <c r="AK446" s="62">
        <v>13000</v>
      </c>
      <c r="AL446" s="62">
        <v>13000</v>
      </c>
      <c r="AM446" s="66">
        <v>8000</v>
      </c>
      <c r="AN446" s="31"/>
      <c r="AO446" s="31"/>
      <c r="AP446" s="31"/>
      <c r="AQ446" s="31"/>
      <c r="AR446" s="31"/>
      <c r="AS446" s="31"/>
      <c r="AT446" s="31"/>
      <c r="AU446" s="62">
        <v>10000</v>
      </c>
      <c r="AV446" s="34"/>
      <c r="AW446" s="34"/>
      <c r="AX446" s="34"/>
      <c r="AY446" s="34"/>
      <c r="AZ446" s="34">
        <v>2</v>
      </c>
      <c r="BA446" s="34" t="s">
        <v>327</v>
      </c>
      <c r="BB446" s="62">
        <v>10000</v>
      </c>
      <c r="BC446" s="1">
        <v>20000</v>
      </c>
      <c r="BD446" s="34"/>
      <c r="BE446" s="31" t="s">
        <v>4</v>
      </c>
      <c r="BF446" s="31"/>
      <c r="BG446" s="31"/>
      <c r="BH446" s="1">
        <f>15000+12000</f>
        <v>27000</v>
      </c>
      <c r="BI446" s="34"/>
      <c r="BJ446" s="31"/>
      <c r="BK446" s="31"/>
      <c r="BL446" s="31"/>
      <c r="BM446" s="31"/>
      <c r="BN446" s="31"/>
    </row>
    <row r="447" spans="1:83">
      <c r="A447" s="12" t="s">
        <v>396</v>
      </c>
      <c r="B447" s="3"/>
      <c r="C447" s="12"/>
      <c r="D447" s="12">
        <v>45268</v>
      </c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23">
        <f>SUM(D447:Q447)</f>
        <v>45268</v>
      </c>
      <c r="S447" s="12">
        <f>AU447</f>
        <v>44000</v>
      </c>
      <c r="T447" s="23">
        <f>R447-S447</f>
        <v>1268</v>
      </c>
      <c r="U447" s="1" t="s">
        <v>327</v>
      </c>
      <c r="V447" s="34"/>
      <c r="W447" s="34"/>
      <c r="X447" s="34"/>
      <c r="Y447" s="34"/>
      <c r="Z447" s="31" t="s">
        <v>4</v>
      </c>
      <c r="AA447" s="31"/>
      <c r="AB447" s="31"/>
      <c r="AC447" s="31"/>
      <c r="AD447" s="31"/>
      <c r="AE447" s="31"/>
      <c r="AF447" s="31"/>
      <c r="AG447" s="34" t="s">
        <v>792</v>
      </c>
      <c r="AH447" s="34"/>
      <c r="AI447" s="31" t="s">
        <v>4</v>
      </c>
      <c r="AJ447" s="31"/>
      <c r="AK447" s="31"/>
      <c r="AL447" s="31"/>
      <c r="AM447" s="31"/>
      <c r="AN447" s="31"/>
      <c r="AO447" s="31"/>
      <c r="AP447" s="31"/>
      <c r="AQ447" s="31"/>
      <c r="AR447" s="34" t="s">
        <v>894</v>
      </c>
      <c r="AS447" s="34"/>
      <c r="AT447" s="34"/>
      <c r="AU447" s="62">
        <v>44000</v>
      </c>
      <c r="AV447" s="31"/>
      <c r="AW447" s="31"/>
      <c r="AX447" s="31"/>
      <c r="AY447" s="31"/>
      <c r="AZ447" s="31"/>
      <c r="BA447" s="31" t="s">
        <v>796</v>
      </c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 spans="1:83" s="62" customFormat="1">
      <c r="A448" s="12" t="s">
        <v>397</v>
      </c>
      <c r="B448" s="3"/>
      <c r="C448" s="12"/>
      <c r="D448" s="8">
        <f>56000.01+79345.04</f>
        <v>135345.04999999999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23">
        <f>SUM(D448:Q448)</f>
        <v>135345.04999999999</v>
      </c>
      <c r="S448" s="12"/>
      <c r="T448" s="23">
        <f>R448-S448</f>
        <v>135345.04999999999</v>
      </c>
      <c r="U448" s="31"/>
      <c r="V448" s="31"/>
      <c r="W448" s="31"/>
      <c r="X448" s="31"/>
      <c r="Y448" s="31"/>
      <c r="Z448" s="34"/>
      <c r="AA448" s="31"/>
      <c r="AB448" s="31"/>
      <c r="AC448" s="31"/>
      <c r="AD448" s="31"/>
      <c r="AE448" s="31"/>
      <c r="AF448" s="31"/>
      <c r="AG448" s="34" t="s">
        <v>856</v>
      </c>
      <c r="AH448" s="34"/>
      <c r="AI448" s="34"/>
      <c r="AJ448" s="34"/>
      <c r="AK448" s="34"/>
      <c r="AL448" s="34"/>
      <c r="AM448" s="34"/>
      <c r="AN448" s="34"/>
      <c r="AO448" s="34"/>
      <c r="AP448" s="31" t="s">
        <v>4</v>
      </c>
      <c r="AQ448" s="31"/>
      <c r="AR448" s="34" t="s">
        <v>894</v>
      </c>
      <c r="AS448" s="34"/>
      <c r="AT448" s="34"/>
      <c r="AU448" s="34" t="s">
        <v>908</v>
      </c>
      <c r="AV448" s="31" t="s">
        <v>4</v>
      </c>
      <c r="AW448" s="31"/>
      <c r="AX448" s="31"/>
      <c r="AY448" s="31" t="s">
        <v>807</v>
      </c>
      <c r="AZ448" s="34"/>
      <c r="BA448" s="34"/>
      <c r="BB448" s="34"/>
      <c r="BC448" s="34"/>
      <c r="BD448" s="34"/>
      <c r="BE448" s="34"/>
      <c r="BF448" s="34"/>
      <c r="BG448" s="34"/>
      <c r="BH448" s="34"/>
      <c r="BI448" s="31" t="s">
        <v>4</v>
      </c>
      <c r="BJ448" s="31"/>
      <c r="BK448" s="31"/>
      <c r="BL448" s="31"/>
      <c r="BM448" s="31"/>
      <c r="BN448" s="3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35"/>
    </row>
    <row r="449" spans="1:83" s="62" customFormat="1">
      <c r="A449" s="12" t="s">
        <v>398</v>
      </c>
      <c r="B449" s="3"/>
      <c r="C449" s="12"/>
      <c r="D449" s="12">
        <v>73108</v>
      </c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23">
        <f>SUM(D449:Q449)</f>
        <v>73108</v>
      </c>
      <c r="S449" s="12"/>
      <c r="T449" s="23">
        <f>R449-S449</f>
        <v>73108</v>
      </c>
      <c r="U449" s="31"/>
      <c r="V449" s="31"/>
      <c r="W449" s="31"/>
      <c r="X449" s="31"/>
      <c r="Y449" s="31" t="s">
        <v>795</v>
      </c>
      <c r="Z449" s="34"/>
      <c r="AA449" s="31"/>
      <c r="AB449" s="31" t="s">
        <v>795</v>
      </c>
      <c r="AC449" s="31"/>
      <c r="AD449" s="31" t="s">
        <v>795</v>
      </c>
      <c r="AE449" s="31"/>
      <c r="AF449" s="31"/>
      <c r="AG449" s="31" t="s">
        <v>795</v>
      </c>
      <c r="AH449" s="31"/>
      <c r="AI449" s="31"/>
      <c r="AJ449" s="31"/>
      <c r="AK449" s="31"/>
      <c r="AL449" s="31"/>
      <c r="AM449" s="31" t="s">
        <v>795</v>
      </c>
      <c r="AN449" s="31"/>
      <c r="AO449" s="31" t="s">
        <v>795</v>
      </c>
      <c r="AP449" s="31"/>
      <c r="AQ449" s="31"/>
      <c r="AR449" s="31" t="s">
        <v>795</v>
      </c>
      <c r="AS449" s="31"/>
      <c r="AT449" s="31"/>
      <c r="AU449" s="31" t="s">
        <v>795</v>
      </c>
      <c r="AV449" s="31"/>
      <c r="AW449" s="31"/>
      <c r="AX449" s="31"/>
      <c r="AY449" s="31" t="s">
        <v>795</v>
      </c>
      <c r="AZ449" s="31"/>
      <c r="BA449" s="34">
        <v>7</v>
      </c>
      <c r="BB449" s="34"/>
      <c r="BC449" s="34"/>
      <c r="BD449" s="34"/>
      <c r="BE449" s="34"/>
      <c r="BF449" s="31" t="s">
        <v>4</v>
      </c>
      <c r="BG449" s="31"/>
      <c r="BH449" s="31"/>
      <c r="BI449" s="31"/>
      <c r="BJ449" s="31"/>
      <c r="BK449" s="31" t="s">
        <v>795</v>
      </c>
      <c r="BL449" s="31"/>
      <c r="BM449" s="31"/>
      <c r="BN449" s="3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35"/>
    </row>
    <row r="450" spans="1:83" s="62" customFormat="1">
      <c r="A450" s="12" t="s">
        <v>399</v>
      </c>
      <c r="B450" s="3"/>
      <c r="C450" s="12"/>
      <c r="D450" s="12">
        <v>14060</v>
      </c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23">
        <f>SUM(D450:Q450)</f>
        <v>14060</v>
      </c>
      <c r="S450" s="12"/>
      <c r="T450" s="23">
        <f>R450-S450</f>
        <v>14060</v>
      </c>
      <c r="U450" s="31"/>
      <c r="V450" s="31"/>
      <c r="W450" s="31"/>
      <c r="X450" s="31"/>
      <c r="Y450" s="31" t="s">
        <v>799</v>
      </c>
      <c r="Z450" s="34"/>
      <c r="AA450" s="31"/>
      <c r="AB450" s="31" t="s">
        <v>799</v>
      </c>
      <c r="AC450" s="31"/>
      <c r="AD450" s="31" t="s">
        <v>799</v>
      </c>
      <c r="AE450" s="31"/>
      <c r="AF450" s="31"/>
      <c r="AG450" s="31" t="s">
        <v>799</v>
      </c>
      <c r="AH450" s="31"/>
      <c r="AI450" s="31"/>
      <c r="AJ450" s="31"/>
      <c r="AK450" s="31"/>
      <c r="AL450" s="31"/>
      <c r="AM450" s="31" t="s">
        <v>799</v>
      </c>
      <c r="AN450" s="31"/>
      <c r="AO450" s="31" t="s">
        <v>799</v>
      </c>
      <c r="AP450" s="31"/>
      <c r="AQ450" s="31"/>
      <c r="AR450" s="31" t="s">
        <v>799</v>
      </c>
      <c r="AS450" s="31"/>
      <c r="AT450" s="31"/>
      <c r="AU450" s="31" t="s">
        <v>799</v>
      </c>
      <c r="AV450" s="31"/>
      <c r="AW450" s="31"/>
      <c r="AX450" s="31"/>
      <c r="AY450" s="31" t="s">
        <v>959</v>
      </c>
      <c r="AZ450" s="31"/>
      <c r="BA450" s="31" t="s">
        <v>796</v>
      </c>
      <c r="BB450" s="31"/>
      <c r="BC450" s="31"/>
      <c r="BD450" s="31"/>
      <c r="BE450" s="31"/>
      <c r="BF450" s="31"/>
      <c r="BG450" s="31"/>
      <c r="BH450" s="31"/>
      <c r="BI450" s="31"/>
      <c r="BJ450" s="31"/>
      <c r="BK450" s="31" t="s">
        <v>799</v>
      </c>
      <c r="BL450" s="31"/>
      <c r="BM450" s="31"/>
      <c r="BN450" s="31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</row>
    <row r="451" spans="1:83">
      <c r="A451" s="12" t="s">
        <v>400</v>
      </c>
      <c r="B451" s="3"/>
      <c r="C451" s="12"/>
      <c r="D451" s="12">
        <v>42000</v>
      </c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23">
        <f>SUM(D451:Q451)</f>
        <v>42000</v>
      </c>
      <c r="S451" s="12"/>
      <c r="T451" s="23">
        <f>R451-S451</f>
        <v>42000</v>
      </c>
      <c r="U451" s="8" t="s">
        <v>787</v>
      </c>
      <c r="V451" s="12"/>
      <c r="W451" s="14" t="s">
        <v>4</v>
      </c>
      <c r="X451" s="12" t="s">
        <v>327</v>
      </c>
      <c r="Y451" s="12"/>
      <c r="Z451" s="34" t="s">
        <v>820</v>
      </c>
      <c r="AA451" s="12"/>
      <c r="AB451" s="31" t="s">
        <v>795</v>
      </c>
      <c r="AC451" s="14"/>
      <c r="AD451" s="14" t="s">
        <v>811</v>
      </c>
      <c r="AE451" s="31"/>
      <c r="AF451" s="31"/>
      <c r="AG451" s="34" t="s">
        <v>847</v>
      </c>
      <c r="AH451" s="34"/>
      <c r="AI451" s="34"/>
      <c r="AJ451" s="34"/>
      <c r="AK451" s="34"/>
      <c r="AL451" s="34" t="s">
        <v>841</v>
      </c>
      <c r="AM451" s="34"/>
      <c r="AN451" s="34"/>
      <c r="AO451" s="31" t="s">
        <v>795</v>
      </c>
      <c r="AP451" s="31"/>
      <c r="AQ451" s="31"/>
      <c r="AR451" s="31" t="s">
        <v>795</v>
      </c>
      <c r="AS451" s="31"/>
      <c r="AT451" s="31"/>
      <c r="AU451" s="31" t="s">
        <v>795</v>
      </c>
      <c r="AV451" s="31"/>
      <c r="AW451" s="31"/>
      <c r="AX451" s="31"/>
      <c r="AY451" s="31" t="s">
        <v>795</v>
      </c>
      <c r="AZ451" s="34" t="s">
        <v>327</v>
      </c>
      <c r="BA451" s="34"/>
      <c r="BB451" s="34"/>
      <c r="BC451" s="34"/>
      <c r="BD451" s="34"/>
      <c r="BE451" s="31" t="s">
        <v>4</v>
      </c>
      <c r="BF451" s="31"/>
      <c r="BG451" s="31"/>
      <c r="BH451" s="31"/>
      <c r="BI451" s="31"/>
      <c r="BJ451" s="31"/>
      <c r="BK451" s="31" t="s">
        <v>795</v>
      </c>
      <c r="BL451" s="31"/>
      <c r="BM451" s="31"/>
      <c r="BN451" s="31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</row>
    <row r="452" spans="1:83">
      <c r="A452" s="12" t="s">
        <v>965</v>
      </c>
      <c r="B452" s="3" t="s">
        <v>970</v>
      </c>
      <c r="C452" s="12"/>
      <c r="D452" s="12"/>
      <c r="E452" s="12"/>
      <c r="F452" s="12"/>
      <c r="G452" s="12"/>
      <c r="H452" s="12"/>
      <c r="I452" s="12"/>
      <c r="J452" s="12"/>
      <c r="K452" s="2">
        <f>79000.02+25000.01</f>
        <v>104000.03</v>
      </c>
      <c r="L452" s="2">
        <v>65000</v>
      </c>
      <c r="M452" s="12"/>
      <c r="N452" s="12"/>
      <c r="O452" s="12"/>
      <c r="P452" s="12"/>
      <c r="Q452" s="12"/>
      <c r="R452" s="23">
        <f>SUM(D452:Q452)</f>
        <v>169000.03</v>
      </c>
      <c r="S452" s="12">
        <f>26250.18+56128.9</f>
        <v>82379.08</v>
      </c>
      <c r="T452" s="23">
        <f>R452-S452</f>
        <v>86620.95</v>
      </c>
      <c r="U452" s="1">
        <v>26250.18</v>
      </c>
      <c r="V452" s="31"/>
      <c r="W452" s="1">
        <v>56128.91</v>
      </c>
      <c r="X452" s="31"/>
      <c r="Y452" s="31"/>
      <c r="Z452" s="34"/>
      <c r="AA452" s="31"/>
      <c r="AB452" s="34"/>
      <c r="AC452" s="34"/>
      <c r="AD452" s="31"/>
      <c r="AE452" s="1"/>
      <c r="AF452" s="31"/>
      <c r="AG452" s="34"/>
      <c r="AH452" s="62"/>
      <c r="AI452" s="31"/>
      <c r="AJ452" s="31"/>
      <c r="AK452" s="62"/>
      <c r="AL452" s="62"/>
      <c r="AM452" s="66"/>
      <c r="AN452" s="31"/>
      <c r="AO452" s="31"/>
      <c r="AP452" s="31"/>
      <c r="AQ452" s="31"/>
      <c r="AR452" s="31"/>
      <c r="AS452" s="31"/>
      <c r="AT452" s="31"/>
      <c r="AU452" s="1"/>
      <c r="AV452" s="34"/>
      <c r="AW452" s="34"/>
      <c r="AX452" s="34"/>
      <c r="AY452" s="34"/>
      <c r="AZ452" s="34"/>
      <c r="BA452" s="34"/>
      <c r="BB452" s="34"/>
      <c r="BC452" s="34"/>
      <c r="BD452" s="31" t="s">
        <v>4</v>
      </c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</row>
    <row r="453" spans="1:83">
      <c r="A453" s="12" t="s">
        <v>401</v>
      </c>
      <c r="B453" s="3"/>
      <c r="C453" s="12"/>
      <c r="D453" s="12">
        <v>54000</v>
      </c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23">
        <f>SUM(D453:Q453)</f>
        <v>54000</v>
      </c>
      <c r="S453" s="12"/>
      <c r="T453" s="23">
        <f>R453-S453</f>
        <v>54000</v>
      </c>
      <c r="U453" s="14"/>
      <c r="V453" s="14"/>
      <c r="W453" s="14"/>
      <c r="X453" s="14"/>
      <c r="Y453" s="14" t="s">
        <v>795</v>
      </c>
      <c r="Z453" s="14"/>
      <c r="AA453" s="14"/>
      <c r="AB453" s="14" t="s">
        <v>795</v>
      </c>
      <c r="AC453" s="14"/>
      <c r="AD453" s="14" t="s">
        <v>795</v>
      </c>
      <c r="AE453" s="31"/>
      <c r="AF453" s="31"/>
      <c r="AG453" s="31" t="s">
        <v>795</v>
      </c>
      <c r="AH453" s="31"/>
      <c r="AI453" s="31"/>
      <c r="AJ453" s="31"/>
      <c r="AK453" s="31"/>
      <c r="AL453" s="31"/>
      <c r="AM453" s="31" t="s">
        <v>795</v>
      </c>
      <c r="AN453" s="31"/>
      <c r="AO453" s="31"/>
      <c r="AP453" s="31"/>
      <c r="AQ453" s="31"/>
      <c r="AR453" s="31" t="s">
        <v>795</v>
      </c>
      <c r="AS453" s="31"/>
      <c r="AT453" s="31"/>
      <c r="AU453" s="31" t="s">
        <v>795</v>
      </c>
      <c r="AV453" s="31"/>
      <c r="AW453" s="31"/>
      <c r="AX453" s="31"/>
      <c r="AY453" s="31" t="s">
        <v>796</v>
      </c>
      <c r="AZ453" s="31"/>
      <c r="BA453" s="31" t="s">
        <v>796</v>
      </c>
      <c r="BB453" s="31"/>
      <c r="BC453" s="31"/>
      <c r="BD453" s="31"/>
      <c r="BE453" s="31"/>
      <c r="BF453" s="31"/>
      <c r="BG453" s="31"/>
      <c r="BH453" s="31"/>
      <c r="BI453" s="31"/>
      <c r="BJ453" s="31"/>
      <c r="BK453" s="31" t="s">
        <v>795</v>
      </c>
      <c r="BL453" s="31"/>
      <c r="BM453" s="31"/>
      <c r="BN453" s="31"/>
    </row>
    <row r="454" spans="1:83">
      <c r="A454" s="12" t="s">
        <v>300</v>
      </c>
      <c r="B454" s="3"/>
      <c r="C454" s="12"/>
      <c r="D454" s="12"/>
      <c r="E454" s="12"/>
      <c r="F454" s="12"/>
      <c r="G454" s="12"/>
      <c r="H454" s="12"/>
      <c r="I454" s="12"/>
      <c r="J454" s="12"/>
      <c r="K454" s="2">
        <v>22500.01</v>
      </c>
      <c r="L454" s="12"/>
      <c r="M454" s="12"/>
      <c r="N454" s="12"/>
      <c r="O454" s="12"/>
      <c r="P454" s="12"/>
      <c r="Q454" s="12"/>
      <c r="R454" s="23">
        <f>SUM(D454:Q454)</f>
        <v>22500.01</v>
      </c>
      <c r="S454" s="12"/>
      <c r="T454" s="23">
        <f>R454-S454</f>
        <v>22500.01</v>
      </c>
      <c r="U454" s="8"/>
      <c r="V454" s="12"/>
      <c r="W454" s="12"/>
      <c r="X454" s="12"/>
      <c r="Y454" s="12"/>
      <c r="Z454" s="31"/>
      <c r="AA454" s="14"/>
      <c r="AB454" s="14"/>
      <c r="AC454" s="14"/>
      <c r="AD454" s="14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4"/>
      <c r="BB454" s="34"/>
      <c r="BC454" s="34"/>
      <c r="BD454" s="34"/>
      <c r="BE454" s="31"/>
      <c r="BF454" s="31"/>
      <c r="BG454" s="31"/>
      <c r="BH454" s="31"/>
      <c r="BI454" s="31"/>
      <c r="BJ454" s="31"/>
      <c r="BK454" s="31" t="s">
        <v>795</v>
      </c>
      <c r="BL454" s="31"/>
      <c r="BM454" s="31"/>
      <c r="BN454" s="31"/>
    </row>
    <row r="455" spans="1:83">
      <c r="A455" s="12" t="s">
        <v>403</v>
      </c>
      <c r="B455" s="3"/>
      <c r="C455" s="12"/>
      <c r="D455" s="12">
        <v>1540</v>
      </c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23">
        <f>SUM(D455:Q455)</f>
        <v>1540</v>
      </c>
      <c r="S455" s="12"/>
      <c r="T455" s="23">
        <f>R455-S455</f>
        <v>1540</v>
      </c>
      <c r="U455" s="14"/>
      <c r="V455" s="14"/>
      <c r="W455" s="14"/>
      <c r="X455" s="14"/>
      <c r="Y455" s="14" t="s">
        <v>795</v>
      </c>
      <c r="Z455" s="14"/>
      <c r="AA455" s="14"/>
      <c r="AB455" s="14"/>
      <c r="AC455" s="14"/>
      <c r="AD455" s="14" t="s">
        <v>795</v>
      </c>
      <c r="AE455" s="31"/>
      <c r="AF455" s="31"/>
      <c r="AG455" s="34" t="s">
        <v>841</v>
      </c>
      <c r="AH455" s="34"/>
      <c r="AI455" s="34"/>
      <c r="AJ455" s="34"/>
      <c r="AK455" s="34"/>
      <c r="AL455" s="34"/>
      <c r="AM455" s="34"/>
      <c r="AN455" s="34" t="s">
        <v>886</v>
      </c>
      <c r="AO455" s="34"/>
      <c r="AP455" s="34"/>
      <c r="AQ455" s="34"/>
      <c r="AR455" s="34"/>
      <c r="AS455" s="34"/>
      <c r="AT455" s="34"/>
      <c r="AU455" s="31" t="s">
        <v>795</v>
      </c>
      <c r="AV455" s="31"/>
      <c r="AW455" s="31" t="s">
        <v>169</v>
      </c>
      <c r="AX455" s="31"/>
      <c r="AY455" s="31"/>
      <c r="AZ455" s="34">
        <v>5</v>
      </c>
      <c r="BA455" s="34"/>
      <c r="BB455" s="34"/>
      <c r="BC455" s="34"/>
      <c r="BD455" s="31" t="s">
        <v>4</v>
      </c>
      <c r="BE455" s="31"/>
      <c r="BF455" s="34" t="s">
        <v>827</v>
      </c>
      <c r="BG455" s="34"/>
      <c r="BH455" s="34"/>
      <c r="BI455" s="31" t="s">
        <v>4</v>
      </c>
      <c r="BJ455" s="31"/>
      <c r="BK455" s="34" t="s">
        <v>848</v>
      </c>
      <c r="BL455" s="34"/>
      <c r="BM455" s="34"/>
      <c r="BN455" s="34"/>
      <c r="BO455" s="34"/>
      <c r="BP455" s="31" t="s">
        <v>4</v>
      </c>
    </row>
    <row r="456" spans="1:83">
      <c r="A456" s="12" t="s">
        <v>404</v>
      </c>
      <c r="B456" s="18"/>
      <c r="C456" s="12"/>
      <c r="D456" s="12">
        <v>5630.12</v>
      </c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>
        <v>5800.01</v>
      </c>
      <c r="R456" s="12">
        <f>SUM(D456:Q456)</f>
        <v>11430.130000000001</v>
      </c>
      <c r="S456" s="12">
        <f>AG456</f>
        <v>5500</v>
      </c>
      <c r="T456" s="12">
        <f>R456-S456</f>
        <v>5930.130000000001</v>
      </c>
      <c r="U456" s="12" t="s">
        <v>327</v>
      </c>
      <c r="V456" s="12"/>
      <c r="W456" s="12"/>
      <c r="X456" s="12"/>
      <c r="Y456" s="12"/>
      <c r="Z456" s="34" t="s">
        <v>4</v>
      </c>
      <c r="AA456" s="12" t="s">
        <v>807</v>
      </c>
      <c r="AB456" s="12"/>
      <c r="AC456" s="12"/>
      <c r="AD456" s="34" t="s">
        <v>840</v>
      </c>
      <c r="AE456" s="34"/>
      <c r="AF456" s="34" t="s">
        <v>4</v>
      </c>
      <c r="AG456" s="34">
        <v>5500</v>
      </c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</row>
    <row r="457" spans="1:83">
      <c r="A457" s="12" t="s">
        <v>405</v>
      </c>
      <c r="B457" s="3" t="s">
        <v>1003</v>
      </c>
      <c r="C457" s="12"/>
      <c r="D457" s="12">
        <v>128612</v>
      </c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23">
        <f>SUM(D457:Q457)</f>
        <v>128612</v>
      </c>
      <c r="S457" s="12">
        <f>Z457+5000+3000+1000+5000</f>
        <v>16000</v>
      </c>
      <c r="T457" s="23">
        <f>R457-S457</f>
        <v>112612</v>
      </c>
      <c r="U457" s="31"/>
      <c r="V457" s="31"/>
      <c r="W457" s="31"/>
      <c r="X457" s="31" t="s">
        <v>169</v>
      </c>
      <c r="Y457" s="31" t="s">
        <v>808</v>
      </c>
      <c r="Z457" s="1">
        <v>2000</v>
      </c>
      <c r="AA457" s="31" t="s">
        <v>821</v>
      </c>
      <c r="AB457" s="1">
        <v>5000</v>
      </c>
      <c r="AC457" s="34"/>
      <c r="AD457" s="34"/>
      <c r="AE457" s="34"/>
      <c r="AF457" s="31" t="s">
        <v>4</v>
      </c>
      <c r="AG457" s="34" t="s">
        <v>792</v>
      </c>
      <c r="AH457" s="34"/>
      <c r="AI457" s="34" t="s">
        <v>4</v>
      </c>
      <c r="AJ457" s="34"/>
      <c r="AK457" s="34"/>
      <c r="AL457" s="31" t="s">
        <v>4</v>
      </c>
      <c r="AM457" s="34" t="s">
        <v>856</v>
      </c>
      <c r="AN457" s="34"/>
      <c r="AO457" s="34"/>
      <c r="AP457" s="34"/>
      <c r="AQ457" s="31"/>
      <c r="AR457" s="62">
        <v>3000</v>
      </c>
      <c r="AS457" s="34" t="s">
        <v>880</v>
      </c>
      <c r="AT457" s="34"/>
      <c r="AU457" s="34"/>
      <c r="AV457" s="34"/>
      <c r="AW457" s="34"/>
      <c r="AX457" s="34"/>
      <c r="AY457" s="31" t="s">
        <v>4</v>
      </c>
      <c r="AZ457" s="34" t="s">
        <v>785</v>
      </c>
      <c r="BA457" s="31" t="s">
        <v>811</v>
      </c>
      <c r="BB457" s="31"/>
      <c r="BC457" s="31"/>
      <c r="BD457" s="31"/>
      <c r="BE457" s="31"/>
      <c r="BF457" s="31"/>
      <c r="BG457" s="31"/>
      <c r="BH457" s="93">
        <v>1000</v>
      </c>
      <c r="BI457" s="31" t="s">
        <v>4</v>
      </c>
      <c r="BJ457" s="31"/>
      <c r="BK457" s="31" t="s">
        <v>799</v>
      </c>
      <c r="BL457" s="31"/>
      <c r="BM457" s="31">
        <v>5000</v>
      </c>
      <c r="BN457" s="34"/>
      <c r="BO457" s="34"/>
      <c r="BP457" s="34"/>
      <c r="BQ457" s="34"/>
      <c r="BR457" s="31" t="s">
        <v>4</v>
      </c>
    </row>
    <row r="458" spans="1:83">
      <c r="A458" s="12" t="s">
        <v>406</v>
      </c>
      <c r="B458" s="3"/>
      <c r="C458" s="12"/>
      <c r="D458" s="12">
        <v>43232</v>
      </c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23">
        <f>SUM(D458:Q458)</f>
        <v>43232</v>
      </c>
      <c r="S458" s="12"/>
      <c r="T458" s="23">
        <f>R458-S458</f>
        <v>43232</v>
      </c>
      <c r="U458" s="1" t="s">
        <v>169</v>
      </c>
      <c r="V458" s="34"/>
      <c r="W458" s="34"/>
      <c r="X458" s="34"/>
      <c r="Y458" s="34" t="s">
        <v>786</v>
      </c>
      <c r="Z458" s="34"/>
      <c r="AA458" s="34"/>
      <c r="AB458" s="34" t="s">
        <v>827</v>
      </c>
      <c r="AC458" s="34"/>
      <c r="AD458" s="34"/>
      <c r="AE458" s="52">
        <v>0.70833333333333337</v>
      </c>
      <c r="AF458" s="31"/>
      <c r="AG458" s="31" t="s">
        <v>811</v>
      </c>
      <c r="AH458" s="31"/>
      <c r="AI458" s="31"/>
      <c r="AJ458" s="31"/>
      <c r="AK458" s="31" t="s">
        <v>847</v>
      </c>
      <c r="AL458" s="34" t="s">
        <v>4</v>
      </c>
      <c r="AM458" s="34" t="s">
        <v>811</v>
      </c>
      <c r="AN458" s="34" t="s">
        <v>872</v>
      </c>
      <c r="AO458" s="31" t="s">
        <v>811</v>
      </c>
      <c r="AP458" s="31"/>
      <c r="AQ458" s="31"/>
      <c r="AR458" s="34" t="s">
        <v>881</v>
      </c>
      <c r="AS458" s="34"/>
      <c r="AT458" s="65">
        <v>0.70833333333333337</v>
      </c>
      <c r="AU458" s="31"/>
      <c r="AV458" s="31"/>
      <c r="AW458" s="31"/>
      <c r="AX458" s="31"/>
      <c r="AY458" s="34" t="s">
        <v>784</v>
      </c>
      <c r="AZ458" s="34"/>
      <c r="BA458" s="31">
        <v>4</v>
      </c>
      <c r="BB458" s="31"/>
      <c r="BC458" s="31"/>
      <c r="BD458" s="31"/>
      <c r="BE458" s="31"/>
      <c r="BF458" s="34" t="s">
        <v>786</v>
      </c>
      <c r="BG458" s="34" t="s">
        <v>990</v>
      </c>
      <c r="BH458" s="34" t="s">
        <v>783</v>
      </c>
      <c r="BI458" s="34"/>
      <c r="BJ458" s="34"/>
      <c r="BK458" s="34" t="s">
        <v>792</v>
      </c>
      <c r="BL458" s="34"/>
      <c r="BM458" s="34"/>
      <c r="BN458" s="31" t="s">
        <v>4</v>
      </c>
    </row>
    <row r="459" spans="1:83">
      <c r="A459" s="12" t="s">
        <v>407</v>
      </c>
      <c r="B459" s="3"/>
      <c r="C459" s="12"/>
      <c r="D459" s="12">
        <v>12000</v>
      </c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23">
        <f>SUM(D459:Q459)</f>
        <v>12000</v>
      </c>
      <c r="S459" s="12"/>
      <c r="T459" s="23">
        <f>R459-S459</f>
        <v>12000</v>
      </c>
      <c r="U459" s="31"/>
      <c r="V459" s="31"/>
      <c r="W459" s="31"/>
      <c r="X459" s="31"/>
      <c r="Y459" s="31" t="s">
        <v>808</v>
      </c>
      <c r="Z459" s="31"/>
      <c r="AA459" s="31"/>
      <c r="AB459" s="31" t="s">
        <v>808</v>
      </c>
      <c r="AC459" s="31"/>
      <c r="AD459" s="34"/>
      <c r="AE459" s="34"/>
      <c r="AF459" s="34"/>
      <c r="AG459" s="34"/>
      <c r="AH459" s="31" t="s">
        <v>4</v>
      </c>
      <c r="AI459" s="31"/>
      <c r="AJ459" s="31"/>
      <c r="AK459" s="31"/>
      <c r="AL459" s="31"/>
      <c r="AM459" s="34"/>
      <c r="AN459" s="34" t="s">
        <v>808</v>
      </c>
      <c r="AO459" s="31"/>
      <c r="AP459" s="31"/>
      <c r="AQ459" s="31"/>
      <c r="AR459" s="31" t="s">
        <v>811</v>
      </c>
      <c r="AS459" s="31"/>
      <c r="AT459" s="31"/>
      <c r="AU459" s="31"/>
      <c r="AV459" s="31"/>
      <c r="AW459" s="31"/>
      <c r="AX459" s="31"/>
      <c r="AY459" s="31"/>
      <c r="AZ459" s="31"/>
      <c r="BA459" s="31" t="s">
        <v>796</v>
      </c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 t="s">
        <v>792</v>
      </c>
      <c r="BN459" s="31" t="s">
        <v>4</v>
      </c>
    </row>
    <row r="460" spans="1:83">
      <c r="A460" s="8" t="s">
        <v>353</v>
      </c>
      <c r="B460" s="24"/>
      <c r="C460" s="8"/>
      <c r="D460" s="8">
        <v>-6640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23">
        <f t="shared" ref="R454:R517" si="13">SUM(D460:Q460)</f>
        <v>-6640</v>
      </c>
      <c r="S460" s="8"/>
      <c r="T460" s="23">
        <f t="shared" ref="T400:T463" si="14">R460-S460</f>
        <v>-6640</v>
      </c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</row>
    <row r="461" spans="1:83">
      <c r="A461" s="8" t="s">
        <v>408</v>
      </c>
      <c r="B461" s="24"/>
      <c r="C461" s="8"/>
      <c r="D461" s="8">
        <v>-17630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23">
        <f t="shared" si="13"/>
        <v>-17630</v>
      </c>
      <c r="S461" s="8"/>
      <c r="T461" s="23">
        <f t="shared" si="14"/>
        <v>-17630</v>
      </c>
    </row>
    <row r="462" spans="1:83">
      <c r="A462" s="8" t="s">
        <v>409</v>
      </c>
      <c r="B462" s="24"/>
      <c r="C462" s="8"/>
      <c r="D462" s="8">
        <v>57440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23">
        <f t="shared" si="13"/>
        <v>57440</v>
      </c>
      <c r="S462" s="8"/>
      <c r="T462" s="23">
        <f t="shared" si="14"/>
        <v>57440</v>
      </c>
    </row>
    <row r="463" spans="1:83">
      <c r="A463" s="2" t="s">
        <v>410</v>
      </c>
      <c r="B463" s="3"/>
      <c r="D463" s="6">
        <v>12352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23">
        <f t="shared" si="13"/>
        <v>12352</v>
      </c>
      <c r="S463" s="6"/>
      <c r="T463" s="23">
        <f t="shared" si="14"/>
        <v>12352</v>
      </c>
      <c r="U463" s="31"/>
      <c r="V463" s="31"/>
      <c r="W463" s="31"/>
      <c r="X463" s="31"/>
      <c r="Y463" s="31" t="s">
        <v>795</v>
      </c>
      <c r="Z463" s="31"/>
      <c r="AA463" s="31"/>
      <c r="AB463" s="31"/>
      <c r="AC463" s="31"/>
      <c r="AD463" s="31"/>
      <c r="AE463" s="31"/>
      <c r="AF463" s="31"/>
      <c r="AG463" s="31"/>
      <c r="AH463" s="31"/>
    </row>
    <row r="464" spans="1:83">
      <c r="A464" s="2" t="s">
        <v>411</v>
      </c>
      <c r="B464" s="3"/>
      <c r="D464" s="6">
        <v>3484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23">
        <f t="shared" si="13"/>
        <v>3484</v>
      </c>
      <c r="S464" s="6"/>
      <c r="T464" s="23">
        <f t="shared" ref="T464:T527" si="15">R464-S464</f>
        <v>3484</v>
      </c>
      <c r="U464" s="31"/>
      <c r="V464" s="31"/>
      <c r="W464" s="31"/>
      <c r="X464" s="31"/>
      <c r="Y464" s="31" t="s">
        <v>796</v>
      </c>
      <c r="Z464" s="31"/>
      <c r="AA464" s="31"/>
      <c r="AB464" s="31"/>
      <c r="AC464" s="31"/>
      <c r="AD464" s="31"/>
      <c r="AE464" s="31"/>
      <c r="AF464" s="31"/>
      <c r="AG464" s="31"/>
      <c r="AH464" s="31"/>
    </row>
    <row r="465" spans="1:44">
      <c r="A465" s="2" t="s">
        <v>412</v>
      </c>
      <c r="B465" s="3"/>
      <c r="D465" s="6">
        <v>3776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23">
        <f t="shared" si="13"/>
        <v>3776</v>
      </c>
      <c r="S465" s="6"/>
      <c r="T465" s="23">
        <f t="shared" si="15"/>
        <v>3776</v>
      </c>
      <c r="U465" s="31"/>
      <c r="V465" s="31"/>
      <c r="W465" s="31"/>
      <c r="X465" s="31"/>
      <c r="Y465" s="31" t="s">
        <v>795</v>
      </c>
      <c r="Z465" s="31"/>
      <c r="AA465" s="31"/>
      <c r="AB465" s="31"/>
      <c r="AC465" s="31"/>
      <c r="AD465" s="31"/>
      <c r="AE465" s="31"/>
      <c r="AF465" s="31"/>
      <c r="AG465" s="31"/>
      <c r="AH465" s="31"/>
    </row>
    <row r="466" spans="1:44">
      <c r="A466" s="2" t="s">
        <v>413</v>
      </c>
      <c r="B466" s="3"/>
      <c r="D466" s="6">
        <v>4038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23">
        <f t="shared" si="13"/>
        <v>4038</v>
      </c>
      <c r="S466" s="6"/>
      <c r="T466" s="23">
        <f t="shared" si="15"/>
        <v>4038</v>
      </c>
      <c r="U466" s="31"/>
      <c r="V466" s="31"/>
      <c r="W466" s="31"/>
      <c r="X466" s="31"/>
      <c r="Y466" s="31" t="s">
        <v>796</v>
      </c>
      <c r="Z466" s="31"/>
      <c r="AA466" s="31"/>
      <c r="AB466" s="31"/>
      <c r="AC466" s="31"/>
      <c r="AD466" s="31"/>
      <c r="AE466" s="31"/>
      <c r="AF466" s="31"/>
      <c r="AG466" s="31"/>
      <c r="AH466" s="31"/>
    </row>
    <row r="467" spans="1:44">
      <c r="A467" s="2" t="s">
        <v>415</v>
      </c>
      <c r="B467" s="3"/>
      <c r="D467" s="6">
        <v>32975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23">
        <f t="shared" si="13"/>
        <v>32975</v>
      </c>
      <c r="S467" s="6"/>
      <c r="T467" s="23">
        <f t="shared" si="15"/>
        <v>32975</v>
      </c>
      <c r="U467" s="31"/>
      <c r="V467" s="31"/>
      <c r="W467" s="31"/>
      <c r="X467" s="31"/>
      <c r="Y467" s="31" t="s">
        <v>796</v>
      </c>
      <c r="Z467" s="31"/>
      <c r="AA467" s="31"/>
      <c r="AB467" s="31"/>
      <c r="AC467" s="31"/>
      <c r="AD467" s="31"/>
      <c r="AE467" s="31"/>
      <c r="AF467" s="31"/>
      <c r="AG467" s="31" t="s">
        <v>795</v>
      </c>
      <c r="AH467" s="31"/>
      <c r="AR467" s="21" t="s">
        <v>795</v>
      </c>
    </row>
    <row r="468" spans="1:44">
      <c r="A468" s="2" t="s">
        <v>416</v>
      </c>
      <c r="B468" s="3"/>
      <c r="D468" s="6">
        <v>13900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23">
        <f t="shared" si="13"/>
        <v>13900</v>
      </c>
      <c r="S468" s="6"/>
      <c r="T468" s="23">
        <f t="shared" si="15"/>
        <v>13900</v>
      </c>
      <c r="U468" s="31"/>
      <c r="V468" s="31"/>
      <c r="W468" s="31"/>
      <c r="X468" s="31"/>
      <c r="Y468" s="31" t="s">
        <v>795</v>
      </c>
      <c r="Z468" s="31"/>
      <c r="AA468" s="31"/>
      <c r="AB468" s="31"/>
      <c r="AC468" s="31"/>
      <c r="AD468" s="31"/>
      <c r="AE468" s="31"/>
      <c r="AF468" s="31"/>
      <c r="AG468" s="31" t="s">
        <v>795</v>
      </c>
      <c r="AH468" s="31"/>
      <c r="AR468" s="21" t="s">
        <v>795</v>
      </c>
    </row>
    <row r="469" spans="1:44">
      <c r="A469" s="2" t="s">
        <v>417</v>
      </c>
      <c r="B469" s="3"/>
      <c r="C469" s="2"/>
      <c r="D469" s="6">
        <v>19565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23">
        <f t="shared" si="13"/>
        <v>19565</v>
      </c>
      <c r="S469" s="6"/>
      <c r="T469" s="23">
        <f t="shared" si="15"/>
        <v>19565</v>
      </c>
      <c r="U469" s="31"/>
      <c r="V469" s="31"/>
      <c r="W469" s="31"/>
      <c r="X469" s="31"/>
      <c r="Y469" s="31" t="s">
        <v>796</v>
      </c>
      <c r="Z469" s="31"/>
      <c r="AA469" s="31"/>
      <c r="AB469" s="31"/>
      <c r="AC469" s="31"/>
      <c r="AD469" s="31"/>
      <c r="AE469" s="31"/>
      <c r="AF469" s="31"/>
      <c r="AG469" s="31" t="s">
        <v>796</v>
      </c>
      <c r="AH469" s="31"/>
      <c r="AR469" s="21" t="s">
        <v>796</v>
      </c>
    </row>
    <row r="470" spans="1:44">
      <c r="A470" s="2" t="s">
        <v>418</v>
      </c>
      <c r="B470" s="3"/>
      <c r="D470" s="6">
        <v>780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23">
        <f t="shared" si="13"/>
        <v>780</v>
      </c>
      <c r="S470" s="6"/>
      <c r="T470" s="23">
        <f t="shared" si="15"/>
        <v>780</v>
      </c>
      <c r="U470" s="31"/>
      <c r="V470" s="31"/>
      <c r="W470" s="31"/>
      <c r="X470" s="31"/>
      <c r="Y470" s="31" t="s">
        <v>796</v>
      </c>
      <c r="Z470" s="31"/>
      <c r="AA470" s="31"/>
      <c r="AB470" s="31"/>
      <c r="AC470" s="31"/>
      <c r="AD470" s="31"/>
      <c r="AE470" s="31"/>
      <c r="AF470" s="31"/>
      <c r="AG470" s="31" t="s">
        <v>796</v>
      </c>
      <c r="AH470" s="31"/>
      <c r="AR470" s="21" t="s">
        <v>796</v>
      </c>
    </row>
    <row r="471" spans="1:44">
      <c r="A471" s="2" t="s">
        <v>419</v>
      </c>
      <c r="B471" s="3"/>
      <c r="D471" s="6">
        <v>3000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23">
        <f t="shared" si="13"/>
        <v>3000</v>
      </c>
      <c r="S471" s="6"/>
      <c r="T471" s="23">
        <f t="shared" si="15"/>
        <v>3000</v>
      </c>
      <c r="U471" s="31"/>
      <c r="V471" s="31"/>
      <c r="W471" s="31"/>
      <c r="X471" s="31"/>
      <c r="Y471" s="31" t="s">
        <v>796</v>
      </c>
      <c r="Z471" s="31"/>
      <c r="AA471" s="31"/>
      <c r="AB471" s="31"/>
      <c r="AC471" s="31"/>
      <c r="AD471" s="31"/>
      <c r="AE471" s="31"/>
      <c r="AF471" s="31"/>
      <c r="AG471" s="31" t="s">
        <v>796</v>
      </c>
      <c r="AH471" s="31"/>
      <c r="AR471" s="21" t="s">
        <v>796</v>
      </c>
    </row>
    <row r="472" spans="1:44">
      <c r="A472" s="2" t="s">
        <v>420</v>
      </c>
      <c r="B472" s="3"/>
      <c r="D472" s="6">
        <v>20450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23">
        <f t="shared" si="13"/>
        <v>20450</v>
      </c>
      <c r="S472" s="6"/>
      <c r="T472" s="23">
        <f t="shared" si="15"/>
        <v>20450</v>
      </c>
      <c r="U472" s="31"/>
      <c r="V472" s="31"/>
      <c r="W472" s="31"/>
      <c r="X472" s="31"/>
      <c r="Y472" s="31" t="s">
        <v>796</v>
      </c>
      <c r="Z472" s="31"/>
      <c r="AA472" s="31"/>
      <c r="AB472" s="31"/>
      <c r="AC472" s="31"/>
      <c r="AD472" s="31"/>
      <c r="AE472" s="31"/>
      <c r="AF472" s="31"/>
      <c r="AG472" s="31" t="s">
        <v>795</v>
      </c>
      <c r="AH472" s="31"/>
      <c r="AR472" s="21" t="s">
        <v>796</v>
      </c>
    </row>
    <row r="473" spans="1:44">
      <c r="A473" s="2" t="s">
        <v>421</v>
      </c>
      <c r="B473" s="3"/>
      <c r="D473" s="6">
        <v>26825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23">
        <f t="shared" si="13"/>
        <v>26825</v>
      </c>
      <c r="S473" s="6"/>
      <c r="T473" s="23">
        <f t="shared" si="15"/>
        <v>26825</v>
      </c>
      <c r="U473" s="31"/>
      <c r="V473" s="31"/>
      <c r="W473" s="31"/>
      <c r="X473" s="31"/>
      <c r="Y473" s="31" t="s">
        <v>795</v>
      </c>
      <c r="Z473" s="31"/>
      <c r="AA473" s="31"/>
      <c r="AB473" s="31"/>
      <c r="AC473" s="31"/>
      <c r="AD473" s="31"/>
      <c r="AE473" s="31"/>
      <c r="AF473" s="31"/>
      <c r="AG473" s="31" t="s">
        <v>795</v>
      </c>
      <c r="AH473" s="31"/>
      <c r="AR473" s="21" t="s">
        <v>795</v>
      </c>
    </row>
    <row r="474" spans="1:44">
      <c r="A474" s="2" t="s">
        <v>422</v>
      </c>
      <c r="B474" s="3"/>
      <c r="D474" s="6">
        <v>10810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23">
        <f t="shared" si="13"/>
        <v>10810</v>
      </c>
      <c r="S474" s="6"/>
      <c r="T474" s="23">
        <f t="shared" si="15"/>
        <v>10810</v>
      </c>
      <c r="U474" s="31"/>
      <c r="V474" s="31"/>
      <c r="W474" s="31"/>
      <c r="X474" s="31"/>
      <c r="Y474" s="31" t="s">
        <v>796</v>
      </c>
      <c r="Z474" s="31"/>
      <c r="AA474" s="31"/>
      <c r="AB474" s="31"/>
      <c r="AC474" s="31"/>
      <c r="AD474" s="31"/>
      <c r="AE474" s="31"/>
      <c r="AF474" s="31"/>
      <c r="AG474" s="31" t="s">
        <v>795</v>
      </c>
      <c r="AH474" s="31"/>
      <c r="AR474" s="21" t="s">
        <v>795</v>
      </c>
    </row>
    <row r="475" spans="1:44">
      <c r="A475" s="2" t="s">
        <v>423</v>
      </c>
      <c r="B475" s="3"/>
      <c r="D475" s="6">
        <v>21300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23">
        <f t="shared" si="13"/>
        <v>21300</v>
      </c>
      <c r="S475" s="6"/>
      <c r="T475" s="23">
        <f t="shared" si="15"/>
        <v>21300</v>
      </c>
      <c r="U475" s="31"/>
      <c r="V475" s="31"/>
      <c r="W475" s="31"/>
      <c r="X475" s="31"/>
      <c r="Y475" s="31" t="s">
        <v>796</v>
      </c>
      <c r="Z475" s="31"/>
      <c r="AA475" s="31"/>
      <c r="AB475" s="31"/>
      <c r="AC475" s="31"/>
      <c r="AD475" s="31"/>
      <c r="AE475" s="31"/>
      <c r="AF475" s="31"/>
      <c r="AG475" s="31" t="s">
        <v>796</v>
      </c>
      <c r="AH475" s="31"/>
      <c r="AR475" s="21" t="s">
        <v>796</v>
      </c>
    </row>
    <row r="476" spans="1:44">
      <c r="A476" s="2" t="s">
        <v>424</v>
      </c>
      <c r="B476" s="3"/>
      <c r="C476" s="2"/>
      <c r="D476" s="6">
        <v>26700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23">
        <f t="shared" si="13"/>
        <v>26700</v>
      </c>
      <c r="S476" s="6"/>
      <c r="T476" s="23">
        <f t="shared" si="15"/>
        <v>26700</v>
      </c>
      <c r="U476" s="31"/>
      <c r="V476" s="31"/>
      <c r="W476" s="31"/>
      <c r="X476" s="31"/>
      <c r="Y476" s="31" t="s">
        <v>796</v>
      </c>
      <c r="Z476" s="31"/>
      <c r="AA476" s="31"/>
      <c r="AB476" s="31"/>
      <c r="AC476" s="31"/>
      <c r="AD476" s="31"/>
      <c r="AE476" s="31"/>
      <c r="AF476" s="31"/>
      <c r="AG476" s="31" t="s">
        <v>796</v>
      </c>
      <c r="AH476" s="31"/>
      <c r="AR476" s="21" t="s">
        <v>795</v>
      </c>
    </row>
    <row r="477" spans="1:44">
      <c r="A477" s="2" t="s">
        <v>425</v>
      </c>
      <c r="B477" s="3"/>
      <c r="D477" s="6">
        <v>22900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23">
        <f t="shared" si="13"/>
        <v>22900</v>
      </c>
      <c r="S477" s="6"/>
      <c r="T477" s="23">
        <f t="shared" si="15"/>
        <v>22900</v>
      </c>
      <c r="U477" s="31"/>
      <c r="V477" s="31"/>
      <c r="W477" s="31"/>
      <c r="X477" s="31"/>
      <c r="Y477" s="31" t="s">
        <v>796</v>
      </c>
      <c r="Z477" s="31"/>
      <c r="AA477" s="31"/>
      <c r="AB477" s="31"/>
      <c r="AC477" s="31"/>
      <c r="AD477" s="31"/>
      <c r="AE477" s="31"/>
      <c r="AF477" s="31"/>
      <c r="AG477" s="31" t="s">
        <v>796</v>
      </c>
      <c r="AH477" s="31"/>
      <c r="AR477" s="21" t="s">
        <v>795</v>
      </c>
    </row>
    <row r="478" spans="1:44">
      <c r="A478" s="2" t="s">
        <v>426</v>
      </c>
      <c r="B478" s="3"/>
      <c r="D478" s="6">
        <v>12350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23">
        <f t="shared" si="13"/>
        <v>12350</v>
      </c>
      <c r="S478" s="6"/>
      <c r="T478" s="23">
        <f t="shared" si="15"/>
        <v>12350</v>
      </c>
      <c r="U478" s="31"/>
      <c r="V478" s="31"/>
      <c r="W478" s="31"/>
      <c r="X478" s="31"/>
      <c r="Y478" s="31" t="s">
        <v>796</v>
      </c>
      <c r="Z478" s="31"/>
      <c r="AA478" s="31"/>
      <c r="AB478" s="31"/>
      <c r="AC478" s="31"/>
      <c r="AD478" s="31"/>
      <c r="AE478" s="31"/>
      <c r="AF478" s="31"/>
      <c r="AG478" s="31" t="s">
        <v>796</v>
      </c>
      <c r="AH478" s="31"/>
      <c r="AR478" s="21" t="s">
        <v>796</v>
      </c>
    </row>
    <row r="479" spans="1:44">
      <c r="A479" s="2" t="s">
        <v>428</v>
      </c>
      <c r="B479" s="3"/>
      <c r="D479" s="6">
        <v>7120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23">
        <f t="shared" si="13"/>
        <v>7120</v>
      </c>
      <c r="S479" s="6"/>
      <c r="T479" s="23">
        <f t="shared" si="15"/>
        <v>7120</v>
      </c>
      <c r="U479" s="31"/>
      <c r="V479" s="31"/>
      <c r="W479" s="31"/>
      <c r="X479" s="31"/>
      <c r="Y479" s="31" t="s">
        <v>796</v>
      </c>
      <c r="Z479" s="31"/>
      <c r="AA479" s="31"/>
      <c r="AB479" s="31"/>
      <c r="AC479" s="31"/>
      <c r="AD479" s="31"/>
      <c r="AE479" s="31"/>
      <c r="AF479" s="31"/>
      <c r="AG479" s="31" t="s">
        <v>795</v>
      </c>
      <c r="AH479" s="31"/>
      <c r="AR479" s="21" t="s">
        <v>796</v>
      </c>
    </row>
    <row r="480" spans="1:44">
      <c r="A480" s="2" t="s">
        <v>429</v>
      </c>
      <c r="B480" s="3"/>
      <c r="D480" s="6">
        <v>79000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23">
        <f t="shared" si="13"/>
        <v>79000</v>
      </c>
      <c r="S480" s="6"/>
      <c r="T480" s="23">
        <f t="shared" si="15"/>
        <v>79000</v>
      </c>
      <c r="U480" s="31"/>
      <c r="V480" s="31"/>
      <c r="W480" s="31"/>
      <c r="X480" s="31"/>
      <c r="Y480" s="31" t="s">
        <v>796</v>
      </c>
      <c r="Z480" s="31"/>
      <c r="AA480" s="31"/>
      <c r="AB480" s="31"/>
      <c r="AC480" s="31"/>
      <c r="AD480" s="31"/>
      <c r="AE480" s="31"/>
      <c r="AF480" s="31"/>
      <c r="AG480" s="31" t="s">
        <v>796</v>
      </c>
      <c r="AH480" s="31"/>
      <c r="AR480" s="21" t="s">
        <v>796</v>
      </c>
    </row>
    <row r="481" spans="1:34">
      <c r="A481" s="2" t="s">
        <v>430</v>
      </c>
      <c r="B481" s="3"/>
      <c r="D481" s="6">
        <v>68860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23">
        <f t="shared" si="13"/>
        <v>68860</v>
      </c>
      <c r="S481" s="6"/>
      <c r="T481" s="23">
        <f t="shared" si="15"/>
        <v>68860</v>
      </c>
      <c r="U481" s="31"/>
      <c r="V481" s="31"/>
      <c r="W481" s="31"/>
      <c r="X481" s="31"/>
      <c r="Y481" s="31" t="s">
        <v>795</v>
      </c>
      <c r="Z481" s="31"/>
      <c r="AA481" s="31"/>
      <c r="AB481" s="31"/>
      <c r="AC481" s="31"/>
      <c r="AD481" s="31"/>
      <c r="AE481" s="31"/>
      <c r="AF481" s="31"/>
      <c r="AG481" s="31" t="s">
        <v>796</v>
      </c>
      <c r="AH481" s="31"/>
    </row>
    <row r="482" spans="1:34">
      <c r="A482" s="2" t="s">
        <v>431</v>
      </c>
      <c r="B482" s="3"/>
      <c r="D482" s="6">
        <v>4584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23">
        <f t="shared" si="13"/>
        <v>4584</v>
      </c>
      <c r="S482" s="6"/>
      <c r="T482" s="23">
        <f t="shared" si="15"/>
        <v>4584</v>
      </c>
      <c r="U482" s="31"/>
      <c r="V482" s="31"/>
      <c r="W482" s="31"/>
      <c r="X482" s="31"/>
      <c r="Y482" s="31" t="s">
        <v>814</v>
      </c>
      <c r="Z482" s="31"/>
      <c r="AA482" s="31"/>
      <c r="AB482" s="31"/>
      <c r="AC482" s="31"/>
      <c r="AD482" s="31"/>
      <c r="AE482" s="31"/>
      <c r="AF482" s="31"/>
      <c r="AG482" s="31" t="s">
        <v>814</v>
      </c>
      <c r="AH482" s="31"/>
    </row>
    <row r="483" spans="1:34">
      <c r="A483" s="2" t="s">
        <v>432</v>
      </c>
      <c r="B483" s="3"/>
      <c r="D483" s="6">
        <v>6687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23">
        <f t="shared" si="13"/>
        <v>6687</v>
      </c>
      <c r="S483" s="6"/>
      <c r="T483" s="23">
        <f t="shared" si="15"/>
        <v>6687</v>
      </c>
      <c r="U483" s="31"/>
      <c r="V483" s="31"/>
      <c r="W483" s="31"/>
      <c r="X483" s="31"/>
      <c r="Y483" s="31" t="s">
        <v>795</v>
      </c>
      <c r="Z483" s="31"/>
      <c r="AA483" s="31"/>
      <c r="AB483" s="31"/>
      <c r="AC483" s="31"/>
      <c r="AD483" s="31"/>
      <c r="AE483" s="31"/>
      <c r="AF483" s="31"/>
      <c r="AG483" s="31" t="s">
        <v>796</v>
      </c>
      <c r="AH483" s="31"/>
    </row>
    <row r="484" spans="1:34">
      <c r="A484" s="2" t="s">
        <v>434</v>
      </c>
      <c r="B484" s="3"/>
      <c r="D484" s="6">
        <v>1500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23">
        <f t="shared" si="13"/>
        <v>1500</v>
      </c>
      <c r="S484" s="6"/>
      <c r="T484" s="23">
        <f t="shared" si="15"/>
        <v>1500</v>
      </c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 t="s">
        <v>795</v>
      </c>
      <c r="AH484" s="31"/>
    </row>
    <row r="485" spans="1:34">
      <c r="A485" s="2" t="s">
        <v>435</v>
      </c>
      <c r="B485" s="3"/>
      <c r="D485" s="6">
        <v>5800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23">
        <f t="shared" si="13"/>
        <v>5800</v>
      </c>
      <c r="S485" s="6"/>
      <c r="T485" s="23">
        <f t="shared" si="15"/>
        <v>5800</v>
      </c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 t="s">
        <v>859</v>
      </c>
      <c r="AH485" s="31"/>
    </row>
    <row r="486" spans="1:34">
      <c r="A486" s="2" t="s">
        <v>436</v>
      </c>
      <c r="B486" s="3"/>
      <c r="D486" s="6">
        <v>42705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23">
        <f t="shared" si="13"/>
        <v>42705</v>
      </c>
      <c r="S486" s="6"/>
      <c r="T486" s="23">
        <f t="shared" si="15"/>
        <v>42705</v>
      </c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 t="s">
        <v>795</v>
      </c>
      <c r="AH486" s="31"/>
    </row>
    <row r="487" spans="1:34">
      <c r="A487" s="13" t="s">
        <v>437</v>
      </c>
      <c r="B487" s="3"/>
      <c r="C487" s="13"/>
      <c r="D487" s="6">
        <v>37755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23">
        <f t="shared" si="13"/>
        <v>37755</v>
      </c>
      <c r="S487" s="6"/>
      <c r="T487" s="23">
        <f t="shared" si="15"/>
        <v>37755</v>
      </c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</row>
    <row r="488" spans="1:34">
      <c r="A488" s="2" t="s">
        <v>438</v>
      </c>
      <c r="B488" s="3"/>
      <c r="D488" s="6">
        <v>28125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23">
        <f t="shared" si="13"/>
        <v>28125</v>
      </c>
      <c r="S488" s="6"/>
      <c r="T488" s="23">
        <f t="shared" si="15"/>
        <v>28125</v>
      </c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</row>
    <row r="489" spans="1:34">
      <c r="A489" s="13" t="s">
        <v>439</v>
      </c>
      <c r="B489" s="3"/>
      <c r="C489" s="13"/>
      <c r="D489" s="6">
        <v>7350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23">
        <f t="shared" si="13"/>
        <v>7350</v>
      </c>
      <c r="S489" s="6"/>
      <c r="T489" s="23">
        <f t="shared" si="15"/>
        <v>7350</v>
      </c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</row>
    <row r="490" spans="1:34">
      <c r="A490" s="2" t="s">
        <v>441</v>
      </c>
      <c r="B490" s="3"/>
      <c r="D490" s="6">
        <v>13070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23">
        <f t="shared" si="13"/>
        <v>13070</v>
      </c>
      <c r="S490" s="6"/>
      <c r="T490" s="23">
        <f t="shared" si="15"/>
        <v>13070</v>
      </c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</row>
    <row r="491" spans="1:34">
      <c r="A491" s="13" t="s">
        <v>442</v>
      </c>
      <c r="B491" s="3"/>
      <c r="C491" s="13"/>
      <c r="D491" s="6">
        <v>5700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23">
        <f t="shared" si="13"/>
        <v>5700</v>
      </c>
      <c r="S491" s="6"/>
      <c r="T491" s="23">
        <f t="shared" si="15"/>
        <v>5700</v>
      </c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</row>
    <row r="492" spans="1:34">
      <c r="A492" s="2" t="s">
        <v>444</v>
      </c>
      <c r="B492" s="3"/>
      <c r="D492" s="6">
        <v>26860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23">
        <f t="shared" si="13"/>
        <v>26860</v>
      </c>
      <c r="S492" s="6"/>
      <c r="T492" s="23">
        <f t="shared" si="15"/>
        <v>26860</v>
      </c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</row>
    <row r="493" spans="1:34">
      <c r="A493" s="2" t="s">
        <v>445</v>
      </c>
      <c r="B493" s="3"/>
      <c r="D493" s="6">
        <v>29000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23">
        <f t="shared" si="13"/>
        <v>29000</v>
      </c>
      <c r="S493" s="6"/>
      <c r="T493" s="23">
        <f t="shared" si="15"/>
        <v>29000</v>
      </c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</row>
    <row r="494" spans="1:34">
      <c r="A494" s="2" t="s">
        <v>446</v>
      </c>
      <c r="B494" s="3"/>
      <c r="D494" s="6">
        <v>4350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23">
        <f t="shared" si="13"/>
        <v>4350</v>
      </c>
      <c r="S494" s="6"/>
      <c r="T494" s="23">
        <f t="shared" si="15"/>
        <v>4350</v>
      </c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</row>
    <row r="495" spans="1:34">
      <c r="A495" s="2" t="s">
        <v>447</v>
      </c>
      <c r="B495" s="3"/>
      <c r="D495" s="6">
        <v>16000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23">
        <f t="shared" si="13"/>
        <v>16000</v>
      </c>
      <c r="S495" s="6"/>
      <c r="T495" s="23">
        <f t="shared" si="15"/>
        <v>16000</v>
      </c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</row>
    <row r="496" spans="1:34">
      <c r="A496" s="2" t="s">
        <v>448</v>
      </c>
      <c r="B496" s="3"/>
      <c r="D496" s="6">
        <v>5660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23">
        <f t="shared" si="13"/>
        <v>5660</v>
      </c>
      <c r="S496" s="6"/>
      <c r="T496" s="23">
        <f t="shared" si="15"/>
        <v>5660</v>
      </c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</row>
    <row r="497" spans="1:34">
      <c r="A497" s="2" t="s">
        <v>449</v>
      </c>
      <c r="B497" s="3"/>
      <c r="D497" s="6">
        <v>31000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23">
        <f t="shared" si="13"/>
        <v>31000</v>
      </c>
      <c r="S497" s="6"/>
      <c r="T497" s="23">
        <f t="shared" si="15"/>
        <v>31000</v>
      </c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</row>
    <row r="498" spans="1:34">
      <c r="A498" s="2" t="s">
        <v>450</v>
      </c>
      <c r="B498" s="3"/>
      <c r="D498" s="6">
        <v>46800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23">
        <f t="shared" si="13"/>
        <v>46800</v>
      </c>
      <c r="S498" s="6"/>
      <c r="T498" s="23">
        <f t="shared" si="15"/>
        <v>46800</v>
      </c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</row>
    <row r="499" spans="1:34">
      <c r="A499" s="2" t="s">
        <v>451</v>
      </c>
      <c r="B499" s="3"/>
      <c r="D499" s="6">
        <v>25163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23">
        <f t="shared" si="13"/>
        <v>25163</v>
      </c>
      <c r="S499" s="6"/>
      <c r="T499" s="23">
        <f t="shared" si="15"/>
        <v>25163</v>
      </c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</row>
    <row r="500" spans="1:34">
      <c r="A500" s="2" t="s">
        <v>452</v>
      </c>
      <c r="B500" s="3"/>
      <c r="D500" s="6">
        <v>11050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23">
        <f t="shared" si="13"/>
        <v>11050</v>
      </c>
      <c r="S500" s="6"/>
      <c r="T500" s="23">
        <f t="shared" si="15"/>
        <v>11050</v>
      </c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</row>
    <row r="501" spans="1:34">
      <c r="A501" s="2" t="s">
        <v>453</v>
      </c>
      <c r="B501" s="3"/>
      <c r="D501" s="6">
        <v>60070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23">
        <f t="shared" si="13"/>
        <v>60070</v>
      </c>
      <c r="S501" s="6"/>
      <c r="T501" s="23">
        <f t="shared" si="15"/>
        <v>60070</v>
      </c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</row>
    <row r="502" spans="1:34">
      <c r="A502" s="2" t="s">
        <v>454</v>
      </c>
      <c r="B502" s="3"/>
      <c r="D502" s="6">
        <v>56100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23">
        <f t="shared" si="13"/>
        <v>56100</v>
      </c>
      <c r="S502" s="6"/>
      <c r="T502" s="23">
        <f t="shared" si="15"/>
        <v>56100</v>
      </c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</row>
    <row r="503" spans="1:34">
      <c r="A503" s="2" t="s">
        <v>455</v>
      </c>
      <c r="B503" s="3"/>
      <c r="D503" s="6">
        <v>14325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23">
        <f t="shared" si="13"/>
        <v>14325</v>
      </c>
      <c r="S503" s="6"/>
      <c r="T503" s="23">
        <f t="shared" si="15"/>
        <v>14325</v>
      </c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</row>
    <row r="504" spans="1:34">
      <c r="A504" s="14" t="s">
        <v>456</v>
      </c>
      <c r="B504" s="3"/>
      <c r="D504" s="6">
        <v>26850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23">
        <f t="shared" si="13"/>
        <v>26850</v>
      </c>
      <c r="S504" s="6"/>
      <c r="T504" s="23">
        <f t="shared" si="15"/>
        <v>26850</v>
      </c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</row>
    <row r="505" spans="1:34">
      <c r="A505" s="14" t="s">
        <v>457</v>
      </c>
      <c r="B505" s="3"/>
      <c r="D505" s="6">
        <v>8400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23">
        <f t="shared" si="13"/>
        <v>8400</v>
      </c>
      <c r="S505" s="6"/>
      <c r="T505" s="23">
        <f t="shared" si="15"/>
        <v>8400</v>
      </c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</row>
    <row r="506" spans="1:34">
      <c r="A506" s="2" t="s">
        <v>458</v>
      </c>
      <c r="B506" s="3"/>
      <c r="D506" s="6">
        <v>35000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23">
        <f t="shared" si="13"/>
        <v>35000</v>
      </c>
      <c r="S506" s="6"/>
      <c r="T506" s="23">
        <f t="shared" si="15"/>
        <v>35000</v>
      </c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</row>
    <row r="507" spans="1:34">
      <c r="A507" s="2" t="s">
        <v>459</v>
      </c>
      <c r="B507" s="3"/>
      <c r="D507" s="6">
        <v>20000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23">
        <f t="shared" si="13"/>
        <v>20000</v>
      </c>
      <c r="S507" s="6"/>
      <c r="T507" s="23">
        <f t="shared" si="15"/>
        <v>20000</v>
      </c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</row>
    <row r="508" spans="1:34">
      <c r="A508" s="2" t="s">
        <v>460</v>
      </c>
      <c r="B508" s="3"/>
      <c r="D508" s="6">
        <v>7050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23">
        <f t="shared" si="13"/>
        <v>7050</v>
      </c>
      <c r="S508" s="6"/>
      <c r="T508" s="23">
        <f t="shared" si="15"/>
        <v>7050</v>
      </c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</row>
    <row r="509" spans="1:34">
      <c r="A509" s="2" t="s">
        <v>461</v>
      </c>
      <c r="B509" s="3"/>
      <c r="D509" s="6">
        <v>40000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23">
        <f t="shared" si="13"/>
        <v>40000</v>
      </c>
      <c r="S509" s="6"/>
      <c r="T509" s="23">
        <f t="shared" si="15"/>
        <v>40000</v>
      </c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</row>
    <row r="510" spans="1:34">
      <c r="A510" s="2" t="s">
        <v>462</v>
      </c>
      <c r="B510" s="3"/>
      <c r="D510" s="6">
        <v>34985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23">
        <f t="shared" si="13"/>
        <v>34985</v>
      </c>
      <c r="S510" s="6"/>
      <c r="T510" s="23">
        <f t="shared" si="15"/>
        <v>34985</v>
      </c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</row>
    <row r="511" spans="1:34">
      <c r="A511" s="2" t="s">
        <v>463</v>
      </c>
      <c r="B511" s="3"/>
      <c r="D511" s="6">
        <v>95250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23">
        <f t="shared" si="13"/>
        <v>95250</v>
      </c>
      <c r="S511" s="6"/>
      <c r="T511" s="23">
        <f t="shared" si="15"/>
        <v>95250</v>
      </c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</row>
    <row r="512" spans="1:34">
      <c r="A512" s="2" t="s">
        <v>464</v>
      </c>
      <c r="B512" s="3"/>
      <c r="D512" s="6">
        <v>9360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23">
        <f t="shared" si="13"/>
        <v>9360</v>
      </c>
      <c r="S512" s="6"/>
      <c r="T512" s="23">
        <f t="shared" si="15"/>
        <v>9360</v>
      </c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</row>
    <row r="513" spans="1:34">
      <c r="A513" s="2" t="s">
        <v>465</v>
      </c>
      <c r="B513" s="3"/>
      <c r="D513" s="6">
        <v>4355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23">
        <f t="shared" si="13"/>
        <v>4355</v>
      </c>
      <c r="S513" s="6"/>
      <c r="T513" s="23">
        <f t="shared" si="15"/>
        <v>4355</v>
      </c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</row>
    <row r="514" spans="1:34">
      <c r="A514" s="2" t="s">
        <v>466</v>
      </c>
      <c r="B514" s="3"/>
      <c r="D514" s="6">
        <v>25575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23">
        <f t="shared" si="13"/>
        <v>25575</v>
      </c>
      <c r="S514" s="6"/>
      <c r="T514" s="23">
        <f t="shared" si="15"/>
        <v>25575</v>
      </c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</row>
    <row r="515" spans="1:34">
      <c r="A515" s="2" t="s">
        <v>467</v>
      </c>
      <c r="B515" s="3"/>
      <c r="D515" s="6">
        <v>4200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23">
        <f t="shared" si="13"/>
        <v>4200</v>
      </c>
      <c r="S515" s="6"/>
      <c r="T515" s="23">
        <f t="shared" si="15"/>
        <v>4200</v>
      </c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</row>
    <row r="516" spans="1:34">
      <c r="A516" s="2" t="s">
        <v>468</v>
      </c>
      <c r="B516" s="3"/>
      <c r="D516" s="6">
        <v>14300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23">
        <f t="shared" si="13"/>
        <v>14300</v>
      </c>
      <c r="S516" s="6"/>
      <c r="T516" s="23">
        <f t="shared" si="15"/>
        <v>14300</v>
      </c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</row>
    <row r="517" spans="1:34">
      <c r="A517" s="2" t="s">
        <v>469</v>
      </c>
      <c r="B517" s="3"/>
      <c r="D517" s="6">
        <v>36700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23">
        <f t="shared" si="13"/>
        <v>36700</v>
      </c>
      <c r="S517" s="6"/>
      <c r="T517" s="23">
        <f t="shared" si="15"/>
        <v>36700</v>
      </c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</row>
    <row r="518" spans="1:34">
      <c r="A518" s="2" t="s">
        <v>470</v>
      </c>
      <c r="B518" s="3"/>
      <c r="D518" s="6">
        <v>7600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23">
        <f t="shared" ref="R518:R581" si="16">SUM(D518:Q518)</f>
        <v>7600</v>
      </c>
      <c r="S518" s="6"/>
      <c r="T518" s="23">
        <f t="shared" si="15"/>
        <v>7600</v>
      </c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</row>
    <row r="519" spans="1:34">
      <c r="A519" s="2" t="s">
        <v>471</v>
      </c>
      <c r="B519" s="3"/>
      <c r="D519" s="6">
        <v>22395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23">
        <f t="shared" si="16"/>
        <v>22395</v>
      </c>
      <c r="S519" s="6"/>
      <c r="T519" s="23">
        <f t="shared" si="15"/>
        <v>22395</v>
      </c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</row>
    <row r="520" spans="1:34">
      <c r="A520" s="2" t="s">
        <v>472</v>
      </c>
      <c r="B520" s="3"/>
      <c r="D520" s="6">
        <v>12200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23">
        <f t="shared" si="16"/>
        <v>12200</v>
      </c>
      <c r="S520" s="6"/>
      <c r="T520" s="23">
        <f t="shared" si="15"/>
        <v>12200</v>
      </c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</row>
    <row r="521" spans="1:34">
      <c r="A521" s="2" t="s">
        <v>473</v>
      </c>
      <c r="B521" s="3"/>
      <c r="D521" s="6">
        <v>13500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23">
        <f t="shared" si="16"/>
        <v>13500</v>
      </c>
      <c r="S521" s="6"/>
      <c r="T521" s="23">
        <f t="shared" si="15"/>
        <v>13500</v>
      </c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</row>
    <row r="522" spans="1:34">
      <c r="A522" s="2" t="s">
        <v>474</v>
      </c>
      <c r="B522" s="3"/>
      <c r="D522" s="6">
        <v>24300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23">
        <f t="shared" si="16"/>
        <v>24300</v>
      </c>
      <c r="S522" s="6"/>
      <c r="T522" s="23">
        <f t="shared" si="15"/>
        <v>24300</v>
      </c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</row>
    <row r="523" spans="1:34">
      <c r="A523" s="2" t="s">
        <v>475</v>
      </c>
      <c r="B523" s="3"/>
      <c r="D523" s="6">
        <v>35020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23">
        <f t="shared" si="16"/>
        <v>35020</v>
      </c>
      <c r="S523" s="6"/>
      <c r="T523" s="23">
        <f t="shared" si="15"/>
        <v>35020</v>
      </c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</row>
    <row r="524" spans="1:34">
      <c r="A524" s="2" t="s">
        <v>476</v>
      </c>
      <c r="B524" s="3"/>
      <c r="D524" s="6">
        <v>12815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23">
        <f t="shared" si="16"/>
        <v>12815</v>
      </c>
      <c r="S524" s="6"/>
      <c r="T524" s="23">
        <f t="shared" si="15"/>
        <v>12815</v>
      </c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</row>
    <row r="525" spans="1:34">
      <c r="A525" s="2" t="s">
        <v>477</v>
      </c>
      <c r="B525" s="3"/>
      <c r="D525" s="6">
        <v>11965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23">
        <f t="shared" si="16"/>
        <v>11965</v>
      </c>
      <c r="S525" s="6"/>
      <c r="T525" s="23">
        <f t="shared" si="15"/>
        <v>11965</v>
      </c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</row>
    <row r="526" spans="1:34">
      <c r="A526" s="2" t="s">
        <v>478</v>
      </c>
      <c r="B526" s="3"/>
      <c r="D526" s="6">
        <v>55097.84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23">
        <f t="shared" si="16"/>
        <v>55097.84</v>
      </c>
      <c r="S526" s="6"/>
      <c r="T526" s="23">
        <f t="shared" si="15"/>
        <v>55097.84</v>
      </c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</row>
    <row r="527" spans="1:34">
      <c r="A527" s="2" t="s">
        <v>479</v>
      </c>
      <c r="B527" s="3"/>
      <c r="D527" s="6">
        <v>7005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23">
        <f t="shared" si="16"/>
        <v>7005</v>
      </c>
      <c r="S527" s="6"/>
      <c r="T527" s="23">
        <f t="shared" si="15"/>
        <v>7005</v>
      </c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</row>
    <row r="528" spans="1:34">
      <c r="A528" s="2" t="s">
        <v>481</v>
      </c>
      <c r="B528" s="3"/>
      <c r="C528" s="2"/>
      <c r="D528" s="6">
        <v>2675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23">
        <f t="shared" si="16"/>
        <v>2675</v>
      </c>
      <c r="S528" s="6"/>
      <c r="T528" s="23">
        <f t="shared" ref="T528:T591" si="17">R528-S528</f>
        <v>2675</v>
      </c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</row>
    <row r="529" spans="1:34">
      <c r="A529" s="2" t="s">
        <v>482</v>
      </c>
      <c r="B529" s="3"/>
      <c r="D529" s="6">
        <v>1100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23">
        <f t="shared" si="16"/>
        <v>1100</v>
      </c>
      <c r="S529" s="6"/>
      <c r="T529" s="23">
        <f t="shared" si="17"/>
        <v>1100</v>
      </c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</row>
    <row r="530" spans="1:34">
      <c r="A530" s="2" t="s">
        <v>483</v>
      </c>
      <c r="B530" s="3"/>
      <c r="D530" s="6">
        <v>15590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23">
        <f t="shared" si="16"/>
        <v>15590</v>
      </c>
      <c r="S530" s="6"/>
      <c r="T530" s="23">
        <f t="shared" si="17"/>
        <v>15590</v>
      </c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 t="s">
        <v>795</v>
      </c>
      <c r="AH530" s="31"/>
    </row>
    <row r="531" spans="1:34">
      <c r="A531" s="2" t="s">
        <v>484</v>
      </c>
      <c r="B531" s="3"/>
      <c r="D531" s="6">
        <v>31200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23">
        <f t="shared" si="16"/>
        <v>31200</v>
      </c>
      <c r="S531" s="6"/>
      <c r="T531" s="23">
        <f t="shared" si="17"/>
        <v>31200</v>
      </c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</row>
    <row r="532" spans="1:34">
      <c r="A532" s="2" t="s">
        <v>485</v>
      </c>
      <c r="B532" s="3"/>
      <c r="D532" s="6">
        <v>36660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23">
        <f t="shared" si="16"/>
        <v>36660</v>
      </c>
      <c r="S532" s="6"/>
      <c r="T532" s="23">
        <f t="shared" si="17"/>
        <v>36660</v>
      </c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</row>
    <row r="533" spans="1:34">
      <c r="A533" s="2" t="s">
        <v>486</v>
      </c>
      <c r="B533" s="3"/>
      <c r="C533" s="2"/>
      <c r="D533" s="6">
        <v>850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23">
        <f t="shared" si="16"/>
        <v>850</v>
      </c>
      <c r="S533" s="6"/>
      <c r="T533" s="23">
        <f t="shared" si="17"/>
        <v>850</v>
      </c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</row>
    <row r="534" spans="1:34">
      <c r="A534" s="2" t="s">
        <v>487</v>
      </c>
      <c r="B534" s="3"/>
      <c r="D534" s="6">
        <v>6500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23">
        <f t="shared" si="16"/>
        <v>6500</v>
      </c>
      <c r="S534" s="6"/>
      <c r="T534" s="23">
        <f t="shared" si="17"/>
        <v>6500</v>
      </c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</row>
    <row r="535" spans="1:34">
      <c r="A535" s="2" t="s">
        <v>488</v>
      </c>
      <c r="B535" s="3"/>
      <c r="D535" s="6">
        <v>2200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23">
        <f t="shared" si="16"/>
        <v>2200</v>
      </c>
      <c r="S535" s="6"/>
      <c r="T535" s="23">
        <f t="shared" si="17"/>
        <v>2200</v>
      </c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 t="s">
        <v>796</v>
      </c>
      <c r="AH535" s="31"/>
    </row>
    <row r="536" spans="1:34">
      <c r="A536" s="2" t="s">
        <v>490</v>
      </c>
      <c r="B536" s="3"/>
      <c r="D536" s="6">
        <v>4500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23">
        <f t="shared" si="16"/>
        <v>4500</v>
      </c>
      <c r="S536" s="6"/>
      <c r="T536" s="23">
        <f t="shared" si="17"/>
        <v>4500</v>
      </c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</row>
    <row r="537" spans="1:34">
      <c r="A537" s="2" t="s">
        <v>491</v>
      </c>
      <c r="B537" s="3"/>
      <c r="D537" s="6">
        <v>59450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23">
        <f t="shared" si="16"/>
        <v>59450</v>
      </c>
      <c r="S537" s="6"/>
      <c r="T537" s="23">
        <f t="shared" si="17"/>
        <v>59450</v>
      </c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 t="s">
        <v>796</v>
      </c>
      <c r="AH537" s="31"/>
    </row>
    <row r="538" spans="1:34">
      <c r="A538" s="2" t="s">
        <v>492</v>
      </c>
      <c r="B538" s="3"/>
      <c r="C538" s="6"/>
      <c r="D538" s="6">
        <v>43000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23">
        <f t="shared" si="16"/>
        <v>43000</v>
      </c>
      <c r="S538" s="6"/>
      <c r="T538" s="23">
        <f t="shared" si="17"/>
        <v>43000</v>
      </c>
      <c r="U538" s="14"/>
      <c r="V538" s="14"/>
      <c r="W538" s="14"/>
      <c r="X538" s="14"/>
      <c r="Y538" s="14"/>
      <c r="Z538" s="14"/>
      <c r="AA538" s="14"/>
      <c r="AB538" s="14"/>
      <c r="AC538" s="14"/>
      <c r="AD538" s="31"/>
      <c r="AE538" s="31"/>
      <c r="AF538" s="31"/>
      <c r="AG538" s="31"/>
      <c r="AH538" s="31"/>
    </row>
    <row r="539" spans="1:34">
      <c r="A539" s="2" t="s">
        <v>493</v>
      </c>
      <c r="B539" s="3"/>
      <c r="D539" s="6">
        <v>13275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23">
        <f t="shared" si="16"/>
        <v>13275</v>
      </c>
      <c r="S539" s="6"/>
      <c r="T539" s="23">
        <f t="shared" si="17"/>
        <v>13275</v>
      </c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 t="s">
        <v>796</v>
      </c>
      <c r="AH539" s="31"/>
    </row>
    <row r="540" spans="1:34">
      <c r="A540" s="2" t="s">
        <v>494</v>
      </c>
      <c r="B540" s="3"/>
      <c r="D540" s="6">
        <v>8500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23">
        <f t="shared" si="16"/>
        <v>8500</v>
      </c>
      <c r="S540" s="6"/>
      <c r="T540" s="23">
        <f t="shared" si="17"/>
        <v>8500</v>
      </c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 t="s">
        <v>814</v>
      </c>
      <c r="AH540" s="31"/>
    </row>
    <row r="541" spans="1:34">
      <c r="A541" s="2" t="s">
        <v>495</v>
      </c>
      <c r="B541" s="3"/>
      <c r="D541" s="6">
        <v>2500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23">
        <f t="shared" si="16"/>
        <v>2500</v>
      </c>
      <c r="S541" s="6"/>
      <c r="T541" s="23">
        <f t="shared" si="17"/>
        <v>2500</v>
      </c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 t="s">
        <v>796</v>
      </c>
      <c r="AH541" s="31"/>
    </row>
    <row r="542" spans="1:34">
      <c r="A542" s="2" t="s">
        <v>496</v>
      </c>
      <c r="B542" s="3"/>
      <c r="D542" s="6">
        <v>12795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23">
        <f t="shared" si="16"/>
        <v>12795</v>
      </c>
      <c r="S542" s="6"/>
      <c r="T542" s="23">
        <f t="shared" si="17"/>
        <v>12795</v>
      </c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 t="s">
        <v>795</v>
      </c>
      <c r="AH542" s="31"/>
    </row>
    <row r="543" spans="1:34">
      <c r="A543" s="2" t="s">
        <v>497</v>
      </c>
      <c r="B543" s="3"/>
      <c r="D543" s="6">
        <v>25000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23">
        <f t="shared" si="16"/>
        <v>25000</v>
      </c>
      <c r="S543" s="6"/>
      <c r="T543" s="23">
        <f t="shared" si="17"/>
        <v>25000</v>
      </c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 t="s">
        <v>795</v>
      </c>
      <c r="AH543" s="31"/>
    </row>
    <row r="544" spans="1:34">
      <c r="A544" s="2" t="s">
        <v>498</v>
      </c>
      <c r="B544" s="3"/>
      <c r="D544" s="6">
        <v>3740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23">
        <f t="shared" si="16"/>
        <v>3740</v>
      </c>
      <c r="S544" s="6"/>
      <c r="T544" s="23">
        <f t="shared" si="17"/>
        <v>3740</v>
      </c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 t="s">
        <v>796</v>
      </c>
      <c r="AH544" s="31"/>
    </row>
    <row r="545" spans="1:34">
      <c r="A545" s="2" t="s">
        <v>499</v>
      </c>
      <c r="B545" s="3"/>
      <c r="D545" s="6">
        <v>50000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23">
        <f t="shared" si="16"/>
        <v>50000</v>
      </c>
      <c r="S545" s="6"/>
      <c r="T545" s="23">
        <f t="shared" si="17"/>
        <v>50000</v>
      </c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 t="s">
        <v>796</v>
      </c>
      <c r="AH545" s="31"/>
    </row>
    <row r="546" spans="1:34">
      <c r="A546" s="2" t="s">
        <v>500</v>
      </c>
      <c r="B546" s="3"/>
      <c r="C546" s="6"/>
      <c r="D546" s="6">
        <v>5850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23">
        <f t="shared" si="16"/>
        <v>5850</v>
      </c>
      <c r="S546" s="6"/>
      <c r="T546" s="23">
        <f t="shared" si="17"/>
        <v>5850</v>
      </c>
      <c r="U546" s="14"/>
      <c r="V546" s="14"/>
      <c r="W546" s="14"/>
      <c r="X546" s="14"/>
      <c r="Y546" s="14"/>
      <c r="Z546" s="14"/>
      <c r="AA546" s="14"/>
      <c r="AB546" s="14"/>
      <c r="AC546" s="14"/>
      <c r="AD546" s="31"/>
      <c r="AE546" s="31"/>
      <c r="AF546" s="31"/>
      <c r="AG546" s="31"/>
      <c r="AH546" s="31"/>
    </row>
    <row r="547" spans="1:34">
      <c r="A547" s="15" t="s">
        <v>501</v>
      </c>
      <c r="B547" s="3"/>
      <c r="C547" s="15"/>
      <c r="D547" s="15">
        <v>4750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23">
        <f t="shared" si="16"/>
        <v>4750</v>
      </c>
      <c r="S547" s="15"/>
      <c r="T547" s="23">
        <f t="shared" si="17"/>
        <v>4750</v>
      </c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</row>
    <row r="548" spans="1:34">
      <c r="A548" s="2" t="s">
        <v>502</v>
      </c>
      <c r="B548" s="3"/>
      <c r="D548" s="6">
        <v>14010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23">
        <f t="shared" si="16"/>
        <v>14010</v>
      </c>
      <c r="S548" s="6"/>
      <c r="T548" s="23">
        <f t="shared" si="17"/>
        <v>14010</v>
      </c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</row>
    <row r="549" spans="1:34">
      <c r="A549" s="2" t="s">
        <v>503</v>
      </c>
      <c r="B549" s="3"/>
      <c r="D549" s="6">
        <v>96820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23">
        <f t="shared" si="16"/>
        <v>96820</v>
      </c>
      <c r="S549" s="6"/>
      <c r="T549" s="23">
        <f t="shared" si="17"/>
        <v>96820</v>
      </c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</row>
    <row r="550" spans="1:34">
      <c r="A550" s="2" t="s">
        <v>504</v>
      </c>
      <c r="B550" s="3"/>
      <c r="D550" s="6">
        <v>6050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23">
        <f t="shared" si="16"/>
        <v>6050</v>
      </c>
      <c r="S550" s="6"/>
      <c r="T550" s="23">
        <f t="shared" si="17"/>
        <v>6050</v>
      </c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</row>
    <row r="551" spans="1:34">
      <c r="A551" s="2" t="s">
        <v>505</v>
      </c>
      <c r="B551" s="3"/>
      <c r="D551" s="6">
        <v>5380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23">
        <f t="shared" si="16"/>
        <v>5380</v>
      </c>
      <c r="S551" s="6"/>
      <c r="T551" s="23">
        <f t="shared" si="17"/>
        <v>5380</v>
      </c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</row>
    <row r="552" spans="1:34">
      <c r="A552" s="2" t="s">
        <v>506</v>
      </c>
      <c r="B552" s="3"/>
      <c r="D552" s="6">
        <v>43175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23">
        <f t="shared" si="16"/>
        <v>43175</v>
      </c>
      <c r="S552" s="6"/>
      <c r="T552" s="23">
        <f t="shared" si="17"/>
        <v>43175</v>
      </c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</row>
    <row r="553" spans="1:34">
      <c r="A553" s="2" t="s">
        <v>507</v>
      </c>
      <c r="B553" s="3"/>
      <c r="D553" s="6">
        <v>7820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23">
        <f t="shared" si="16"/>
        <v>7820</v>
      </c>
      <c r="S553" s="6"/>
      <c r="T553" s="23">
        <f t="shared" si="17"/>
        <v>7820</v>
      </c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</row>
    <row r="554" spans="1:34">
      <c r="A554" s="2" t="s">
        <v>508</v>
      </c>
      <c r="B554" s="3"/>
      <c r="D554" s="6">
        <v>36890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23">
        <f t="shared" si="16"/>
        <v>36890</v>
      </c>
      <c r="S554" s="6"/>
      <c r="T554" s="23">
        <f t="shared" si="17"/>
        <v>36890</v>
      </c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</row>
    <row r="555" spans="1:34">
      <c r="A555" s="2" t="s">
        <v>509</v>
      </c>
      <c r="B555" s="3"/>
      <c r="D555" s="6">
        <v>57400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23">
        <f t="shared" si="16"/>
        <v>57400</v>
      </c>
      <c r="S555" s="6"/>
      <c r="T555" s="23">
        <f t="shared" si="17"/>
        <v>57400</v>
      </c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</row>
    <row r="556" spans="1:34">
      <c r="A556" s="2" t="s">
        <v>511</v>
      </c>
      <c r="B556" s="3"/>
      <c r="C556" s="2"/>
      <c r="D556" s="6">
        <v>26000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23">
        <f t="shared" si="16"/>
        <v>26000</v>
      </c>
      <c r="S556" s="6"/>
      <c r="T556" s="23">
        <f t="shared" si="17"/>
        <v>26000</v>
      </c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</row>
    <row r="557" spans="1:34">
      <c r="A557" s="2" t="s">
        <v>512</v>
      </c>
      <c r="B557" s="3"/>
      <c r="C557" s="2"/>
      <c r="D557" s="6">
        <v>3995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23">
        <f t="shared" si="16"/>
        <v>3995</v>
      </c>
      <c r="S557" s="6"/>
      <c r="T557" s="23">
        <f t="shared" si="17"/>
        <v>3995</v>
      </c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</row>
    <row r="558" spans="1:34">
      <c r="A558" s="2" t="s">
        <v>513</v>
      </c>
      <c r="B558" s="3"/>
      <c r="D558" s="6">
        <v>4500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23">
        <f t="shared" si="16"/>
        <v>4500</v>
      </c>
      <c r="S558" s="6"/>
      <c r="T558" s="23">
        <f t="shared" si="17"/>
        <v>4500</v>
      </c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</row>
    <row r="559" spans="1:34">
      <c r="A559" s="2" t="s">
        <v>514</v>
      </c>
      <c r="B559" s="3"/>
      <c r="D559" s="6">
        <v>5000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23">
        <f t="shared" si="16"/>
        <v>5000</v>
      </c>
      <c r="S559" s="6"/>
      <c r="T559" s="23">
        <f t="shared" si="17"/>
        <v>5000</v>
      </c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</row>
    <row r="560" spans="1:34">
      <c r="A560" s="2" t="s">
        <v>515</v>
      </c>
      <c r="B560" s="3"/>
      <c r="D560" s="6">
        <v>19180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23">
        <f t="shared" si="16"/>
        <v>19180</v>
      </c>
      <c r="S560" s="6"/>
      <c r="T560" s="23">
        <f t="shared" si="17"/>
        <v>19180</v>
      </c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</row>
    <row r="561" spans="1:34">
      <c r="A561" s="2" t="s">
        <v>516</v>
      </c>
      <c r="B561" s="3"/>
      <c r="D561" s="6">
        <v>10430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23">
        <f t="shared" si="16"/>
        <v>10430</v>
      </c>
      <c r="S561" s="6"/>
      <c r="T561" s="23">
        <f t="shared" si="17"/>
        <v>10430</v>
      </c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</row>
    <row r="562" spans="1:34">
      <c r="A562" s="2" t="s">
        <v>518</v>
      </c>
      <c r="B562" s="3"/>
      <c r="D562" s="6">
        <v>13330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23">
        <f t="shared" si="16"/>
        <v>13330</v>
      </c>
      <c r="S562" s="6"/>
      <c r="T562" s="23">
        <f t="shared" si="17"/>
        <v>13330</v>
      </c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</row>
    <row r="563" spans="1:34">
      <c r="A563" s="2" t="s">
        <v>519</v>
      </c>
      <c r="B563" s="3"/>
      <c r="D563" s="6">
        <v>18200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23">
        <f t="shared" si="16"/>
        <v>18200</v>
      </c>
      <c r="S563" s="6"/>
      <c r="T563" s="23">
        <f t="shared" si="17"/>
        <v>18200</v>
      </c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</row>
    <row r="564" spans="1:34">
      <c r="A564" s="2" t="s">
        <v>520</v>
      </c>
      <c r="B564" s="3"/>
      <c r="D564" s="6">
        <v>23620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23">
        <f t="shared" si="16"/>
        <v>23620</v>
      </c>
      <c r="S564" s="6"/>
      <c r="T564" s="23">
        <f t="shared" si="17"/>
        <v>23620</v>
      </c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</row>
    <row r="565" spans="1:34">
      <c r="A565" s="2" t="s">
        <v>521</v>
      </c>
      <c r="B565" s="3"/>
      <c r="D565" s="6">
        <v>38105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23">
        <f t="shared" si="16"/>
        <v>38105</v>
      </c>
      <c r="S565" s="6"/>
      <c r="T565" s="23">
        <f t="shared" si="17"/>
        <v>38105</v>
      </c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</row>
    <row r="566" spans="1:34">
      <c r="A566" s="2" t="s">
        <v>522</v>
      </c>
      <c r="B566" s="3"/>
      <c r="D566" s="6">
        <v>16914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23">
        <f t="shared" si="16"/>
        <v>16914</v>
      </c>
      <c r="S566" s="6"/>
      <c r="T566" s="23">
        <f t="shared" si="17"/>
        <v>16914</v>
      </c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</row>
    <row r="567" spans="1:34">
      <c r="A567" s="2" t="s">
        <v>523</v>
      </c>
      <c r="B567" s="3"/>
      <c r="D567" s="6">
        <v>50205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23">
        <f t="shared" si="16"/>
        <v>50205</v>
      </c>
      <c r="S567" s="6"/>
      <c r="T567" s="23">
        <f t="shared" si="17"/>
        <v>50205</v>
      </c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</row>
    <row r="568" spans="1:34">
      <c r="A568" s="2" t="s">
        <v>524</v>
      </c>
      <c r="B568" s="3"/>
      <c r="D568" s="6">
        <v>12000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23">
        <f t="shared" si="16"/>
        <v>12000</v>
      </c>
      <c r="S568" s="6"/>
      <c r="T568" s="23">
        <f t="shared" si="17"/>
        <v>12000</v>
      </c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</row>
    <row r="569" spans="1:34">
      <c r="A569" s="2" t="s">
        <v>525</v>
      </c>
      <c r="B569" s="3"/>
      <c r="D569" s="6">
        <v>52070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23">
        <f t="shared" si="16"/>
        <v>52070</v>
      </c>
      <c r="S569" s="6"/>
      <c r="T569" s="23">
        <f t="shared" si="17"/>
        <v>52070</v>
      </c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</row>
    <row r="570" spans="1:34">
      <c r="A570" s="2" t="s">
        <v>526</v>
      </c>
      <c r="B570" s="3"/>
      <c r="D570" s="6">
        <v>97030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23">
        <f t="shared" si="16"/>
        <v>97030</v>
      </c>
      <c r="S570" s="6"/>
      <c r="T570" s="23">
        <f t="shared" si="17"/>
        <v>97030</v>
      </c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</row>
    <row r="571" spans="1:34">
      <c r="A571" s="2" t="s">
        <v>527</v>
      </c>
      <c r="B571" s="3"/>
      <c r="C571" s="2"/>
      <c r="D571" s="6">
        <v>10600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23">
        <f t="shared" si="16"/>
        <v>10600</v>
      </c>
      <c r="S571" s="6"/>
      <c r="T571" s="23">
        <f t="shared" si="17"/>
        <v>10600</v>
      </c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</row>
    <row r="572" spans="1:34">
      <c r="A572" s="2" t="s">
        <v>528</v>
      </c>
      <c r="B572" s="3"/>
      <c r="C572" s="2"/>
      <c r="D572" s="6">
        <v>0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23">
        <f t="shared" si="16"/>
        <v>0</v>
      </c>
      <c r="S572" s="6"/>
      <c r="T572" s="23">
        <f t="shared" si="17"/>
        <v>0</v>
      </c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</row>
    <row r="573" spans="1:34">
      <c r="A573" s="2" t="s">
        <v>529</v>
      </c>
      <c r="B573" s="3"/>
      <c r="D573" s="6">
        <v>21370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23">
        <f t="shared" si="16"/>
        <v>21370</v>
      </c>
      <c r="S573" s="6"/>
      <c r="T573" s="23">
        <f t="shared" si="17"/>
        <v>21370</v>
      </c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</row>
    <row r="574" spans="1:34">
      <c r="A574" s="2" t="s">
        <v>530</v>
      </c>
      <c r="B574" s="3"/>
      <c r="D574" s="6">
        <v>1200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23">
        <f t="shared" si="16"/>
        <v>1200</v>
      </c>
      <c r="S574" s="6"/>
      <c r="T574" s="23">
        <f t="shared" si="17"/>
        <v>1200</v>
      </c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</row>
    <row r="575" spans="1:34">
      <c r="A575" s="2" t="s">
        <v>531</v>
      </c>
      <c r="B575" s="3"/>
      <c r="D575" s="6">
        <v>8850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23">
        <f t="shared" si="16"/>
        <v>8850</v>
      </c>
      <c r="S575" s="6"/>
      <c r="T575" s="23">
        <f t="shared" si="17"/>
        <v>8850</v>
      </c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</row>
    <row r="576" spans="1:34">
      <c r="A576" s="2" t="s">
        <v>533</v>
      </c>
      <c r="B576" s="3"/>
      <c r="D576" s="6">
        <v>149525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23">
        <f t="shared" si="16"/>
        <v>149525</v>
      </c>
      <c r="S576" s="6"/>
      <c r="T576" s="23">
        <f t="shared" si="17"/>
        <v>149525</v>
      </c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</row>
    <row r="577" spans="1:34">
      <c r="A577" s="2" t="s">
        <v>534</v>
      </c>
      <c r="B577" s="3"/>
      <c r="D577" s="6">
        <v>77945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23">
        <f t="shared" si="16"/>
        <v>77945</v>
      </c>
      <c r="S577" s="6"/>
      <c r="T577" s="23">
        <f t="shared" si="17"/>
        <v>77945</v>
      </c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</row>
    <row r="578" spans="1:34">
      <c r="A578" s="2" t="s">
        <v>535</v>
      </c>
      <c r="B578" s="3"/>
      <c r="D578" s="6">
        <v>38295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23">
        <f t="shared" si="16"/>
        <v>38295</v>
      </c>
      <c r="S578" s="6"/>
      <c r="T578" s="23">
        <f t="shared" si="17"/>
        <v>38295</v>
      </c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</row>
    <row r="579" spans="1:34">
      <c r="A579" s="2" t="s">
        <v>536</v>
      </c>
      <c r="B579" s="3"/>
      <c r="C579" s="6"/>
      <c r="D579" s="6">
        <v>13089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23">
        <f t="shared" si="16"/>
        <v>13089</v>
      </c>
      <c r="S579" s="6"/>
      <c r="T579" s="23">
        <f t="shared" si="17"/>
        <v>13089</v>
      </c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31"/>
      <c r="AF579" s="31"/>
      <c r="AG579" s="31"/>
      <c r="AH579" s="31"/>
    </row>
    <row r="580" spans="1:34">
      <c r="A580" s="2" t="s">
        <v>538</v>
      </c>
      <c r="B580" s="3"/>
      <c r="D580" s="6">
        <v>11025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23">
        <f t="shared" si="16"/>
        <v>11025</v>
      </c>
      <c r="S580" s="6"/>
      <c r="T580" s="23">
        <f t="shared" si="17"/>
        <v>11025</v>
      </c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</row>
    <row r="581" spans="1:34">
      <c r="A581" s="2" t="s">
        <v>539</v>
      </c>
      <c r="B581" s="3"/>
      <c r="D581" s="6">
        <v>10020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23">
        <f t="shared" si="16"/>
        <v>10020</v>
      </c>
      <c r="S581" s="6"/>
      <c r="T581" s="23">
        <f t="shared" si="17"/>
        <v>10020</v>
      </c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</row>
    <row r="582" spans="1:34">
      <c r="A582" s="2" t="s">
        <v>540</v>
      </c>
      <c r="B582" s="3"/>
      <c r="D582" s="6">
        <v>4415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23">
        <f t="shared" ref="R582:R645" si="18">SUM(D582:Q582)</f>
        <v>4415</v>
      </c>
      <c r="S582" s="6"/>
      <c r="T582" s="23">
        <f t="shared" si="17"/>
        <v>4415</v>
      </c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</row>
    <row r="583" spans="1:34">
      <c r="A583" s="2" t="s">
        <v>541</v>
      </c>
      <c r="B583" s="3"/>
      <c r="D583" s="6">
        <v>14930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23">
        <f t="shared" si="18"/>
        <v>14930</v>
      </c>
      <c r="S583" s="6"/>
      <c r="T583" s="23">
        <f t="shared" si="17"/>
        <v>14930</v>
      </c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</row>
    <row r="584" spans="1:34">
      <c r="A584" s="2" t="s">
        <v>542</v>
      </c>
      <c r="B584" s="3"/>
      <c r="D584" s="6">
        <v>65620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23">
        <f t="shared" si="18"/>
        <v>65620</v>
      </c>
      <c r="S584" s="6"/>
      <c r="T584" s="23">
        <f t="shared" si="17"/>
        <v>65620</v>
      </c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 t="s">
        <v>795</v>
      </c>
      <c r="AH584" s="31"/>
    </row>
    <row r="585" spans="1:34">
      <c r="A585" s="2" t="s">
        <v>543</v>
      </c>
      <c r="B585" s="3"/>
      <c r="D585" s="6">
        <v>22000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23">
        <f t="shared" si="18"/>
        <v>22000</v>
      </c>
      <c r="S585" s="6"/>
      <c r="T585" s="23">
        <f t="shared" si="17"/>
        <v>22000</v>
      </c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</row>
    <row r="586" spans="1:34">
      <c r="A586" s="2" t="s">
        <v>544</v>
      </c>
      <c r="B586" s="3"/>
      <c r="D586" s="6">
        <v>4800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23">
        <f t="shared" si="18"/>
        <v>4800</v>
      </c>
      <c r="S586" s="6"/>
      <c r="T586" s="23">
        <f t="shared" si="17"/>
        <v>4800</v>
      </c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</row>
    <row r="587" spans="1:34">
      <c r="A587" s="2" t="s">
        <v>545</v>
      </c>
      <c r="B587" s="3"/>
      <c r="D587" s="6">
        <v>41000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23">
        <f t="shared" si="18"/>
        <v>41000</v>
      </c>
      <c r="S587" s="6"/>
      <c r="T587" s="23">
        <f t="shared" si="17"/>
        <v>41000</v>
      </c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</row>
    <row r="588" spans="1:34">
      <c r="A588" s="2" t="s">
        <v>546</v>
      </c>
      <c r="B588" s="3"/>
      <c r="D588" s="6">
        <v>12520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23">
        <f t="shared" si="18"/>
        <v>12520</v>
      </c>
      <c r="S588" s="6"/>
      <c r="T588" s="23">
        <f t="shared" si="17"/>
        <v>12520</v>
      </c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 t="s">
        <v>796</v>
      </c>
      <c r="AH588" s="31"/>
    </row>
    <row r="589" spans="1:34">
      <c r="A589" s="2" t="s">
        <v>547</v>
      </c>
      <c r="B589" s="3"/>
      <c r="D589" s="6">
        <v>17960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23">
        <f t="shared" si="18"/>
        <v>17960</v>
      </c>
      <c r="S589" s="6"/>
      <c r="T589" s="23">
        <f t="shared" si="17"/>
        <v>17960</v>
      </c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</row>
    <row r="590" spans="1:34">
      <c r="A590" s="2" t="s">
        <v>548</v>
      </c>
      <c r="B590" s="3"/>
      <c r="D590" s="6">
        <v>32000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23">
        <f t="shared" si="18"/>
        <v>32000</v>
      </c>
      <c r="S590" s="6"/>
      <c r="T590" s="23">
        <f t="shared" si="17"/>
        <v>32000</v>
      </c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</row>
    <row r="591" spans="1:34">
      <c r="A591" s="2" t="s">
        <v>550</v>
      </c>
      <c r="B591" s="3"/>
      <c r="D591" s="6">
        <v>27000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23">
        <f t="shared" si="18"/>
        <v>27000</v>
      </c>
      <c r="S591" s="6"/>
      <c r="T591" s="23">
        <f t="shared" si="17"/>
        <v>27000</v>
      </c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</row>
    <row r="592" spans="1:34">
      <c r="A592" s="2" t="s">
        <v>551</v>
      </c>
      <c r="B592" s="3"/>
      <c r="D592" s="6">
        <v>58170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23">
        <f t="shared" si="18"/>
        <v>58170</v>
      </c>
      <c r="S592" s="6"/>
      <c r="T592" s="23">
        <f t="shared" ref="T592:T655" si="19">R592-S592</f>
        <v>58170</v>
      </c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</row>
    <row r="593" spans="1:34">
      <c r="A593" s="2" t="s">
        <v>553</v>
      </c>
      <c r="B593" s="3"/>
      <c r="D593" s="6">
        <v>18250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23">
        <f t="shared" si="18"/>
        <v>18250</v>
      </c>
      <c r="S593" s="6"/>
      <c r="T593" s="23">
        <f t="shared" si="19"/>
        <v>18250</v>
      </c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 t="s">
        <v>796</v>
      </c>
      <c r="AH593" s="31"/>
    </row>
    <row r="594" spans="1:34">
      <c r="A594" s="2" t="s">
        <v>554</v>
      </c>
      <c r="B594" s="3"/>
      <c r="D594" s="6">
        <v>81480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23">
        <f t="shared" si="18"/>
        <v>81480</v>
      </c>
      <c r="S594" s="6"/>
      <c r="T594" s="23">
        <f t="shared" si="19"/>
        <v>81480</v>
      </c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 t="s">
        <v>805</v>
      </c>
      <c r="AH594" s="31"/>
    </row>
    <row r="595" spans="1:34">
      <c r="A595" s="2" t="s">
        <v>555</v>
      </c>
      <c r="B595" s="3"/>
      <c r="D595" s="6">
        <v>3600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23">
        <f t="shared" si="18"/>
        <v>3600</v>
      </c>
      <c r="S595" s="6"/>
      <c r="T595" s="23">
        <f t="shared" si="19"/>
        <v>3600</v>
      </c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 t="s">
        <v>796</v>
      </c>
      <c r="AH595" s="31"/>
    </row>
    <row r="596" spans="1:34">
      <c r="A596" s="2" t="s">
        <v>556</v>
      </c>
      <c r="B596" s="3"/>
      <c r="D596" s="6">
        <v>26835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23">
        <f t="shared" si="18"/>
        <v>26835</v>
      </c>
      <c r="S596" s="6"/>
      <c r="T596" s="23">
        <f t="shared" si="19"/>
        <v>26835</v>
      </c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 t="s">
        <v>795</v>
      </c>
      <c r="AH596" s="31"/>
    </row>
    <row r="597" spans="1:34">
      <c r="A597" s="2" t="s">
        <v>557</v>
      </c>
      <c r="B597" s="3"/>
      <c r="D597" s="6">
        <v>10540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23">
        <f t="shared" si="18"/>
        <v>10540</v>
      </c>
      <c r="S597" s="6"/>
      <c r="T597" s="23">
        <f t="shared" si="19"/>
        <v>10540</v>
      </c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 t="s">
        <v>796</v>
      </c>
      <c r="AH597" s="31"/>
    </row>
    <row r="598" spans="1:34">
      <c r="A598" s="2" t="s">
        <v>558</v>
      </c>
      <c r="B598" s="3"/>
      <c r="D598" s="6">
        <v>66400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23">
        <f t="shared" si="18"/>
        <v>66400</v>
      </c>
      <c r="S598" s="6"/>
      <c r="T598" s="23">
        <f t="shared" si="19"/>
        <v>66400</v>
      </c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 t="s">
        <v>860</v>
      </c>
      <c r="AH598" s="31"/>
    </row>
    <row r="599" spans="1:34">
      <c r="A599" s="2" t="s">
        <v>559</v>
      </c>
      <c r="B599" s="3"/>
      <c r="D599" s="6">
        <v>4900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23">
        <f t="shared" si="18"/>
        <v>4900</v>
      </c>
      <c r="S599" s="6"/>
      <c r="T599" s="23">
        <f t="shared" si="19"/>
        <v>4900</v>
      </c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 t="s">
        <v>796</v>
      </c>
      <c r="AH599" s="31"/>
    </row>
    <row r="600" spans="1:34">
      <c r="A600" s="2" t="s">
        <v>560</v>
      </c>
      <c r="B600" s="3"/>
      <c r="D600" s="6">
        <v>14000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23">
        <f t="shared" si="18"/>
        <v>14000</v>
      </c>
      <c r="S600" s="6"/>
      <c r="T600" s="23">
        <f t="shared" si="19"/>
        <v>14000</v>
      </c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 t="s">
        <v>796</v>
      </c>
      <c r="AH600" s="31"/>
    </row>
    <row r="601" spans="1:34">
      <c r="A601" s="2" t="s">
        <v>561</v>
      </c>
      <c r="B601" s="3"/>
      <c r="D601" s="6">
        <v>6550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23">
        <f t="shared" si="18"/>
        <v>6550</v>
      </c>
      <c r="S601" s="6"/>
      <c r="T601" s="23">
        <f t="shared" si="19"/>
        <v>6550</v>
      </c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</row>
    <row r="602" spans="1:34">
      <c r="A602" s="2" t="s">
        <v>562</v>
      </c>
      <c r="B602" s="3"/>
      <c r="D602" s="6">
        <v>20630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23">
        <f t="shared" si="18"/>
        <v>20630</v>
      </c>
      <c r="S602" s="6"/>
      <c r="T602" s="23">
        <f t="shared" si="19"/>
        <v>20630</v>
      </c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 t="s">
        <v>796</v>
      </c>
      <c r="AH602" s="31"/>
    </row>
    <row r="603" spans="1:34">
      <c r="A603" s="2" t="s">
        <v>563</v>
      </c>
      <c r="B603" s="3"/>
      <c r="D603" s="6">
        <v>12650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23">
        <f t="shared" si="18"/>
        <v>12650</v>
      </c>
      <c r="S603" s="6"/>
      <c r="T603" s="23">
        <f t="shared" si="19"/>
        <v>12650</v>
      </c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 t="s">
        <v>795</v>
      </c>
      <c r="AH603" s="31"/>
    </row>
    <row r="604" spans="1:34">
      <c r="A604" s="2" t="s">
        <v>564</v>
      </c>
      <c r="B604" s="3"/>
      <c r="D604" s="6">
        <v>8100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23">
        <f t="shared" si="18"/>
        <v>8100</v>
      </c>
      <c r="S604" s="6"/>
      <c r="T604" s="23">
        <f t="shared" si="19"/>
        <v>8100</v>
      </c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</row>
    <row r="605" spans="1:34">
      <c r="A605" s="2" t="s">
        <v>565</v>
      </c>
      <c r="B605" s="3"/>
      <c r="D605" s="6">
        <v>89006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23">
        <f t="shared" si="18"/>
        <v>89006</v>
      </c>
      <c r="S605" s="6"/>
      <c r="T605" s="23">
        <f t="shared" si="19"/>
        <v>89006</v>
      </c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 t="s">
        <v>796</v>
      </c>
      <c r="AH605" s="31"/>
    </row>
    <row r="606" spans="1:34">
      <c r="A606" s="2" t="s">
        <v>566</v>
      </c>
      <c r="B606" s="3"/>
      <c r="D606" s="6">
        <v>5600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23">
        <f t="shared" si="18"/>
        <v>5600</v>
      </c>
      <c r="S606" s="6"/>
      <c r="T606" s="23">
        <f t="shared" si="19"/>
        <v>5600</v>
      </c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 t="s">
        <v>796</v>
      </c>
      <c r="AH606" s="31"/>
    </row>
    <row r="607" spans="1:34">
      <c r="A607" s="2" t="s">
        <v>567</v>
      </c>
      <c r="B607" s="3"/>
      <c r="D607" s="6">
        <v>6700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23">
        <f t="shared" si="18"/>
        <v>6700</v>
      </c>
      <c r="S607" s="6"/>
      <c r="T607" s="23">
        <f t="shared" si="19"/>
        <v>6700</v>
      </c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 t="s">
        <v>796</v>
      </c>
      <c r="AH607" s="31"/>
    </row>
    <row r="608" spans="1:34">
      <c r="A608" s="2" t="s">
        <v>568</v>
      </c>
      <c r="B608" s="3"/>
      <c r="D608" s="6">
        <v>7500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23">
        <f t="shared" si="18"/>
        <v>7500</v>
      </c>
      <c r="S608" s="6"/>
      <c r="T608" s="23">
        <f t="shared" si="19"/>
        <v>7500</v>
      </c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 t="s">
        <v>795</v>
      </c>
      <c r="AH608" s="31"/>
    </row>
    <row r="609" spans="1:34">
      <c r="A609" s="2" t="s">
        <v>569</v>
      </c>
      <c r="B609" s="3"/>
      <c r="D609" s="6">
        <v>12850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23">
        <f t="shared" si="18"/>
        <v>12850</v>
      </c>
      <c r="S609" s="6"/>
      <c r="T609" s="23">
        <f t="shared" si="19"/>
        <v>12850</v>
      </c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 t="s">
        <v>796</v>
      </c>
      <c r="AH609" s="31"/>
    </row>
    <row r="610" spans="1:34">
      <c r="A610" s="2" t="s">
        <v>570</v>
      </c>
      <c r="B610" s="3"/>
      <c r="D610" s="6">
        <v>8850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23">
        <f t="shared" si="18"/>
        <v>8850</v>
      </c>
      <c r="S610" s="6"/>
      <c r="T610" s="23">
        <f t="shared" si="19"/>
        <v>8850</v>
      </c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 t="s">
        <v>796</v>
      </c>
      <c r="AH610" s="31"/>
    </row>
    <row r="611" spans="1:34">
      <c r="A611" s="2" t="s">
        <v>571</v>
      </c>
      <c r="B611" s="3"/>
      <c r="D611" s="6">
        <v>13525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23">
        <f t="shared" si="18"/>
        <v>13525</v>
      </c>
      <c r="S611" s="6"/>
      <c r="T611" s="23">
        <f t="shared" si="19"/>
        <v>13525</v>
      </c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 t="s">
        <v>795</v>
      </c>
      <c r="AH611" s="31"/>
    </row>
    <row r="612" spans="1:34">
      <c r="A612" s="2" t="s">
        <v>572</v>
      </c>
      <c r="B612" s="3"/>
      <c r="D612" s="6">
        <v>30675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23">
        <f t="shared" si="18"/>
        <v>30675</v>
      </c>
      <c r="S612" s="6"/>
      <c r="T612" s="23">
        <f t="shared" si="19"/>
        <v>30675</v>
      </c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 t="s">
        <v>795</v>
      </c>
      <c r="AH612" s="31"/>
    </row>
    <row r="613" spans="1:34">
      <c r="A613" s="2" t="s">
        <v>573</v>
      </c>
      <c r="B613" s="3"/>
      <c r="D613" s="6">
        <v>60890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23">
        <f t="shared" si="18"/>
        <v>60890</v>
      </c>
      <c r="S613" s="6"/>
      <c r="T613" s="23">
        <f t="shared" si="19"/>
        <v>60890</v>
      </c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 t="s">
        <v>795</v>
      </c>
      <c r="AH613" s="31"/>
    </row>
    <row r="614" spans="1:34">
      <c r="A614" s="2" t="s">
        <v>574</v>
      </c>
      <c r="B614" s="3"/>
      <c r="D614" s="6">
        <v>4500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23">
        <f t="shared" si="18"/>
        <v>4500</v>
      </c>
      <c r="S614" s="6"/>
      <c r="T614" s="23">
        <f t="shared" si="19"/>
        <v>4500</v>
      </c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 t="s">
        <v>796</v>
      </c>
      <c r="AH614" s="31"/>
    </row>
    <row r="615" spans="1:34">
      <c r="A615" s="2" t="s">
        <v>575</v>
      </c>
      <c r="B615" s="3"/>
      <c r="D615" s="6">
        <v>16640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23">
        <f t="shared" si="18"/>
        <v>16640</v>
      </c>
      <c r="S615" s="6"/>
      <c r="T615" s="23">
        <f t="shared" si="19"/>
        <v>16640</v>
      </c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 t="s">
        <v>796</v>
      </c>
      <c r="AH615" s="31"/>
    </row>
    <row r="616" spans="1:34">
      <c r="A616" s="2" t="s">
        <v>576</v>
      </c>
      <c r="B616" s="3"/>
      <c r="D616" s="6">
        <v>62000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23">
        <f t="shared" si="18"/>
        <v>62000</v>
      </c>
      <c r="S616" s="6"/>
      <c r="T616" s="23">
        <f t="shared" si="19"/>
        <v>62000</v>
      </c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 t="s">
        <v>795</v>
      </c>
      <c r="AH616" s="31"/>
    </row>
    <row r="617" spans="1:34">
      <c r="A617" s="2" t="s">
        <v>577</v>
      </c>
      <c r="B617" s="3"/>
      <c r="D617" s="6">
        <v>31000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23">
        <f t="shared" si="18"/>
        <v>31000</v>
      </c>
      <c r="S617" s="6"/>
      <c r="T617" s="23">
        <f t="shared" si="19"/>
        <v>31000</v>
      </c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 t="s">
        <v>795</v>
      </c>
      <c r="AH617" s="31"/>
    </row>
    <row r="618" spans="1:34">
      <c r="A618" s="2" t="s">
        <v>578</v>
      </c>
      <c r="B618" s="3"/>
      <c r="C618" s="2"/>
      <c r="D618" s="6">
        <v>4680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23">
        <f t="shared" si="18"/>
        <v>4680</v>
      </c>
      <c r="S618" s="6"/>
      <c r="T618" s="23">
        <f t="shared" si="19"/>
        <v>4680</v>
      </c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 t="s">
        <v>796</v>
      </c>
      <c r="AH618" s="31"/>
    </row>
    <row r="619" spans="1:34">
      <c r="A619" s="2" t="s">
        <v>579</v>
      </c>
      <c r="B619" s="3"/>
      <c r="D619" s="6">
        <v>0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23">
        <f t="shared" si="18"/>
        <v>0</v>
      </c>
      <c r="S619" s="6"/>
      <c r="T619" s="23">
        <f t="shared" si="19"/>
        <v>0</v>
      </c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</row>
    <row r="620" spans="1:34">
      <c r="A620" s="2" t="s">
        <v>580</v>
      </c>
      <c r="B620" s="3"/>
      <c r="D620" s="6">
        <v>1500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23">
        <f t="shared" si="18"/>
        <v>1500</v>
      </c>
      <c r="S620" s="6"/>
      <c r="T620" s="23">
        <f t="shared" si="19"/>
        <v>1500</v>
      </c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</row>
    <row r="621" spans="1:34">
      <c r="A621" s="2" t="s">
        <v>581</v>
      </c>
      <c r="B621" s="3"/>
      <c r="D621" s="6">
        <v>0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23">
        <f t="shared" si="18"/>
        <v>0</v>
      </c>
      <c r="S621" s="6"/>
      <c r="T621" s="23">
        <f t="shared" si="19"/>
        <v>0</v>
      </c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</row>
    <row r="622" spans="1:34">
      <c r="A622" s="2" t="s">
        <v>582</v>
      </c>
      <c r="B622" s="3"/>
      <c r="D622" s="6">
        <v>840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23">
        <f t="shared" si="18"/>
        <v>840</v>
      </c>
      <c r="S622" s="6"/>
      <c r="T622" s="23">
        <f t="shared" si="19"/>
        <v>840</v>
      </c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 t="s">
        <v>828</v>
      </c>
      <c r="AH622" s="31"/>
    </row>
    <row r="623" spans="1:34">
      <c r="A623" s="2" t="s">
        <v>583</v>
      </c>
      <c r="B623" s="3"/>
      <c r="D623" s="6">
        <v>74080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23">
        <f t="shared" si="18"/>
        <v>74080</v>
      </c>
      <c r="S623" s="6"/>
      <c r="T623" s="23">
        <f t="shared" si="19"/>
        <v>74080</v>
      </c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 t="s">
        <v>796</v>
      </c>
      <c r="AH623" s="31"/>
    </row>
    <row r="624" spans="1:34">
      <c r="A624" s="2" t="s">
        <v>584</v>
      </c>
      <c r="B624" s="3"/>
      <c r="D624" s="6">
        <v>50525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23">
        <f t="shared" si="18"/>
        <v>50525</v>
      </c>
      <c r="S624" s="6"/>
      <c r="T624" s="23">
        <f t="shared" si="19"/>
        <v>50525</v>
      </c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 t="s">
        <v>796</v>
      </c>
      <c r="AH624" s="31"/>
    </row>
    <row r="625" spans="1:34">
      <c r="A625" s="2" t="s">
        <v>585</v>
      </c>
      <c r="B625" s="3"/>
      <c r="D625" s="6">
        <v>21000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23">
        <f t="shared" si="18"/>
        <v>21000</v>
      </c>
      <c r="S625" s="6"/>
      <c r="T625" s="23">
        <f t="shared" si="19"/>
        <v>21000</v>
      </c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 t="s">
        <v>796</v>
      </c>
      <c r="AH625" s="31"/>
    </row>
    <row r="626" spans="1:34">
      <c r="A626" s="2" t="s">
        <v>586</v>
      </c>
      <c r="B626" s="3"/>
      <c r="D626" s="6">
        <v>16820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23">
        <f t="shared" si="18"/>
        <v>16820</v>
      </c>
      <c r="S626" s="6"/>
      <c r="T626" s="23">
        <f t="shared" si="19"/>
        <v>16820</v>
      </c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 t="s">
        <v>795</v>
      </c>
      <c r="AH626" s="31"/>
    </row>
    <row r="627" spans="1:34">
      <c r="A627" s="2" t="s">
        <v>587</v>
      </c>
      <c r="B627" s="3"/>
      <c r="D627" s="6">
        <v>15000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23">
        <f t="shared" si="18"/>
        <v>15000</v>
      </c>
      <c r="S627" s="6"/>
      <c r="T627" s="23">
        <f t="shared" si="19"/>
        <v>15000</v>
      </c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 t="s">
        <v>795</v>
      </c>
      <c r="AH627" s="31"/>
    </row>
    <row r="628" spans="1:34">
      <c r="A628" s="2" t="s">
        <v>588</v>
      </c>
      <c r="B628" s="3"/>
      <c r="D628" s="6">
        <v>47660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23">
        <f t="shared" si="18"/>
        <v>47660</v>
      </c>
      <c r="S628" s="6"/>
      <c r="T628" s="23">
        <f t="shared" si="19"/>
        <v>47660</v>
      </c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 t="s">
        <v>795</v>
      </c>
      <c r="AH628" s="31"/>
    </row>
    <row r="629" spans="1:34">
      <c r="A629" s="2" t="s">
        <v>589</v>
      </c>
      <c r="B629" s="3"/>
      <c r="D629" s="6">
        <v>42140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23">
        <f t="shared" si="18"/>
        <v>42140</v>
      </c>
      <c r="S629" s="6"/>
      <c r="T629" s="23">
        <f t="shared" si="19"/>
        <v>42140</v>
      </c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 t="s">
        <v>796</v>
      </c>
      <c r="AH629" s="31"/>
    </row>
    <row r="630" spans="1:34">
      <c r="A630" s="2" t="s">
        <v>590</v>
      </c>
      <c r="B630" s="3"/>
      <c r="D630" s="6">
        <v>4900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23">
        <f t="shared" si="18"/>
        <v>4900</v>
      </c>
      <c r="S630" s="6"/>
      <c r="T630" s="23">
        <f t="shared" si="19"/>
        <v>4900</v>
      </c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 t="s">
        <v>796</v>
      </c>
      <c r="AH630" s="31"/>
    </row>
    <row r="631" spans="1:34">
      <c r="A631" s="2" t="s">
        <v>591</v>
      </c>
      <c r="B631" s="3"/>
      <c r="D631" s="6">
        <v>5775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23">
        <f t="shared" si="18"/>
        <v>5775</v>
      </c>
      <c r="S631" s="6"/>
      <c r="T631" s="23">
        <f t="shared" si="19"/>
        <v>5775</v>
      </c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 t="s">
        <v>795</v>
      </c>
      <c r="AH631" s="31"/>
    </row>
    <row r="632" spans="1:34">
      <c r="A632" s="2" t="s">
        <v>592</v>
      </c>
      <c r="B632" s="3"/>
      <c r="D632" s="6">
        <v>21300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23">
        <f t="shared" si="18"/>
        <v>21300</v>
      </c>
      <c r="S632" s="6"/>
      <c r="T632" s="23">
        <f t="shared" si="19"/>
        <v>21300</v>
      </c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 t="s">
        <v>795</v>
      </c>
      <c r="AH632" s="31"/>
    </row>
    <row r="633" spans="1:34">
      <c r="A633" s="2" t="s">
        <v>593</v>
      </c>
      <c r="B633" s="3"/>
      <c r="D633" s="6">
        <v>11970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23">
        <f t="shared" si="18"/>
        <v>11970</v>
      </c>
      <c r="S633" s="6"/>
      <c r="T633" s="23">
        <f t="shared" si="19"/>
        <v>11970</v>
      </c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 t="s">
        <v>795</v>
      </c>
      <c r="AH633" s="31"/>
    </row>
    <row r="634" spans="1:34">
      <c r="A634" s="2" t="s">
        <v>594</v>
      </c>
      <c r="B634" s="3"/>
      <c r="D634" s="8">
        <v>7416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23">
        <f t="shared" si="18"/>
        <v>7416</v>
      </c>
      <c r="S634" s="6"/>
      <c r="T634" s="23">
        <f t="shared" si="19"/>
        <v>7416</v>
      </c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</row>
    <row r="635" spans="1:34">
      <c r="A635" s="2" t="s">
        <v>595</v>
      </c>
      <c r="B635" s="3"/>
      <c r="D635" s="6">
        <v>7550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23">
        <f t="shared" si="18"/>
        <v>7550</v>
      </c>
      <c r="S635" s="6"/>
      <c r="T635" s="23">
        <f t="shared" si="19"/>
        <v>7550</v>
      </c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</row>
    <row r="636" spans="1:34">
      <c r="A636" s="2" t="s">
        <v>596</v>
      </c>
      <c r="B636" s="3"/>
      <c r="D636" s="6">
        <v>17000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23">
        <f t="shared" si="18"/>
        <v>17000</v>
      </c>
      <c r="S636" s="6"/>
      <c r="T636" s="23">
        <f t="shared" si="19"/>
        <v>17000</v>
      </c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</row>
    <row r="637" spans="1:34">
      <c r="A637" s="8" t="s">
        <v>597</v>
      </c>
      <c r="B637" s="3"/>
      <c r="D637" s="6">
        <v>-1369.25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23">
        <f t="shared" si="18"/>
        <v>-1369.25</v>
      </c>
      <c r="S637" s="6"/>
      <c r="T637" s="23">
        <f t="shared" si="19"/>
        <v>-1369.25</v>
      </c>
      <c r="U637" s="35"/>
      <c r="V637" s="35"/>
      <c r="W637" s="35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</row>
    <row r="638" spans="1:34">
      <c r="A638" s="2" t="s">
        <v>598</v>
      </c>
      <c r="B638" s="3"/>
      <c r="D638" s="6">
        <v>4400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23">
        <f t="shared" si="18"/>
        <v>4400</v>
      </c>
      <c r="S638" s="6"/>
      <c r="T638" s="23">
        <f t="shared" si="19"/>
        <v>4400</v>
      </c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</row>
    <row r="639" spans="1:34">
      <c r="A639" s="2" t="s">
        <v>599</v>
      </c>
      <c r="B639" s="3"/>
      <c r="D639" s="6">
        <v>3350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23">
        <f t="shared" si="18"/>
        <v>3350</v>
      </c>
      <c r="S639" s="6"/>
      <c r="T639" s="23">
        <f t="shared" si="19"/>
        <v>3350</v>
      </c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</row>
    <row r="640" spans="1:34">
      <c r="A640" s="2" t="s">
        <v>600</v>
      </c>
      <c r="B640" s="3"/>
      <c r="D640" s="6">
        <v>93482.5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23">
        <f t="shared" si="18"/>
        <v>93482.5</v>
      </c>
      <c r="S640" s="6"/>
      <c r="T640" s="23">
        <f t="shared" si="19"/>
        <v>93482.5</v>
      </c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</row>
    <row r="641" spans="1:34">
      <c r="A641" s="2" t="s">
        <v>601</v>
      </c>
      <c r="B641" s="3"/>
      <c r="D641" s="6">
        <v>32345.5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23">
        <f t="shared" si="18"/>
        <v>32345.5</v>
      </c>
      <c r="S641" s="6"/>
      <c r="T641" s="23">
        <f t="shared" si="19"/>
        <v>32345.5</v>
      </c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</row>
    <row r="642" spans="1:34">
      <c r="A642" s="2" t="s">
        <v>602</v>
      </c>
      <c r="B642" s="3"/>
      <c r="D642" s="6">
        <v>7160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23">
        <f t="shared" si="18"/>
        <v>7160</v>
      </c>
      <c r="S642" s="6"/>
      <c r="T642" s="23">
        <f t="shared" si="19"/>
        <v>7160</v>
      </c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</row>
    <row r="643" spans="1:34">
      <c r="A643" s="2" t="s">
        <v>603</v>
      </c>
      <c r="B643" s="3"/>
      <c r="D643" s="6">
        <v>10578.5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23">
        <f t="shared" si="18"/>
        <v>10578.5</v>
      </c>
      <c r="S643" s="6"/>
      <c r="T643" s="23">
        <f t="shared" si="19"/>
        <v>10578.5</v>
      </c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</row>
    <row r="644" spans="1:34">
      <c r="A644" s="8" t="s">
        <v>604</v>
      </c>
      <c r="B644" s="3"/>
      <c r="D644" s="6">
        <v>17000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23">
        <f t="shared" si="18"/>
        <v>17000</v>
      </c>
      <c r="S644" s="6"/>
      <c r="T644" s="23">
        <f t="shared" si="19"/>
        <v>17000</v>
      </c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</row>
    <row r="645" spans="1:34">
      <c r="A645" s="8" t="s">
        <v>605</v>
      </c>
      <c r="B645" s="3"/>
      <c r="D645" s="6">
        <v>-5000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23">
        <f t="shared" si="18"/>
        <v>-5000</v>
      </c>
      <c r="S645" s="6"/>
      <c r="T645" s="23">
        <f t="shared" si="19"/>
        <v>-5000</v>
      </c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</row>
    <row r="646" spans="1:34">
      <c r="A646" s="8" t="s">
        <v>606</v>
      </c>
      <c r="B646" s="3"/>
      <c r="D646" s="6">
        <v>38000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23">
        <f t="shared" ref="R646:R690" si="20">SUM(D646:Q646)</f>
        <v>38000</v>
      </c>
      <c r="S646" s="6"/>
      <c r="T646" s="23">
        <f t="shared" si="19"/>
        <v>38000</v>
      </c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</row>
    <row r="647" spans="1:34">
      <c r="A647" s="8" t="s">
        <v>607</v>
      </c>
      <c r="B647" s="3"/>
      <c r="D647" s="6">
        <v>13600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23">
        <f t="shared" si="20"/>
        <v>13600</v>
      </c>
      <c r="S647" s="6"/>
      <c r="T647" s="23">
        <f t="shared" si="19"/>
        <v>13600</v>
      </c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</row>
    <row r="648" spans="1:34">
      <c r="A648" s="8" t="s">
        <v>608</v>
      </c>
      <c r="B648" s="3"/>
      <c r="D648" s="6">
        <v>-2000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23">
        <f t="shared" si="20"/>
        <v>-2000</v>
      </c>
      <c r="S648" s="6"/>
      <c r="T648" s="23">
        <f t="shared" si="19"/>
        <v>-2000</v>
      </c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</row>
    <row r="649" spans="1:34">
      <c r="A649" s="2" t="s">
        <v>609</v>
      </c>
      <c r="B649" s="3"/>
      <c r="D649" s="6">
        <v>9400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23">
        <f t="shared" si="20"/>
        <v>9400</v>
      </c>
      <c r="S649" s="6"/>
      <c r="T649" s="23">
        <f t="shared" si="19"/>
        <v>9400</v>
      </c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</row>
    <row r="650" spans="1:34">
      <c r="A650" s="2" t="s">
        <v>610</v>
      </c>
      <c r="B650" s="3"/>
      <c r="D650" s="6">
        <v>34615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23">
        <f t="shared" si="20"/>
        <v>34615</v>
      </c>
      <c r="S650" s="6"/>
      <c r="T650" s="23">
        <f t="shared" si="19"/>
        <v>34615</v>
      </c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</row>
    <row r="651" spans="1:34">
      <c r="A651" s="2" t="s">
        <v>611</v>
      </c>
      <c r="B651" s="3"/>
      <c r="D651" s="6">
        <v>20250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23">
        <f t="shared" si="20"/>
        <v>20250</v>
      </c>
      <c r="S651" s="6"/>
      <c r="T651" s="23">
        <f t="shared" si="19"/>
        <v>20250</v>
      </c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</row>
    <row r="652" spans="1:34">
      <c r="A652" s="2" t="s">
        <v>612</v>
      </c>
      <c r="B652" s="3"/>
      <c r="D652" s="6">
        <v>9450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23">
        <f t="shared" si="20"/>
        <v>9450</v>
      </c>
      <c r="S652" s="6"/>
      <c r="T652" s="23">
        <f t="shared" si="19"/>
        <v>9450</v>
      </c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</row>
    <row r="653" spans="1:34">
      <c r="A653" s="2" t="s">
        <v>613</v>
      </c>
      <c r="B653" s="3"/>
      <c r="D653" s="6">
        <v>52880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23">
        <f t="shared" si="20"/>
        <v>52880</v>
      </c>
      <c r="S653" s="6"/>
      <c r="T653" s="23">
        <f t="shared" si="19"/>
        <v>52880</v>
      </c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</row>
    <row r="654" spans="1:34">
      <c r="A654" s="2" t="s">
        <v>614</v>
      </c>
      <c r="B654" s="3"/>
      <c r="C654" s="2"/>
      <c r="D654" s="6">
        <v>9994.2300000000032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23">
        <f t="shared" si="20"/>
        <v>9994.2300000000032</v>
      </c>
      <c r="S654" s="6"/>
      <c r="T654" s="23">
        <f t="shared" si="19"/>
        <v>9994.2300000000032</v>
      </c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</row>
    <row r="655" spans="1:34">
      <c r="A655" s="2" t="s">
        <v>615</v>
      </c>
      <c r="B655" s="3"/>
      <c r="D655" s="6">
        <v>180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23">
        <f t="shared" si="20"/>
        <v>180</v>
      </c>
      <c r="S655" s="6"/>
      <c r="T655" s="23">
        <f t="shared" si="19"/>
        <v>180</v>
      </c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</row>
    <row r="656" spans="1:34">
      <c r="A656" s="2" t="s">
        <v>616</v>
      </c>
      <c r="B656" s="3"/>
      <c r="D656" s="6">
        <v>71523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23">
        <f t="shared" si="20"/>
        <v>71523</v>
      </c>
      <c r="S656" s="6"/>
      <c r="T656" s="23">
        <f t="shared" ref="T656:T661" si="21">R656-S656</f>
        <v>71523</v>
      </c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</row>
    <row r="657" spans="1:34">
      <c r="A657" s="2" t="s">
        <v>617</v>
      </c>
      <c r="B657" s="3"/>
      <c r="C657" s="2"/>
      <c r="D657" s="6">
        <v>10200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23">
        <f t="shared" si="20"/>
        <v>10200</v>
      </c>
      <c r="S657" s="6"/>
      <c r="T657" s="23">
        <f t="shared" si="21"/>
        <v>10200</v>
      </c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</row>
    <row r="658" spans="1:34">
      <c r="A658" s="2" t="s">
        <v>618</v>
      </c>
      <c r="B658" s="3"/>
      <c r="D658" s="6">
        <v>32000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23">
        <f t="shared" si="20"/>
        <v>32000</v>
      </c>
      <c r="S658" s="6"/>
      <c r="T658" s="23">
        <f t="shared" si="21"/>
        <v>32000</v>
      </c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</row>
    <row r="659" spans="1:34">
      <c r="A659" s="2" t="s">
        <v>619</v>
      </c>
      <c r="B659" s="3"/>
      <c r="D659" s="6">
        <v>46190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23">
        <f t="shared" si="20"/>
        <v>46190</v>
      </c>
      <c r="S659" s="6"/>
      <c r="T659" s="23">
        <f t="shared" si="21"/>
        <v>46190</v>
      </c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</row>
    <row r="660" spans="1:34">
      <c r="A660" s="2" t="s">
        <v>620</v>
      </c>
      <c r="B660" s="3"/>
      <c r="D660" s="6">
        <v>4920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23">
        <f t="shared" si="20"/>
        <v>4920</v>
      </c>
      <c r="S660" s="6"/>
      <c r="T660" s="23">
        <f t="shared" si="21"/>
        <v>4920</v>
      </c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</row>
    <row r="661" spans="1:34">
      <c r="A661" s="2" t="s">
        <v>621</v>
      </c>
      <c r="B661" s="3"/>
      <c r="D661" s="6">
        <v>7125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23">
        <f t="shared" si="20"/>
        <v>7125</v>
      </c>
      <c r="S661" s="6"/>
      <c r="T661" s="23">
        <f t="shared" si="21"/>
        <v>7125</v>
      </c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</row>
    <row r="662" spans="1:34">
      <c r="A662" s="7" t="s">
        <v>622</v>
      </c>
      <c r="B662" s="3"/>
      <c r="C662" s="2"/>
      <c r="D662" s="7">
        <v>-2000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23">
        <f t="shared" si="20"/>
        <v>-2000</v>
      </c>
      <c r="S662" s="7"/>
      <c r="T662" s="23">
        <f t="shared" ref="T662:T680" si="22">R662-S662</f>
        <v>-2000</v>
      </c>
    </row>
    <row r="663" spans="1:34">
      <c r="A663" s="7" t="s">
        <v>623</v>
      </c>
      <c r="B663" s="3"/>
      <c r="C663" s="2"/>
      <c r="D663" s="7">
        <v>-28400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23">
        <f t="shared" si="20"/>
        <v>-28400</v>
      </c>
      <c r="S663" s="7"/>
      <c r="T663" s="23">
        <f t="shared" si="22"/>
        <v>-28400</v>
      </c>
    </row>
    <row r="664" spans="1:34">
      <c r="A664" s="7" t="s">
        <v>623</v>
      </c>
      <c r="B664" s="3"/>
      <c r="C664" s="2"/>
      <c r="D664" s="7">
        <v>-25000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23">
        <f t="shared" si="20"/>
        <v>-25000</v>
      </c>
      <c r="S664" s="7"/>
      <c r="T664" s="23">
        <f t="shared" si="22"/>
        <v>-25000</v>
      </c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4">
      <c r="A665" s="7" t="s">
        <v>624</v>
      </c>
      <c r="B665" s="3"/>
      <c r="C665" s="2"/>
      <c r="D665" s="7">
        <v>11100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23">
        <f t="shared" si="20"/>
        <v>11100</v>
      </c>
      <c r="S665" s="7"/>
      <c r="T665" s="23">
        <f t="shared" si="22"/>
        <v>11100</v>
      </c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4">
      <c r="A666" s="7" t="s">
        <v>625</v>
      </c>
      <c r="B666" s="3"/>
      <c r="C666" s="2"/>
      <c r="D666" s="7">
        <v>6100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23">
        <f t="shared" si="20"/>
        <v>6100</v>
      </c>
      <c r="S666" s="7"/>
      <c r="T666" s="23">
        <f t="shared" si="22"/>
        <v>6100</v>
      </c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4">
      <c r="A667" s="7" t="s">
        <v>626</v>
      </c>
      <c r="B667" s="3"/>
      <c r="C667" s="2"/>
      <c r="D667" s="7">
        <v>6100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23">
        <f t="shared" si="20"/>
        <v>6100</v>
      </c>
      <c r="S667" s="7"/>
      <c r="T667" s="23">
        <f t="shared" si="22"/>
        <v>6100</v>
      </c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4">
      <c r="A668" s="7" t="s">
        <v>627</v>
      </c>
      <c r="B668" s="3"/>
      <c r="C668" s="2"/>
      <c r="D668" s="7">
        <v>13100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23">
        <f t="shared" si="20"/>
        <v>13100</v>
      </c>
      <c r="S668" s="7"/>
      <c r="T668" s="23">
        <f t="shared" si="22"/>
        <v>13100</v>
      </c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4">
      <c r="A669" s="7" t="s">
        <v>628</v>
      </c>
      <c r="B669" s="3"/>
      <c r="C669" s="2"/>
      <c r="D669" s="7">
        <v>-20000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23">
        <f t="shared" si="20"/>
        <v>-20000</v>
      </c>
      <c r="S669" s="7"/>
      <c r="T669" s="23">
        <f t="shared" si="22"/>
        <v>-20000</v>
      </c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4">
      <c r="A670" s="7" t="s">
        <v>629</v>
      </c>
      <c r="B670" s="3"/>
      <c r="C670" s="2"/>
      <c r="D670" s="7">
        <v>-58000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23">
        <f t="shared" si="20"/>
        <v>-58000</v>
      </c>
      <c r="S670" s="7"/>
      <c r="T670" s="23">
        <f t="shared" si="22"/>
        <v>-58000</v>
      </c>
    </row>
    <row r="671" spans="1:34">
      <c r="A671" s="7" t="s">
        <v>630</v>
      </c>
      <c r="B671" s="3"/>
      <c r="C671" s="2"/>
      <c r="D671" s="7">
        <v>-12871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23">
        <f t="shared" si="20"/>
        <v>-12871</v>
      </c>
      <c r="S671" s="7"/>
      <c r="T671" s="23">
        <f t="shared" si="22"/>
        <v>-12871</v>
      </c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4">
      <c r="A672" s="7" t="s">
        <v>631</v>
      </c>
      <c r="B672" s="3"/>
      <c r="C672" s="2"/>
      <c r="D672" s="7">
        <v>-192510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23">
        <f t="shared" si="20"/>
        <v>-192510</v>
      </c>
      <c r="S672" s="7"/>
      <c r="T672" s="23">
        <f t="shared" si="22"/>
        <v>-192510</v>
      </c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>
      <c r="A673" s="7" t="s">
        <v>632</v>
      </c>
      <c r="B673" s="3"/>
      <c r="C673" s="2"/>
      <c r="D673" s="7">
        <v>-5500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23">
        <f t="shared" si="20"/>
        <v>-5500</v>
      </c>
      <c r="S673" s="7"/>
      <c r="T673" s="23">
        <f t="shared" si="22"/>
        <v>-5500</v>
      </c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>
      <c r="A674" s="7" t="s">
        <v>633</v>
      </c>
      <c r="B674" s="3"/>
      <c r="C674" s="2"/>
      <c r="D674" s="7">
        <v>6750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23">
        <f t="shared" si="20"/>
        <v>6750</v>
      </c>
      <c r="S674" s="7"/>
      <c r="T674" s="23">
        <f t="shared" si="22"/>
        <v>6750</v>
      </c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>
      <c r="A675" s="7" t="s">
        <v>634</v>
      </c>
      <c r="B675" s="3"/>
      <c r="C675" s="2"/>
      <c r="D675" s="7">
        <v>77278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23">
        <f t="shared" si="20"/>
        <v>77278</v>
      </c>
      <c r="S675" s="7"/>
      <c r="T675" s="23">
        <f t="shared" si="22"/>
        <v>77278</v>
      </c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>
      <c r="A676" s="7" t="s">
        <v>635</v>
      </c>
      <c r="B676" s="3"/>
      <c r="C676" s="2"/>
      <c r="D676" s="7">
        <v>17485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23">
        <f t="shared" si="20"/>
        <v>17485</v>
      </c>
      <c r="S676" s="7"/>
      <c r="T676" s="23">
        <f t="shared" si="22"/>
        <v>17485</v>
      </c>
    </row>
    <row r="677" spans="1:30">
      <c r="A677" s="7" t="s">
        <v>636</v>
      </c>
      <c r="B677" s="3"/>
      <c r="C677" s="2"/>
      <c r="D677" s="7">
        <v>3845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23">
        <f t="shared" si="20"/>
        <v>3845</v>
      </c>
      <c r="S677" s="7"/>
      <c r="T677" s="23">
        <f t="shared" si="22"/>
        <v>3845</v>
      </c>
    </row>
    <row r="678" spans="1:30">
      <c r="A678" s="7" t="s">
        <v>637</v>
      </c>
      <c r="B678" s="3"/>
      <c r="C678" s="2"/>
      <c r="D678" s="7">
        <v>33364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23">
        <f t="shared" si="20"/>
        <v>33364</v>
      </c>
      <c r="S678" s="7"/>
      <c r="T678" s="23">
        <f t="shared" si="22"/>
        <v>33364</v>
      </c>
    </row>
    <row r="679" spans="1:30">
      <c r="A679" s="7" t="s">
        <v>638</v>
      </c>
      <c r="B679" s="3"/>
      <c r="C679" s="2"/>
      <c r="D679" s="7">
        <v>8250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23">
        <f t="shared" si="20"/>
        <v>8250</v>
      </c>
      <c r="S679" s="7"/>
      <c r="T679" s="23">
        <f t="shared" si="22"/>
        <v>8250</v>
      </c>
    </row>
    <row r="680" spans="1:30">
      <c r="A680" s="7" t="s">
        <v>639</v>
      </c>
      <c r="B680" s="3"/>
      <c r="C680" s="2"/>
      <c r="D680" s="7">
        <v>9925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23">
        <f t="shared" si="20"/>
        <v>9925</v>
      </c>
      <c r="S680" s="7"/>
      <c r="T680" s="23">
        <f t="shared" si="22"/>
        <v>9925</v>
      </c>
    </row>
    <row r="681" spans="1:30">
      <c r="A681" s="7" t="s">
        <v>640</v>
      </c>
      <c r="B681" s="3"/>
      <c r="C681" s="2"/>
      <c r="D681" s="7">
        <v>2400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23">
        <f t="shared" si="20"/>
        <v>2400</v>
      </c>
      <c r="S681" s="7"/>
      <c r="T681" s="23">
        <f t="shared" ref="T681:T698" si="23">R681-S681</f>
        <v>2400</v>
      </c>
    </row>
    <row r="682" spans="1:30">
      <c r="A682" s="7" t="s">
        <v>641</v>
      </c>
      <c r="B682" s="3"/>
      <c r="C682" s="2"/>
      <c r="D682" s="7">
        <v>8000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23">
        <f t="shared" si="20"/>
        <v>8000</v>
      </c>
      <c r="S682" s="7"/>
      <c r="T682" s="23">
        <f t="shared" si="23"/>
        <v>8000</v>
      </c>
    </row>
    <row r="683" spans="1:30">
      <c r="A683" s="7" t="s">
        <v>642</v>
      </c>
      <c r="B683" s="3"/>
      <c r="C683" s="2"/>
      <c r="D683" s="7">
        <v>9500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23">
        <f t="shared" si="20"/>
        <v>9500</v>
      </c>
      <c r="S683" s="7"/>
      <c r="T683" s="23">
        <f t="shared" si="23"/>
        <v>9500</v>
      </c>
    </row>
    <row r="684" spans="1:30">
      <c r="A684" s="7" t="s">
        <v>643</v>
      </c>
      <c r="B684" s="3"/>
      <c r="C684" s="2"/>
      <c r="D684" s="7">
        <v>25000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23">
        <f t="shared" si="20"/>
        <v>25000</v>
      </c>
      <c r="S684" s="7"/>
      <c r="T684" s="23">
        <f t="shared" si="23"/>
        <v>25000</v>
      </c>
    </row>
    <row r="685" spans="1:30">
      <c r="A685" s="7" t="s">
        <v>644</v>
      </c>
      <c r="B685" s="3"/>
      <c r="C685" s="2"/>
      <c r="D685" s="7">
        <v>6425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23">
        <f t="shared" si="20"/>
        <v>6425</v>
      </c>
      <c r="S685" s="7"/>
      <c r="T685" s="23">
        <f t="shared" si="23"/>
        <v>6425</v>
      </c>
    </row>
    <row r="686" spans="1:30">
      <c r="A686" s="7" t="s">
        <v>645</v>
      </c>
      <c r="B686" s="3"/>
      <c r="C686" s="2"/>
      <c r="D686" s="7">
        <v>11200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23">
        <f t="shared" si="20"/>
        <v>11200</v>
      </c>
      <c r="S686" s="7"/>
      <c r="T686" s="23">
        <f t="shared" si="23"/>
        <v>11200</v>
      </c>
    </row>
    <row r="687" spans="1:30">
      <c r="A687" s="7" t="s">
        <v>646</v>
      </c>
      <c r="B687" s="3"/>
      <c r="C687" s="2"/>
      <c r="D687" s="7">
        <v>7447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23">
        <f t="shared" si="20"/>
        <v>7447</v>
      </c>
      <c r="S687" s="7"/>
      <c r="T687" s="23">
        <f t="shared" si="23"/>
        <v>7447</v>
      </c>
    </row>
    <row r="688" spans="1:30">
      <c r="A688" s="7" t="s">
        <v>647</v>
      </c>
      <c r="B688" s="3"/>
      <c r="C688" s="2"/>
      <c r="D688" s="7">
        <v>9370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23">
        <f t="shared" si="20"/>
        <v>9370</v>
      </c>
      <c r="S688" s="7"/>
      <c r="T688" s="23">
        <f t="shared" si="23"/>
        <v>9370</v>
      </c>
    </row>
    <row r="689" spans="1:30">
      <c r="A689" s="7" t="s">
        <v>648</v>
      </c>
      <c r="B689" s="3"/>
      <c r="C689" s="2"/>
      <c r="D689" s="7">
        <v>4900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23">
        <f t="shared" si="20"/>
        <v>4900</v>
      </c>
      <c r="S689" s="7"/>
      <c r="T689" s="23">
        <f t="shared" si="23"/>
        <v>4900</v>
      </c>
    </row>
    <row r="690" spans="1:30">
      <c r="A690" s="7" t="s">
        <v>300</v>
      </c>
      <c r="B690" s="3"/>
      <c r="C690" s="2">
        <v>2648</v>
      </c>
      <c r="D690" s="7">
        <v>29152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23">
        <f t="shared" si="20"/>
        <v>29152</v>
      </c>
      <c r="S690" s="7"/>
      <c r="T690" s="23">
        <f t="shared" si="23"/>
        <v>29152</v>
      </c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spans="1:30">
      <c r="A691" s="15" t="s">
        <v>649</v>
      </c>
      <c r="B691" s="3"/>
      <c r="C691" s="15"/>
      <c r="D691" s="15">
        <v>0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23">
        <f t="shared" ref="R691:R736" si="24">SUM(D691:K691)</f>
        <v>0</v>
      </c>
      <c r="S691" s="15"/>
      <c r="T691" s="23">
        <f t="shared" si="23"/>
        <v>0</v>
      </c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spans="1:30">
      <c r="A692" s="15" t="s">
        <v>651</v>
      </c>
      <c r="B692" s="3"/>
      <c r="C692" s="15"/>
      <c r="D692" s="15">
        <v>735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23">
        <f t="shared" si="24"/>
        <v>735</v>
      </c>
      <c r="S692" s="15"/>
      <c r="T692" s="23">
        <f t="shared" si="23"/>
        <v>735</v>
      </c>
    </row>
    <row r="693" spans="1:30">
      <c r="A693" s="15" t="s">
        <v>652</v>
      </c>
      <c r="B693" s="3"/>
      <c r="C693" s="15"/>
      <c r="D693" s="15">
        <v>0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23">
        <f t="shared" si="24"/>
        <v>0</v>
      </c>
      <c r="S693" s="15"/>
      <c r="T693" s="23">
        <f t="shared" si="23"/>
        <v>0</v>
      </c>
    </row>
    <row r="694" spans="1:30">
      <c r="A694" s="15" t="s">
        <v>653</v>
      </c>
      <c r="B694" s="3"/>
      <c r="C694" s="15"/>
      <c r="D694" s="15">
        <v>700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23">
        <f t="shared" si="24"/>
        <v>700</v>
      </c>
      <c r="S694" s="15"/>
      <c r="T694" s="23">
        <f t="shared" si="23"/>
        <v>700</v>
      </c>
    </row>
    <row r="695" spans="1:30">
      <c r="A695" s="15" t="s">
        <v>654</v>
      </c>
      <c r="B695" s="3"/>
      <c r="C695" s="15"/>
      <c r="D695" s="15">
        <v>50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23">
        <f t="shared" si="24"/>
        <v>50</v>
      </c>
      <c r="S695" s="15"/>
      <c r="T695" s="23">
        <f t="shared" si="23"/>
        <v>50</v>
      </c>
    </row>
    <row r="696" spans="1:30">
      <c r="A696" s="15" t="s">
        <v>655</v>
      </c>
      <c r="B696" s="3"/>
      <c r="C696" s="15"/>
      <c r="D696" s="15">
        <v>100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23">
        <f t="shared" si="24"/>
        <v>100</v>
      </c>
      <c r="S696" s="15"/>
      <c r="T696" s="23">
        <f t="shared" si="23"/>
        <v>100</v>
      </c>
    </row>
    <row r="697" spans="1:30">
      <c r="A697" s="15" t="s">
        <v>656</v>
      </c>
      <c r="B697" s="3"/>
      <c r="C697" s="15"/>
      <c r="D697" s="15">
        <v>94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23">
        <f t="shared" si="24"/>
        <v>94</v>
      </c>
      <c r="S697" s="15"/>
      <c r="T697" s="23">
        <f t="shared" si="23"/>
        <v>94</v>
      </c>
    </row>
    <row r="698" spans="1:30">
      <c r="A698" s="15" t="s">
        <v>657</v>
      </c>
      <c r="B698" s="3"/>
      <c r="C698" s="15"/>
      <c r="D698" s="15">
        <v>313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23">
        <f t="shared" si="24"/>
        <v>313</v>
      </c>
      <c r="S698" s="15"/>
      <c r="T698" s="23">
        <f t="shared" si="23"/>
        <v>313</v>
      </c>
    </row>
    <row r="699" spans="1:30">
      <c r="A699" s="15" t="s">
        <v>659</v>
      </c>
      <c r="B699" s="3"/>
      <c r="C699" s="15"/>
      <c r="D699" s="15">
        <v>60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23">
        <f t="shared" si="24"/>
        <v>60</v>
      </c>
      <c r="S699" s="15"/>
      <c r="T699" s="23">
        <f t="shared" ref="T699:T755" si="25">R699-S699</f>
        <v>60</v>
      </c>
    </row>
    <row r="700" spans="1:30">
      <c r="A700" s="15" t="s">
        <v>660</v>
      </c>
      <c r="B700" s="3"/>
      <c r="C700" s="15"/>
      <c r="D700" s="15">
        <v>85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23">
        <f t="shared" si="24"/>
        <v>85</v>
      </c>
      <c r="S700" s="15"/>
      <c r="T700" s="23">
        <f t="shared" si="25"/>
        <v>85</v>
      </c>
    </row>
    <row r="701" spans="1:30">
      <c r="A701" s="15" t="s">
        <v>661</v>
      </c>
      <c r="B701" s="3"/>
      <c r="C701" s="15"/>
      <c r="D701" s="15">
        <v>0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23">
        <f t="shared" si="24"/>
        <v>0</v>
      </c>
      <c r="S701" s="15"/>
      <c r="T701" s="23">
        <f t="shared" si="25"/>
        <v>0</v>
      </c>
    </row>
    <row r="702" spans="1:30">
      <c r="A702" s="15" t="s">
        <v>662</v>
      </c>
      <c r="B702" s="3"/>
      <c r="C702" s="15"/>
      <c r="D702" s="15">
        <v>0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23">
        <f t="shared" si="24"/>
        <v>0</v>
      </c>
      <c r="S702" s="15"/>
      <c r="T702" s="23">
        <f t="shared" si="25"/>
        <v>0</v>
      </c>
    </row>
    <row r="703" spans="1:30">
      <c r="A703" s="15" t="s">
        <v>663</v>
      </c>
      <c r="B703" s="3"/>
      <c r="C703" s="15"/>
      <c r="D703" s="15">
        <v>0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23">
        <f t="shared" si="24"/>
        <v>0</v>
      </c>
      <c r="S703" s="15"/>
      <c r="T703" s="23">
        <f t="shared" si="25"/>
        <v>0</v>
      </c>
    </row>
    <row r="704" spans="1:30">
      <c r="A704" s="15" t="s">
        <v>664</v>
      </c>
      <c r="B704" s="3"/>
      <c r="C704" s="15"/>
      <c r="D704" s="15">
        <v>0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23">
        <f t="shared" si="24"/>
        <v>0</v>
      </c>
      <c r="S704" s="15"/>
      <c r="T704" s="23">
        <f t="shared" si="25"/>
        <v>0</v>
      </c>
    </row>
    <row r="705" spans="1:20">
      <c r="A705" s="15" t="s">
        <v>665</v>
      </c>
      <c r="B705" s="3"/>
      <c r="C705" s="15"/>
      <c r="D705" s="15">
        <v>1509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23">
        <f t="shared" si="24"/>
        <v>1509</v>
      </c>
      <c r="S705" s="15"/>
      <c r="T705" s="23">
        <f t="shared" si="25"/>
        <v>1509</v>
      </c>
    </row>
    <row r="706" spans="1:20">
      <c r="A706" s="15" t="s">
        <v>331</v>
      </c>
      <c r="B706" s="3"/>
      <c r="C706" s="15"/>
      <c r="D706" s="15">
        <v>580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23">
        <f t="shared" si="24"/>
        <v>580</v>
      </c>
      <c r="S706" s="15"/>
      <c r="T706" s="23">
        <f t="shared" si="25"/>
        <v>580</v>
      </c>
    </row>
    <row r="707" spans="1:20">
      <c r="A707" s="15" t="s">
        <v>56</v>
      </c>
      <c r="B707" s="3"/>
      <c r="C707" s="15"/>
      <c r="D707" s="15">
        <v>840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23">
        <f t="shared" si="24"/>
        <v>840</v>
      </c>
      <c r="S707" s="15"/>
      <c r="T707" s="23">
        <f t="shared" si="25"/>
        <v>840</v>
      </c>
    </row>
    <row r="708" spans="1:20">
      <c r="A708" s="15" t="s">
        <v>666</v>
      </c>
      <c r="B708" s="3"/>
      <c r="C708" s="15">
        <v>-2385</v>
      </c>
      <c r="D708" s="15">
        <v>70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23">
        <f t="shared" si="24"/>
        <v>70</v>
      </c>
      <c r="S708" s="15"/>
      <c r="T708" s="23">
        <f t="shared" si="25"/>
        <v>70</v>
      </c>
    </row>
    <row r="709" spans="1:20">
      <c r="A709" s="15" t="s">
        <v>205</v>
      </c>
      <c r="B709" s="3"/>
      <c r="C709" s="15"/>
      <c r="D709" s="15">
        <v>0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23">
        <f t="shared" si="24"/>
        <v>0</v>
      </c>
      <c r="S709" s="15"/>
      <c r="T709" s="23">
        <f t="shared" si="25"/>
        <v>0</v>
      </c>
    </row>
    <row r="710" spans="1:20">
      <c r="A710" s="15" t="s">
        <v>667</v>
      </c>
      <c r="B710" s="3"/>
      <c r="C710" s="15"/>
      <c r="D710" s="15">
        <v>365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23">
        <f t="shared" si="24"/>
        <v>365</v>
      </c>
      <c r="S710" s="15"/>
      <c r="T710" s="23">
        <f t="shared" si="25"/>
        <v>365</v>
      </c>
    </row>
    <row r="711" spans="1:20">
      <c r="A711" s="15" t="s">
        <v>668</v>
      </c>
      <c r="B711" s="3"/>
      <c r="C711" s="15"/>
      <c r="D711" s="15">
        <v>2674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23">
        <f t="shared" si="24"/>
        <v>2674</v>
      </c>
      <c r="S711" s="15"/>
      <c r="T711" s="23">
        <f t="shared" si="25"/>
        <v>2674</v>
      </c>
    </row>
    <row r="712" spans="1:20">
      <c r="A712" s="15" t="s">
        <v>669</v>
      </c>
      <c r="B712" s="3"/>
      <c r="C712" s="15"/>
      <c r="D712" s="15">
        <v>740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23">
        <f t="shared" si="24"/>
        <v>740</v>
      </c>
      <c r="S712" s="15"/>
      <c r="T712" s="23">
        <f t="shared" si="25"/>
        <v>740</v>
      </c>
    </row>
    <row r="713" spans="1:20">
      <c r="A713" s="15" t="s">
        <v>670</v>
      </c>
      <c r="B713" s="3"/>
      <c r="C713" s="15"/>
      <c r="D713" s="15">
        <v>0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23">
        <f t="shared" si="24"/>
        <v>0</v>
      </c>
      <c r="S713" s="15"/>
      <c r="T713" s="23">
        <f t="shared" si="25"/>
        <v>0</v>
      </c>
    </row>
    <row r="714" spans="1:20">
      <c r="A714" s="15" t="s">
        <v>671</v>
      </c>
      <c r="B714" s="3"/>
      <c r="C714" s="15"/>
      <c r="D714" s="15">
        <v>1320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23">
        <f t="shared" si="24"/>
        <v>1320</v>
      </c>
      <c r="S714" s="15"/>
      <c r="T714" s="23">
        <f t="shared" si="25"/>
        <v>1320</v>
      </c>
    </row>
    <row r="715" spans="1:20">
      <c r="A715" s="15" t="s">
        <v>672</v>
      </c>
      <c r="B715" s="3"/>
      <c r="C715" s="15"/>
      <c r="D715" s="15">
        <v>700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23">
        <f t="shared" si="24"/>
        <v>700</v>
      </c>
      <c r="S715" s="15"/>
      <c r="T715" s="23">
        <f t="shared" si="25"/>
        <v>700</v>
      </c>
    </row>
    <row r="716" spans="1:20">
      <c r="A716" s="15" t="s">
        <v>673</v>
      </c>
      <c r="B716" s="3"/>
      <c r="C716" s="15"/>
      <c r="D716" s="15">
        <v>650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23">
        <f t="shared" si="24"/>
        <v>650</v>
      </c>
      <c r="S716" s="15"/>
      <c r="T716" s="23">
        <f t="shared" si="25"/>
        <v>650</v>
      </c>
    </row>
    <row r="717" spans="1:20">
      <c r="A717" s="15" t="s">
        <v>341</v>
      </c>
      <c r="B717" s="3"/>
      <c r="C717" s="15"/>
      <c r="D717" s="15">
        <v>860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23">
        <f t="shared" si="24"/>
        <v>860</v>
      </c>
      <c r="S717" s="15"/>
      <c r="T717" s="23">
        <f t="shared" si="25"/>
        <v>860</v>
      </c>
    </row>
    <row r="718" spans="1:20">
      <c r="A718" s="15" t="s">
        <v>674</v>
      </c>
      <c r="B718" s="3"/>
      <c r="C718" s="15"/>
      <c r="D718" s="15">
        <v>960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23">
        <f t="shared" si="24"/>
        <v>960</v>
      </c>
      <c r="S718" s="15"/>
      <c r="T718" s="23">
        <f t="shared" si="25"/>
        <v>960</v>
      </c>
    </row>
    <row r="719" spans="1:20">
      <c r="A719" s="15" t="s">
        <v>237</v>
      </c>
      <c r="B719" s="3"/>
      <c r="C719" s="15"/>
      <c r="D719" s="15">
        <v>605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23">
        <f t="shared" si="24"/>
        <v>605</v>
      </c>
      <c r="S719" s="15"/>
      <c r="T719" s="23">
        <f t="shared" si="25"/>
        <v>605</v>
      </c>
    </row>
    <row r="720" spans="1:20">
      <c r="A720" s="15" t="s">
        <v>675</v>
      </c>
      <c r="B720" s="3"/>
      <c r="C720" s="15"/>
      <c r="D720" s="15">
        <v>100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23">
        <f t="shared" si="24"/>
        <v>100</v>
      </c>
      <c r="S720" s="15"/>
      <c r="T720" s="23">
        <f t="shared" si="25"/>
        <v>100</v>
      </c>
    </row>
    <row r="721" spans="1:20">
      <c r="A721" s="15" t="s">
        <v>516</v>
      </c>
      <c r="B721" s="3"/>
      <c r="C721" s="15"/>
      <c r="D721" s="15">
        <v>20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23">
        <f t="shared" si="24"/>
        <v>20</v>
      </c>
      <c r="S721" s="15"/>
      <c r="T721" s="23">
        <f t="shared" si="25"/>
        <v>20</v>
      </c>
    </row>
    <row r="722" spans="1:20">
      <c r="A722" s="15" t="s">
        <v>676</v>
      </c>
      <c r="B722" s="3"/>
      <c r="C722" s="15"/>
      <c r="D722" s="15">
        <v>1624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23">
        <f t="shared" si="24"/>
        <v>1624</v>
      </c>
      <c r="S722" s="15"/>
      <c r="T722" s="23">
        <f t="shared" si="25"/>
        <v>1624</v>
      </c>
    </row>
    <row r="723" spans="1:20">
      <c r="A723" s="15" t="s">
        <v>322</v>
      </c>
      <c r="B723" s="3"/>
      <c r="C723" s="15"/>
      <c r="D723" s="15">
        <v>4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23">
        <f t="shared" si="24"/>
        <v>4</v>
      </c>
      <c r="S723" s="15"/>
      <c r="T723" s="23">
        <f t="shared" si="25"/>
        <v>4</v>
      </c>
    </row>
    <row r="724" spans="1:20">
      <c r="A724" s="15" t="s">
        <v>323</v>
      </c>
      <c r="B724" s="3"/>
      <c r="C724" s="15"/>
      <c r="D724" s="15">
        <v>0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23">
        <f t="shared" si="24"/>
        <v>0</v>
      </c>
      <c r="S724" s="15"/>
      <c r="T724" s="23">
        <f t="shared" si="25"/>
        <v>0</v>
      </c>
    </row>
    <row r="725" spans="1:20">
      <c r="A725" s="15" t="s">
        <v>677</v>
      </c>
      <c r="B725" s="3"/>
      <c r="C725" s="15"/>
      <c r="D725" s="15">
        <v>290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23">
        <f t="shared" si="24"/>
        <v>290</v>
      </c>
      <c r="S725" s="15"/>
      <c r="T725" s="23">
        <f t="shared" si="25"/>
        <v>290</v>
      </c>
    </row>
    <row r="726" spans="1:20">
      <c r="A726" s="15" t="s">
        <v>678</v>
      </c>
      <c r="B726" s="3"/>
      <c r="C726" s="15"/>
      <c r="D726" s="15">
        <v>30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23">
        <f t="shared" si="24"/>
        <v>30</v>
      </c>
      <c r="S726" s="15"/>
      <c r="T726" s="23">
        <f t="shared" si="25"/>
        <v>30</v>
      </c>
    </row>
    <row r="727" spans="1:20">
      <c r="A727" s="15" t="s">
        <v>679</v>
      </c>
      <c r="B727" s="3"/>
      <c r="C727" s="15"/>
      <c r="D727" s="15">
        <v>220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23">
        <f t="shared" si="24"/>
        <v>220</v>
      </c>
      <c r="S727" s="15"/>
      <c r="T727" s="23">
        <f t="shared" si="25"/>
        <v>220</v>
      </c>
    </row>
    <row r="728" spans="1:20">
      <c r="A728" s="15" t="s">
        <v>680</v>
      </c>
      <c r="B728" s="3"/>
      <c r="C728" s="15"/>
      <c r="D728" s="15">
        <v>12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23">
        <f t="shared" si="24"/>
        <v>12</v>
      </c>
      <c r="S728" s="15"/>
      <c r="T728" s="23">
        <f t="shared" si="25"/>
        <v>12</v>
      </c>
    </row>
    <row r="729" spans="1:20">
      <c r="A729" s="15" t="s">
        <v>681</v>
      </c>
      <c r="B729" s="3"/>
      <c r="C729" s="15"/>
      <c r="D729" s="15">
        <v>330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23">
        <f t="shared" si="24"/>
        <v>330</v>
      </c>
      <c r="S729" s="15"/>
      <c r="T729" s="23">
        <f t="shared" si="25"/>
        <v>330</v>
      </c>
    </row>
    <row r="730" spans="1:20">
      <c r="A730" s="15" t="s">
        <v>682</v>
      </c>
      <c r="B730" s="3"/>
      <c r="C730" s="15"/>
      <c r="D730" s="15">
        <v>1100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23">
        <f t="shared" si="24"/>
        <v>1100</v>
      </c>
      <c r="S730" s="15"/>
      <c r="T730" s="23">
        <f t="shared" si="25"/>
        <v>1100</v>
      </c>
    </row>
    <row r="731" spans="1:20">
      <c r="A731" s="15" t="s">
        <v>683</v>
      </c>
      <c r="B731" s="3"/>
      <c r="C731" s="15"/>
      <c r="D731" s="15">
        <v>0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23">
        <f t="shared" si="24"/>
        <v>0</v>
      </c>
      <c r="S731" s="15"/>
      <c r="T731" s="23">
        <f t="shared" si="25"/>
        <v>0</v>
      </c>
    </row>
    <row r="732" spans="1:20">
      <c r="A732" s="15" t="s">
        <v>684</v>
      </c>
      <c r="B732" s="3"/>
      <c r="C732" s="15"/>
      <c r="D732" s="15">
        <v>166000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23">
        <f t="shared" si="24"/>
        <v>166000</v>
      </c>
      <c r="S732" s="15"/>
      <c r="T732" s="23">
        <f t="shared" si="25"/>
        <v>166000</v>
      </c>
    </row>
    <row r="733" spans="1:20">
      <c r="A733" s="15" t="s">
        <v>685</v>
      </c>
      <c r="B733" s="3"/>
      <c r="C733" s="15"/>
      <c r="D733" s="15">
        <v>500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23">
        <f t="shared" si="24"/>
        <v>500</v>
      </c>
      <c r="S733" s="15"/>
      <c r="T733" s="23">
        <f t="shared" si="25"/>
        <v>500</v>
      </c>
    </row>
    <row r="734" spans="1:20">
      <c r="A734" s="15" t="s">
        <v>686</v>
      </c>
      <c r="B734" s="3"/>
      <c r="C734" s="15"/>
      <c r="D734" s="15">
        <v>8990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23">
        <f t="shared" si="24"/>
        <v>8990</v>
      </c>
      <c r="S734" s="15"/>
      <c r="T734" s="23">
        <f t="shared" si="25"/>
        <v>8990</v>
      </c>
    </row>
    <row r="735" spans="1:20">
      <c r="A735" s="15" t="s">
        <v>687</v>
      </c>
      <c r="B735" s="3"/>
      <c r="C735" s="15"/>
      <c r="D735" s="15">
        <v>302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23">
        <f t="shared" si="24"/>
        <v>302</v>
      </c>
      <c r="S735" s="15"/>
      <c r="T735" s="23">
        <f t="shared" si="25"/>
        <v>302</v>
      </c>
    </row>
    <row r="736" spans="1:20">
      <c r="A736" s="15" t="s">
        <v>688</v>
      </c>
      <c r="B736" s="3"/>
      <c r="C736" s="15"/>
      <c r="D736" s="15">
        <v>550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23">
        <f t="shared" si="24"/>
        <v>550</v>
      </c>
      <c r="S736" s="15"/>
      <c r="T736" s="23">
        <f t="shared" si="25"/>
        <v>550</v>
      </c>
    </row>
    <row r="737" spans="1:20">
      <c r="A737" s="15" t="s">
        <v>689</v>
      </c>
      <c r="B737" s="3"/>
      <c r="C737" s="15"/>
      <c r="D737" s="15">
        <v>5000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23">
        <f t="shared" ref="R737:R800" si="26">SUM(D737:K737)</f>
        <v>5000</v>
      </c>
      <c r="S737" s="15"/>
      <c r="T737" s="23">
        <f t="shared" si="25"/>
        <v>5000</v>
      </c>
    </row>
    <row r="738" spans="1:20">
      <c r="A738" s="15" t="s">
        <v>690</v>
      </c>
      <c r="B738" s="3"/>
      <c r="C738" s="15"/>
      <c r="D738" s="15">
        <v>3380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23">
        <f t="shared" si="26"/>
        <v>3380</v>
      </c>
      <c r="S738" s="15"/>
      <c r="T738" s="23">
        <f t="shared" si="25"/>
        <v>3380</v>
      </c>
    </row>
    <row r="739" spans="1:20">
      <c r="A739" s="15" t="s">
        <v>691</v>
      </c>
      <c r="B739" s="3"/>
      <c r="C739" s="15"/>
      <c r="D739" s="15">
        <v>645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23">
        <f t="shared" si="26"/>
        <v>645</v>
      </c>
      <c r="S739" s="15"/>
      <c r="T739" s="23">
        <f t="shared" si="25"/>
        <v>645</v>
      </c>
    </row>
    <row r="740" spans="1:20">
      <c r="A740" s="15" t="s">
        <v>692</v>
      </c>
      <c r="B740" s="3"/>
      <c r="C740" s="15"/>
      <c r="D740" s="15">
        <v>-21500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23">
        <f t="shared" si="26"/>
        <v>-21500</v>
      </c>
      <c r="S740" s="15"/>
      <c r="T740" s="23">
        <f t="shared" si="25"/>
        <v>-21500</v>
      </c>
    </row>
    <row r="741" spans="1:20">
      <c r="A741" s="15" t="s">
        <v>693</v>
      </c>
      <c r="B741" s="3"/>
      <c r="C741" s="15"/>
      <c r="D741" s="15">
        <v>100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23">
        <f t="shared" si="26"/>
        <v>100</v>
      </c>
      <c r="S741" s="15"/>
      <c r="T741" s="23">
        <f t="shared" si="25"/>
        <v>100</v>
      </c>
    </row>
    <row r="742" spans="1:20">
      <c r="A742" s="15" t="s">
        <v>694</v>
      </c>
      <c r="B742" s="3"/>
      <c r="C742" s="15"/>
      <c r="D742" s="15">
        <v>600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23">
        <f t="shared" si="26"/>
        <v>600</v>
      </c>
      <c r="S742" s="15"/>
      <c r="T742" s="23">
        <f t="shared" si="25"/>
        <v>600</v>
      </c>
    </row>
    <row r="743" spans="1:20">
      <c r="A743" s="15" t="s">
        <v>695</v>
      </c>
      <c r="B743" s="3"/>
      <c r="C743" s="15"/>
      <c r="D743" s="15">
        <v>40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23">
        <f t="shared" si="26"/>
        <v>40</v>
      </c>
      <c r="S743" s="15"/>
      <c r="T743" s="23">
        <f t="shared" si="25"/>
        <v>40</v>
      </c>
    </row>
    <row r="744" spans="1:20">
      <c r="A744" s="15" t="s">
        <v>331</v>
      </c>
      <c r="B744" s="3"/>
      <c r="C744" s="15"/>
      <c r="D744" s="15">
        <v>559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23">
        <f t="shared" si="26"/>
        <v>559</v>
      </c>
      <c r="S744" s="15"/>
      <c r="T744" s="23">
        <f t="shared" si="25"/>
        <v>559</v>
      </c>
    </row>
    <row r="745" spans="1:20">
      <c r="A745" s="15" t="s">
        <v>331</v>
      </c>
      <c r="B745" s="3"/>
      <c r="C745" s="15"/>
      <c r="D745" s="15">
        <v>450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23">
        <f t="shared" si="26"/>
        <v>450</v>
      </c>
      <c r="S745" s="15"/>
      <c r="T745" s="23">
        <f t="shared" si="25"/>
        <v>450</v>
      </c>
    </row>
    <row r="746" spans="1:20">
      <c r="A746" s="15" t="s">
        <v>696</v>
      </c>
      <c r="B746" s="3"/>
      <c r="C746" s="15"/>
      <c r="D746" s="15">
        <v>445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23">
        <f t="shared" si="26"/>
        <v>445</v>
      </c>
      <c r="S746" s="15"/>
      <c r="T746" s="23">
        <f t="shared" si="25"/>
        <v>445</v>
      </c>
    </row>
    <row r="747" spans="1:20">
      <c r="A747" s="15" t="s">
        <v>697</v>
      </c>
      <c r="B747" s="3"/>
      <c r="C747" s="15"/>
      <c r="D747" s="15">
        <v>700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23">
        <f t="shared" si="26"/>
        <v>700</v>
      </c>
      <c r="S747" s="15"/>
      <c r="T747" s="23">
        <f t="shared" si="25"/>
        <v>700</v>
      </c>
    </row>
    <row r="748" spans="1:20">
      <c r="A748" s="15" t="s">
        <v>623</v>
      </c>
      <c r="B748" s="3"/>
      <c r="C748" s="15"/>
      <c r="D748" s="15">
        <v>25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23">
        <f t="shared" si="26"/>
        <v>25</v>
      </c>
      <c r="S748" s="15"/>
      <c r="T748" s="23">
        <f t="shared" si="25"/>
        <v>25</v>
      </c>
    </row>
    <row r="749" spans="1:20">
      <c r="A749" s="15" t="s">
        <v>698</v>
      </c>
      <c r="B749" s="3"/>
      <c r="C749" s="15"/>
      <c r="D749" s="15">
        <v>160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23">
        <f t="shared" si="26"/>
        <v>160</v>
      </c>
      <c r="S749" s="15"/>
      <c r="T749" s="23">
        <f t="shared" si="25"/>
        <v>160</v>
      </c>
    </row>
    <row r="750" spans="1:20">
      <c r="A750" s="15" t="s">
        <v>699</v>
      </c>
      <c r="B750" s="3"/>
      <c r="C750" s="15"/>
      <c r="D750" s="15">
        <v>2000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23">
        <f t="shared" si="26"/>
        <v>2000</v>
      </c>
      <c r="S750" s="15"/>
      <c r="T750" s="23">
        <f t="shared" si="25"/>
        <v>2000</v>
      </c>
    </row>
    <row r="751" spans="1:20">
      <c r="A751" s="15" t="s">
        <v>700</v>
      </c>
      <c r="B751" s="3"/>
      <c r="C751" s="15"/>
      <c r="D751" s="15">
        <v>2000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23">
        <f t="shared" si="26"/>
        <v>2000</v>
      </c>
      <c r="S751" s="15"/>
      <c r="T751" s="23">
        <f t="shared" si="25"/>
        <v>2000</v>
      </c>
    </row>
    <row r="752" spans="1:20">
      <c r="A752" s="15" t="s">
        <v>701</v>
      </c>
      <c r="B752" s="3"/>
      <c r="C752" s="15"/>
      <c r="D752" s="15">
        <v>1500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23">
        <f t="shared" si="26"/>
        <v>1500</v>
      </c>
      <c r="S752" s="15"/>
      <c r="T752" s="23">
        <f t="shared" si="25"/>
        <v>1500</v>
      </c>
    </row>
    <row r="753" spans="1:20">
      <c r="A753" s="15" t="s">
        <v>310</v>
      </c>
      <c r="B753" s="3"/>
      <c r="C753" s="15"/>
      <c r="D753" s="15">
        <v>418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23">
        <f t="shared" si="26"/>
        <v>418</v>
      </c>
      <c r="S753" s="15"/>
      <c r="T753" s="23">
        <f t="shared" si="25"/>
        <v>418</v>
      </c>
    </row>
    <row r="754" spans="1:20">
      <c r="A754" s="15" t="s">
        <v>311</v>
      </c>
      <c r="B754" s="3"/>
      <c r="C754" s="15"/>
      <c r="D754" s="15">
        <v>100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23">
        <f t="shared" si="26"/>
        <v>100</v>
      </c>
      <c r="S754" s="15"/>
      <c r="T754" s="23">
        <f t="shared" si="25"/>
        <v>100</v>
      </c>
    </row>
    <row r="755" spans="1:20">
      <c r="A755" s="15" t="s">
        <v>702</v>
      </c>
      <c r="B755" s="3"/>
      <c r="C755" s="15"/>
      <c r="D755" s="15">
        <v>390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23">
        <f t="shared" si="26"/>
        <v>390</v>
      </c>
      <c r="S755" s="15"/>
      <c r="T755" s="23">
        <f t="shared" si="25"/>
        <v>390</v>
      </c>
    </row>
    <row r="756" spans="1:20">
      <c r="A756" s="15" t="s">
        <v>481</v>
      </c>
      <c r="B756" s="3"/>
      <c r="C756" s="15"/>
      <c r="D756" s="15">
        <v>680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23">
        <f t="shared" si="26"/>
        <v>680</v>
      </c>
      <c r="S756" s="15"/>
      <c r="T756" s="23">
        <f t="shared" ref="T756:T819" si="27">R756-S756</f>
        <v>680</v>
      </c>
    </row>
    <row r="757" spans="1:20">
      <c r="A757" s="15" t="s">
        <v>481</v>
      </c>
      <c r="B757" s="3"/>
      <c r="C757" s="15"/>
      <c r="D757" s="15">
        <v>900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23">
        <f t="shared" si="26"/>
        <v>900</v>
      </c>
      <c r="S757" s="15"/>
      <c r="T757" s="23">
        <f t="shared" si="27"/>
        <v>900</v>
      </c>
    </row>
    <row r="758" spans="1:20">
      <c r="A758" s="15" t="s">
        <v>481</v>
      </c>
      <c r="B758" s="3"/>
      <c r="C758" s="15"/>
      <c r="D758" s="15">
        <v>860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23">
        <f t="shared" si="26"/>
        <v>860</v>
      </c>
      <c r="S758" s="15"/>
      <c r="T758" s="23">
        <f t="shared" si="27"/>
        <v>860</v>
      </c>
    </row>
    <row r="759" spans="1:20">
      <c r="A759" s="15" t="s">
        <v>481</v>
      </c>
      <c r="B759" s="3"/>
      <c r="C759" s="15"/>
      <c r="D759" s="15">
        <v>3000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23">
        <f t="shared" si="26"/>
        <v>3000</v>
      </c>
      <c r="S759" s="15"/>
      <c r="T759" s="23">
        <f t="shared" si="27"/>
        <v>3000</v>
      </c>
    </row>
    <row r="760" spans="1:20">
      <c r="A760" s="15" t="s">
        <v>703</v>
      </c>
      <c r="B760" s="3"/>
      <c r="C760" s="15"/>
      <c r="D760" s="15">
        <v>1000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23">
        <f t="shared" si="26"/>
        <v>1000</v>
      </c>
      <c r="S760" s="15"/>
      <c r="T760" s="23">
        <f t="shared" si="27"/>
        <v>1000</v>
      </c>
    </row>
    <row r="761" spans="1:20">
      <c r="A761" s="15" t="s">
        <v>704</v>
      </c>
      <c r="B761" s="3"/>
      <c r="C761" s="15"/>
      <c r="D761" s="15">
        <v>300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23">
        <f t="shared" si="26"/>
        <v>300</v>
      </c>
      <c r="S761" s="15"/>
      <c r="T761" s="23">
        <f t="shared" si="27"/>
        <v>300</v>
      </c>
    </row>
    <row r="762" spans="1:20">
      <c r="A762" s="15" t="s">
        <v>705</v>
      </c>
      <c r="B762" s="3"/>
      <c r="C762" s="15"/>
      <c r="D762" s="15">
        <v>300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23">
        <f t="shared" si="26"/>
        <v>300</v>
      </c>
      <c r="S762" s="15"/>
      <c r="T762" s="23">
        <f t="shared" si="27"/>
        <v>300</v>
      </c>
    </row>
    <row r="763" spans="1:20">
      <c r="A763" s="15" t="s">
        <v>706</v>
      </c>
      <c r="B763" s="3"/>
      <c r="C763" s="15"/>
      <c r="D763" s="15">
        <v>300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23">
        <f t="shared" si="26"/>
        <v>300</v>
      </c>
      <c r="S763" s="15"/>
      <c r="T763" s="23">
        <f t="shared" si="27"/>
        <v>300</v>
      </c>
    </row>
    <row r="764" spans="1:20">
      <c r="A764" s="15" t="s">
        <v>707</v>
      </c>
      <c r="B764" s="3"/>
      <c r="C764" s="15"/>
      <c r="D764" s="15">
        <v>100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23">
        <f t="shared" si="26"/>
        <v>100</v>
      </c>
      <c r="S764" s="15"/>
      <c r="T764" s="23">
        <f t="shared" si="27"/>
        <v>100</v>
      </c>
    </row>
    <row r="765" spans="1:20">
      <c r="A765" s="15" t="s">
        <v>708</v>
      </c>
      <c r="B765" s="3"/>
      <c r="C765" s="15"/>
      <c r="D765" s="15">
        <v>1850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23">
        <f t="shared" si="26"/>
        <v>1850</v>
      </c>
      <c r="S765" s="15"/>
      <c r="T765" s="23">
        <f t="shared" si="27"/>
        <v>1850</v>
      </c>
    </row>
    <row r="766" spans="1:20">
      <c r="A766" s="15" t="s">
        <v>709</v>
      </c>
      <c r="B766" s="3"/>
      <c r="C766" s="15"/>
      <c r="D766" s="15">
        <v>70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23">
        <f t="shared" si="26"/>
        <v>70</v>
      </c>
      <c r="S766" s="15"/>
      <c r="T766" s="23">
        <f t="shared" si="27"/>
        <v>70</v>
      </c>
    </row>
    <row r="767" spans="1:20">
      <c r="A767" s="15" t="s">
        <v>710</v>
      </c>
      <c r="B767" s="3"/>
      <c r="C767" s="15"/>
      <c r="D767" s="15">
        <v>-8845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23">
        <f t="shared" si="26"/>
        <v>-8845</v>
      </c>
      <c r="S767" s="15"/>
      <c r="T767" s="23">
        <f t="shared" si="27"/>
        <v>-8845</v>
      </c>
    </row>
    <row r="768" spans="1:20">
      <c r="A768" s="15" t="s">
        <v>711</v>
      </c>
      <c r="B768" s="3"/>
      <c r="C768" s="15"/>
      <c r="D768" s="15">
        <v>130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23">
        <f t="shared" si="26"/>
        <v>130</v>
      </c>
      <c r="S768" s="15"/>
      <c r="T768" s="23">
        <f t="shared" si="27"/>
        <v>130</v>
      </c>
    </row>
    <row r="769" spans="1:20">
      <c r="A769" s="15" t="s">
        <v>712</v>
      </c>
      <c r="B769" s="3"/>
      <c r="C769" s="15"/>
      <c r="D769" s="15">
        <v>500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23">
        <f t="shared" si="26"/>
        <v>500</v>
      </c>
      <c r="S769" s="15"/>
      <c r="T769" s="23">
        <f t="shared" si="27"/>
        <v>500</v>
      </c>
    </row>
    <row r="770" spans="1:20">
      <c r="A770" s="15" t="s">
        <v>713</v>
      </c>
      <c r="B770" s="3"/>
      <c r="C770" s="15"/>
      <c r="D770" s="15">
        <v>75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23">
        <f t="shared" si="26"/>
        <v>75</v>
      </c>
      <c r="S770" s="15"/>
      <c r="T770" s="23">
        <f t="shared" si="27"/>
        <v>75</v>
      </c>
    </row>
    <row r="771" spans="1:20">
      <c r="A771" s="15" t="s">
        <v>714</v>
      </c>
      <c r="B771" s="3"/>
      <c r="C771" s="15"/>
      <c r="D771" s="15">
        <v>120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23">
        <f t="shared" si="26"/>
        <v>120</v>
      </c>
      <c r="S771" s="15"/>
      <c r="T771" s="23">
        <f t="shared" si="27"/>
        <v>120</v>
      </c>
    </row>
    <row r="772" spans="1:20">
      <c r="A772" s="15" t="s">
        <v>715</v>
      </c>
      <c r="B772" s="3"/>
      <c r="C772" s="15"/>
      <c r="D772" s="15">
        <v>150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23">
        <f t="shared" si="26"/>
        <v>150</v>
      </c>
      <c r="S772" s="15"/>
      <c r="T772" s="23">
        <f t="shared" si="27"/>
        <v>150</v>
      </c>
    </row>
    <row r="773" spans="1:20">
      <c r="A773" s="15" t="s">
        <v>716</v>
      </c>
      <c r="B773" s="3"/>
      <c r="C773" s="15"/>
      <c r="D773" s="15">
        <v>1275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23">
        <f t="shared" si="26"/>
        <v>1275</v>
      </c>
      <c r="S773" s="15"/>
      <c r="T773" s="23">
        <f t="shared" si="27"/>
        <v>1275</v>
      </c>
    </row>
    <row r="774" spans="1:20">
      <c r="A774" s="15" t="s">
        <v>658</v>
      </c>
      <c r="B774" s="3"/>
      <c r="C774" s="15"/>
      <c r="D774" s="15">
        <v>95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23">
        <f t="shared" si="26"/>
        <v>95</v>
      </c>
      <c r="S774" s="15"/>
      <c r="T774" s="23">
        <f t="shared" si="27"/>
        <v>95</v>
      </c>
    </row>
    <row r="775" spans="1:20">
      <c r="A775" s="15" t="s">
        <v>658</v>
      </c>
      <c r="B775" s="3"/>
      <c r="C775" s="15"/>
      <c r="D775" s="15">
        <v>50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23">
        <f t="shared" si="26"/>
        <v>50</v>
      </c>
      <c r="S775" s="15"/>
      <c r="T775" s="23">
        <f t="shared" si="27"/>
        <v>50</v>
      </c>
    </row>
    <row r="776" spans="1:20">
      <c r="A776" s="15" t="s">
        <v>717</v>
      </c>
      <c r="B776" s="3"/>
      <c r="C776" s="15"/>
      <c r="D776" s="15">
        <v>1655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23">
        <f t="shared" si="26"/>
        <v>1655</v>
      </c>
      <c r="S776" s="15"/>
      <c r="T776" s="23">
        <f t="shared" si="27"/>
        <v>1655</v>
      </c>
    </row>
    <row r="777" spans="1:20">
      <c r="A777" s="15" t="s">
        <v>718</v>
      </c>
      <c r="B777" s="3"/>
      <c r="C777" s="15"/>
      <c r="D777" s="15">
        <v>1875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23">
        <f t="shared" si="26"/>
        <v>1875</v>
      </c>
      <c r="S777" s="15"/>
      <c r="T777" s="23">
        <f t="shared" si="27"/>
        <v>1875</v>
      </c>
    </row>
    <row r="778" spans="1:20">
      <c r="A778" s="15" t="s">
        <v>684</v>
      </c>
      <c r="B778" s="3"/>
      <c r="C778" s="15"/>
      <c r="D778" s="15">
        <v>200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23">
        <f t="shared" si="26"/>
        <v>200</v>
      </c>
      <c r="S778" s="15"/>
      <c r="T778" s="23">
        <f t="shared" si="27"/>
        <v>200</v>
      </c>
    </row>
    <row r="779" spans="1:20">
      <c r="A779" s="15" t="s">
        <v>719</v>
      </c>
      <c r="B779" s="3"/>
      <c r="C779" s="15"/>
      <c r="D779" s="15">
        <v>15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23">
        <f t="shared" si="26"/>
        <v>15</v>
      </c>
      <c r="S779" s="15"/>
      <c r="T779" s="23">
        <f t="shared" si="27"/>
        <v>15</v>
      </c>
    </row>
    <row r="780" spans="1:20">
      <c r="A780" s="15" t="s">
        <v>720</v>
      </c>
      <c r="B780" s="3"/>
      <c r="C780" s="15"/>
      <c r="D780" s="15">
        <v>100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23">
        <f t="shared" si="26"/>
        <v>100</v>
      </c>
      <c r="S780" s="15"/>
      <c r="T780" s="23">
        <f t="shared" si="27"/>
        <v>100</v>
      </c>
    </row>
    <row r="781" spans="1:20">
      <c r="A781" s="15" t="s">
        <v>721</v>
      </c>
      <c r="B781" s="3"/>
      <c r="C781" s="15"/>
      <c r="D781" s="15">
        <v>680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23">
        <f t="shared" si="26"/>
        <v>680</v>
      </c>
      <c r="S781" s="15"/>
      <c r="T781" s="23">
        <f t="shared" si="27"/>
        <v>680</v>
      </c>
    </row>
    <row r="782" spans="1:20">
      <c r="A782" s="15" t="s">
        <v>721</v>
      </c>
      <c r="B782" s="3"/>
      <c r="C782" s="15"/>
      <c r="D782" s="15">
        <v>40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23">
        <f t="shared" si="26"/>
        <v>40</v>
      </c>
      <c r="S782" s="15"/>
      <c r="T782" s="23">
        <f t="shared" si="27"/>
        <v>40</v>
      </c>
    </row>
    <row r="783" spans="1:20">
      <c r="A783" s="15" t="s">
        <v>722</v>
      </c>
      <c r="B783" s="3"/>
      <c r="C783" s="15"/>
      <c r="D783" s="15">
        <v>770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23">
        <f t="shared" si="26"/>
        <v>770</v>
      </c>
      <c r="S783" s="15"/>
      <c r="T783" s="23">
        <f t="shared" si="27"/>
        <v>770</v>
      </c>
    </row>
    <row r="784" spans="1:20">
      <c r="A784" s="15" t="s">
        <v>664</v>
      </c>
      <c r="B784" s="3"/>
      <c r="C784" s="15"/>
      <c r="D784" s="15">
        <v>670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23">
        <f t="shared" si="26"/>
        <v>670</v>
      </c>
      <c r="S784" s="15"/>
      <c r="T784" s="23">
        <f t="shared" si="27"/>
        <v>670</v>
      </c>
    </row>
    <row r="785" spans="1:20">
      <c r="A785" s="15" t="s">
        <v>675</v>
      </c>
      <c r="B785" s="3"/>
      <c r="C785" s="15"/>
      <c r="D785" s="15">
        <v>1040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23">
        <f t="shared" si="26"/>
        <v>1040</v>
      </c>
      <c r="S785" s="15"/>
      <c r="T785" s="23">
        <f t="shared" si="27"/>
        <v>1040</v>
      </c>
    </row>
    <row r="786" spans="1:20">
      <c r="A786" s="15" t="s">
        <v>723</v>
      </c>
      <c r="B786" s="3"/>
      <c r="C786" s="15"/>
      <c r="D786" s="15">
        <v>1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23">
        <f t="shared" si="26"/>
        <v>1</v>
      </c>
      <c r="S786" s="15"/>
      <c r="T786" s="23">
        <f t="shared" si="27"/>
        <v>1</v>
      </c>
    </row>
    <row r="787" spans="1:20">
      <c r="A787" s="15" t="s">
        <v>724</v>
      </c>
      <c r="B787" s="3"/>
      <c r="C787" s="15"/>
      <c r="D787" s="15">
        <v>3930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23">
        <f t="shared" si="26"/>
        <v>3930</v>
      </c>
      <c r="S787" s="15"/>
      <c r="T787" s="23">
        <f t="shared" si="27"/>
        <v>3930</v>
      </c>
    </row>
    <row r="788" spans="1:20">
      <c r="A788" s="15" t="s">
        <v>725</v>
      </c>
      <c r="B788" s="3"/>
      <c r="C788" s="15"/>
      <c r="D788" s="15">
        <v>340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23">
        <f t="shared" si="26"/>
        <v>340</v>
      </c>
      <c r="S788" s="15"/>
      <c r="T788" s="23">
        <f t="shared" si="27"/>
        <v>340</v>
      </c>
    </row>
    <row r="789" spans="1:20">
      <c r="A789" s="15" t="s">
        <v>359</v>
      </c>
      <c r="B789" s="3"/>
      <c r="C789" s="15"/>
      <c r="D789" s="15">
        <v>370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23">
        <f t="shared" si="26"/>
        <v>370</v>
      </c>
      <c r="S789" s="15"/>
      <c r="T789" s="23">
        <f t="shared" si="27"/>
        <v>370</v>
      </c>
    </row>
    <row r="790" spans="1:20">
      <c r="A790" s="15" t="s">
        <v>363</v>
      </c>
      <c r="B790" s="3"/>
      <c r="C790" s="15"/>
      <c r="D790" s="15">
        <v>-55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23">
        <f t="shared" si="26"/>
        <v>-55</v>
      </c>
      <c r="S790" s="15"/>
      <c r="T790" s="23">
        <f t="shared" si="27"/>
        <v>-55</v>
      </c>
    </row>
    <row r="791" spans="1:20">
      <c r="A791" s="15" t="s">
        <v>318</v>
      </c>
      <c r="B791" s="3"/>
      <c r="C791" s="15"/>
      <c r="D791" s="15">
        <v>240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23">
        <f t="shared" si="26"/>
        <v>240</v>
      </c>
      <c r="S791" s="15"/>
      <c r="T791" s="23">
        <f t="shared" si="27"/>
        <v>240</v>
      </c>
    </row>
    <row r="792" spans="1:20">
      <c r="A792" s="15" t="s">
        <v>318</v>
      </c>
      <c r="B792" s="3"/>
      <c r="C792" s="15"/>
      <c r="D792" s="15">
        <v>150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23">
        <f t="shared" si="26"/>
        <v>150</v>
      </c>
      <c r="S792" s="15"/>
      <c r="T792" s="23">
        <f t="shared" si="27"/>
        <v>150</v>
      </c>
    </row>
    <row r="793" spans="1:20">
      <c r="A793" s="15" t="s">
        <v>318</v>
      </c>
      <c r="B793" s="3"/>
      <c r="C793" s="15"/>
      <c r="D793" s="15">
        <v>-75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23">
        <f t="shared" si="26"/>
        <v>-75</v>
      </c>
      <c r="S793" s="15"/>
      <c r="T793" s="23">
        <f t="shared" si="27"/>
        <v>-75</v>
      </c>
    </row>
    <row r="794" spans="1:20">
      <c r="A794" s="15" t="s">
        <v>650</v>
      </c>
      <c r="B794" s="3"/>
      <c r="C794" s="15"/>
      <c r="D794" s="15">
        <v>20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23">
        <f t="shared" si="26"/>
        <v>20</v>
      </c>
      <c r="S794" s="15"/>
      <c r="T794" s="23">
        <f t="shared" si="27"/>
        <v>20</v>
      </c>
    </row>
    <row r="795" spans="1:20">
      <c r="A795" s="15" t="s">
        <v>726</v>
      </c>
      <c r="B795" s="3"/>
      <c r="C795" s="15"/>
      <c r="D795" s="15">
        <v>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23">
        <f t="shared" si="26"/>
        <v>0</v>
      </c>
      <c r="S795" s="15"/>
      <c r="T795" s="23">
        <f t="shared" si="27"/>
        <v>0</v>
      </c>
    </row>
    <row r="796" spans="1:20">
      <c r="A796" s="15" t="s">
        <v>727</v>
      </c>
      <c r="B796" s="3"/>
      <c r="C796" s="15"/>
      <c r="D796" s="15">
        <v>200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23">
        <f t="shared" si="26"/>
        <v>200</v>
      </c>
      <c r="S796" s="15"/>
      <c r="T796" s="23">
        <f t="shared" si="27"/>
        <v>200</v>
      </c>
    </row>
    <row r="797" spans="1:20">
      <c r="A797" s="15" t="s">
        <v>728</v>
      </c>
      <c r="B797" s="3"/>
      <c r="C797" s="15"/>
      <c r="D797" s="15">
        <v>510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23">
        <f t="shared" si="26"/>
        <v>510</v>
      </c>
      <c r="S797" s="15"/>
      <c r="T797" s="23">
        <f t="shared" si="27"/>
        <v>510</v>
      </c>
    </row>
    <row r="798" spans="1:20">
      <c r="A798" s="15" t="s">
        <v>728</v>
      </c>
      <c r="B798" s="3"/>
      <c r="C798" s="15"/>
      <c r="D798" s="15">
        <v>5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23">
        <f t="shared" si="26"/>
        <v>5</v>
      </c>
      <c r="S798" s="15"/>
      <c r="T798" s="23">
        <f t="shared" si="27"/>
        <v>5</v>
      </c>
    </row>
    <row r="799" spans="1:20">
      <c r="A799" s="15" t="s">
        <v>630</v>
      </c>
      <c r="B799" s="3"/>
      <c r="C799" s="15"/>
      <c r="D799" s="15">
        <v>3584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23">
        <f t="shared" si="26"/>
        <v>3584</v>
      </c>
      <c r="S799" s="15"/>
      <c r="T799" s="23">
        <f t="shared" si="27"/>
        <v>3584</v>
      </c>
    </row>
    <row r="800" spans="1:20">
      <c r="A800" s="15" t="s">
        <v>630</v>
      </c>
      <c r="B800" s="3"/>
      <c r="C800" s="15"/>
      <c r="D800" s="15">
        <v>60000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23">
        <f t="shared" si="26"/>
        <v>60000</v>
      </c>
      <c r="S800" s="15"/>
      <c r="T800" s="23">
        <f t="shared" si="27"/>
        <v>60000</v>
      </c>
    </row>
    <row r="801" spans="1:20">
      <c r="A801" s="15" t="s">
        <v>729</v>
      </c>
      <c r="B801" s="3"/>
      <c r="C801" s="15"/>
      <c r="D801" s="15">
        <v>644.24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23">
        <f t="shared" ref="R801:R853" si="28">SUM(D801:K801)</f>
        <v>644.24</v>
      </c>
      <c r="S801" s="15"/>
      <c r="T801" s="23">
        <f t="shared" si="27"/>
        <v>644.24</v>
      </c>
    </row>
    <row r="802" spans="1:20">
      <c r="A802" s="15" t="s">
        <v>730</v>
      </c>
      <c r="B802" s="3"/>
      <c r="C802" s="15"/>
      <c r="D802" s="15">
        <v>3600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23">
        <f t="shared" si="28"/>
        <v>3600</v>
      </c>
      <c r="S802" s="15"/>
      <c r="T802" s="23">
        <f t="shared" si="27"/>
        <v>3600</v>
      </c>
    </row>
    <row r="803" spans="1:20">
      <c r="A803" s="15" t="s">
        <v>731</v>
      </c>
      <c r="B803" s="3"/>
      <c r="C803" s="15"/>
      <c r="D803" s="15">
        <v>6550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23">
        <f t="shared" si="28"/>
        <v>6550</v>
      </c>
      <c r="S803" s="15"/>
      <c r="T803" s="23">
        <f t="shared" si="27"/>
        <v>6550</v>
      </c>
    </row>
    <row r="804" spans="1:20">
      <c r="A804" s="15" t="s">
        <v>366</v>
      </c>
      <c r="B804" s="3"/>
      <c r="C804" s="15"/>
      <c r="D804" s="15">
        <v>845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23">
        <f t="shared" si="28"/>
        <v>845</v>
      </c>
      <c r="S804" s="15"/>
      <c r="T804" s="23">
        <f t="shared" si="27"/>
        <v>845</v>
      </c>
    </row>
    <row r="805" spans="1:20">
      <c r="A805" s="15" t="s">
        <v>732</v>
      </c>
      <c r="B805" s="3"/>
      <c r="C805" s="15"/>
      <c r="D805" s="15">
        <v>-350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23">
        <f t="shared" si="28"/>
        <v>-350</v>
      </c>
      <c r="S805" s="15"/>
      <c r="T805" s="23">
        <f t="shared" si="27"/>
        <v>-350</v>
      </c>
    </row>
    <row r="806" spans="1:20">
      <c r="A806" s="15" t="s">
        <v>733</v>
      </c>
      <c r="B806" s="3"/>
      <c r="C806" s="15"/>
      <c r="D806" s="15">
        <v>300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23">
        <f t="shared" si="28"/>
        <v>300</v>
      </c>
      <c r="S806" s="15"/>
      <c r="T806" s="23">
        <f t="shared" si="27"/>
        <v>300</v>
      </c>
    </row>
    <row r="807" spans="1:20">
      <c r="A807" s="15" t="s">
        <v>734</v>
      </c>
      <c r="B807" s="3"/>
      <c r="C807" s="15"/>
      <c r="D807" s="15">
        <v>140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23">
        <f t="shared" si="28"/>
        <v>140</v>
      </c>
      <c r="S807" s="15"/>
      <c r="T807" s="23">
        <f t="shared" si="27"/>
        <v>140</v>
      </c>
    </row>
    <row r="808" spans="1:20">
      <c r="A808" s="15" t="s">
        <v>735</v>
      </c>
      <c r="B808" s="3"/>
      <c r="C808" s="15"/>
      <c r="D808" s="15">
        <v>360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23">
        <f t="shared" si="28"/>
        <v>360</v>
      </c>
      <c r="S808" s="15"/>
      <c r="T808" s="23">
        <f t="shared" si="27"/>
        <v>360</v>
      </c>
    </row>
    <row r="809" spans="1:20">
      <c r="A809" s="15" t="s">
        <v>736</v>
      </c>
      <c r="B809" s="3"/>
      <c r="C809" s="15"/>
      <c r="D809" s="15">
        <v>185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23">
        <f t="shared" si="28"/>
        <v>185</v>
      </c>
      <c r="S809" s="15"/>
      <c r="T809" s="23">
        <f t="shared" si="27"/>
        <v>185</v>
      </c>
    </row>
    <row r="810" spans="1:20">
      <c r="A810" s="15" t="s">
        <v>737</v>
      </c>
      <c r="B810" s="3"/>
      <c r="C810" s="15"/>
      <c r="D810" s="15">
        <v>105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23">
        <f t="shared" si="28"/>
        <v>105</v>
      </c>
      <c r="S810" s="15"/>
      <c r="T810" s="23">
        <f t="shared" si="27"/>
        <v>105</v>
      </c>
    </row>
    <row r="811" spans="1:20">
      <c r="A811" s="15" t="s">
        <v>738</v>
      </c>
      <c r="B811" s="3"/>
      <c r="C811" s="15"/>
      <c r="D811" s="15">
        <v>1000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23">
        <f t="shared" si="28"/>
        <v>1000</v>
      </c>
      <c r="S811" s="15"/>
      <c r="T811" s="23">
        <f t="shared" si="27"/>
        <v>1000</v>
      </c>
    </row>
    <row r="812" spans="1:20">
      <c r="A812" s="15" t="s">
        <v>739</v>
      </c>
      <c r="B812" s="3"/>
      <c r="C812" s="15"/>
      <c r="D812" s="15">
        <v>190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23">
        <f t="shared" si="28"/>
        <v>190</v>
      </c>
      <c r="S812" s="15"/>
      <c r="T812" s="23">
        <f t="shared" si="27"/>
        <v>190</v>
      </c>
    </row>
    <row r="813" spans="1:20">
      <c r="A813" s="15" t="s">
        <v>740</v>
      </c>
      <c r="B813" s="3"/>
      <c r="C813" s="15"/>
      <c r="D813" s="15">
        <v>260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23">
        <f t="shared" si="28"/>
        <v>260</v>
      </c>
      <c r="S813" s="15"/>
      <c r="T813" s="23">
        <f t="shared" si="27"/>
        <v>260</v>
      </c>
    </row>
    <row r="814" spans="1:20">
      <c r="A814" s="15" t="s">
        <v>741</v>
      </c>
      <c r="B814" s="3"/>
      <c r="C814" s="15"/>
      <c r="D814" s="15">
        <v>140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23">
        <f t="shared" si="28"/>
        <v>140</v>
      </c>
      <c r="S814" s="15"/>
      <c r="T814" s="23">
        <f t="shared" si="27"/>
        <v>140</v>
      </c>
    </row>
    <row r="815" spans="1:20">
      <c r="A815" s="15" t="s">
        <v>742</v>
      </c>
      <c r="B815" s="3"/>
      <c r="C815" s="15"/>
      <c r="D815" s="15">
        <v>2260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23">
        <f t="shared" si="28"/>
        <v>2260</v>
      </c>
      <c r="S815" s="15"/>
      <c r="T815" s="23">
        <f t="shared" si="27"/>
        <v>2260</v>
      </c>
    </row>
    <row r="816" spans="1:20">
      <c r="A816" s="15" t="s">
        <v>743</v>
      </c>
      <c r="B816" s="3"/>
      <c r="C816" s="15"/>
      <c r="D816" s="15">
        <v>1900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23">
        <f t="shared" si="28"/>
        <v>1900</v>
      </c>
      <c r="S816" s="15"/>
      <c r="T816" s="23">
        <f t="shared" si="27"/>
        <v>1900</v>
      </c>
    </row>
    <row r="817" spans="1:20">
      <c r="A817" s="15" t="s">
        <v>744</v>
      </c>
      <c r="B817" s="3"/>
      <c r="C817" s="15"/>
      <c r="D817" s="15">
        <v>300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23">
        <f t="shared" si="28"/>
        <v>300</v>
      </c>
      <c r="S817" s="15"/>
      <c r="T817" s="23">
        <f t="shared" si="27"/>
        <v>300</v>
      </c>
    </row>
    <row r="818" spans="1:20">
      <c r="A818" s="15" t="s">
        <v>745</v>
      </c>
      <c r="B818" s="3"/>
      <c r="C818" s="15"/>
      <c r="D818" s="15">
        <v>-1000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23">
        <f t="shared" si="28"/>
        <v>-1000</v>
      </c>
      <c r="S818" s="15"/>
      <c r="T818" s="23">
        <f t="shared" si="27"/>
        <v>-1000</v>
      </c>
    </row>
    <row r="819" spans="1:20">
      <c r="A819" s="15" t="s">
        <v>746</v>
      </c>
      <c r="B819" s="3"/>
      <c r="C819" s="15"/>
      <c r="D819" s="15">
        <v>100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23">
        <f t="shared" si="28"/>
        <v>100</v>
      </c>
      <c r="S819" s="15"/>
      <c r="T819" s="23">
        <f t="shared" si="27"/>
        <v>100</v>
      </c>
    </row>
    <row r="820" spans="1:20">
      <c r="A820" s="15" t="s">
        <v>747</v>
      </c>
      <c r="B820" s="3"/>
      <c r="C820" s="15"/>
      <c r="D820" s="15">
        <v>200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23">
        <f t="shared" si="28"/>
        <v>200</v>
      </c>
      <c r="S820" s="15"/>
      <c r="T820" s="23">
        <f t="shared" ref="T820:T854" si="29">R820-S820</f>
        <v>200</v>
      </c>
    </row>
    <row r="821" spans="1:20">
      <c r="A821" s="15" t="s">
        <v>748</v>
      </c>
      <c r="B821" s="3"/>
      <c r="C821" s="15"/>
      <c r="D821" s="15">
        <v>1260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23">
        <f t="shared" si="28"/>
        <v>1260</v>
      </c>
      <c r="S821" s="15"/>
      <c r="T821" s="23">
        <f t="shared" si="29"/>
        <v>1260</v>
      </c>
    </row>
    <row r="822" spans="1:20">
      <c r="A822" s="15" t="s">
        <v>634</v>
      </c>
      <c r="B822" s="3"/>
      <c r="C822" s="15"/>
      <c r="D822" s="15">
        <v>0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23">
        <f t="shared" si="28"/>
        <v>0</v>
      </c>
      <c r="S822" s="15"/>
      <c r="T822" s="23">
        <f t="shared" si="29"/>
        <v>0</v>
      </c>
    </row>
    <row r="823" spans="1:20">
      <c r="A823" s="15" t="s">
        <v>665</v>
      </c>
      <c r="B823" s="3"/>
      <c r="C823" s="15"/>
      <c r="D823" s="15">
        <v>420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23">
        <f t="shared" si="28"/>
        <v>420</v>
      </c>
      <c r="S823" s="15"/>
      <c r="T823" s="23">
        <f t="shared" si="29"/>
        <v>420</v>
      </c>
    </row>
    <row r="824" spans="1:20">
      <c r="A824" s="15" t="s">
        <v>749</v>
      </c>
      <c r="B824" s="3"/>
      <c r="C824" s="15"/>
      <c r="D824" s="15">
        <v>-1060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23">
        <f t="shared" si="28"/>
        <v>-1060</v>
      </c>
      <c r="S824" s="15"/>
      <c r="T824" s="23">
        <f t="shared" si="29"/>
        <v>-1060</v>
      </c>
    </row>
    <row r="825" spans="1:20">
      <c r="A825" s="15" t="s">
        <v>750</v>
      </c>
      <c r="B825" s="3"/>
      <c r="C825" s="15"/>
      <c r="D825" s="15">
        <v>360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23">
        <f t="shared" si="28"/>
        <v>360</v>
      </c>
      <c r="S825" s="15"/>
      <c r="T825" s="23">
        <f t="shared" si="29"/>
        <v>360</v>
      </c>
    </row>
    <row r="826" spans="1:20">
      <c r="A826" s="15" t="s">
        <v>751</v>
      </c>
      <c r="B826" s="3"/>
      <c r="C826" s="15"/>
      <c r="D826" s="15">
        <v>750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23">
        <f t="shared" si="28"/>
        <v>750</v>
      </c>
      <c r="S826" s="15"/>
      <c r="T826" s="23">
        <f t="shared" si="29"/>
        <v>750</v>
      </c>
    </row>
    <row r="827" spans="1:20">
      <c r="A827" s="15" t="s">
        <v>752</v>
      </c>
      <c r="B827" s="3"/>
      <c r="C827" s="15"/>
      <c r="D827" s="15">
        <v>2470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23">
        <f t="shared" si="28"/>
        <v>2470</v>
      </c>
      <c r="S827" s="15"/>
      <c r="T827" s="23">
        <f t="shared" si="29"/>
        <v>2470</v>
      </c>
    </row>
    <row r="828" spans="1:20">
      <c r="A828" s="15" t="s">
        <v>753</v>
      </c>
      <c r="B828" s="3"/>
      <c r="C828" s="15"/>
      <c r="D828" s="15">
        <v>475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23">
        <f t="shared" si="28"/>
        <v>475</v>
      </c>
      <c r="S828" s="15"/>
      <c r="T828" s="23">
        <f t="shared" si="29"/>
        <v>475</v>
      </c>
    </row>
    <row r="829" spans="1:20">
      <c r="A829" s="15" t="s">
        <v>754</v>
      </c>
      <c r="B829" s="3"/>
      <c r="C829" s="15"/>
      <c r="D829" s="15">
        <v>925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23">
        <f t="shared" si="28"/>
        <v>925</v>
      </c>
      <c r="S829" s="15"/>
      <c r="T829" s="23">
        <f t="shared" si="29"/>
        <v>925</v>
      </c>
    </row>
    <row r="830" spans="1:20">
      <c r="A830" s="15" t="s">
        <v>755</v>
      </c>
      <c r="B830" s="3"/>
      <c r="C830" s="15"/>
      <c r="D830" s="15">
        <v>5550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23">
        <f t="shared" si="28"/>
        <v>5550</v>
      </c>
      <c r="S830" s="15"/>
      <c r="T830" s="23">
        <f t="shared" si="29"/>
        <v>5550</v>
      </c>
    </row>
    <row r="831" spans="1:20">
      <c r="A831" s="15" t="s">
        <v>756</v>
      </c>
      <c r="B831" s="3"/>
      <c r="C831" s="15"/>
      <c r="D831" s="15">
        <v>4045.01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23">
        <f t="shared" si="28"/>
        <v>4045.01</v>
      </c>
      <c r="S831" s="15"/>
      <c r="T831" s="23">
        <f t="shared" si="29"/>
        <v>4045.01</v>
      </c>
    </row>
    <row r="832" spans="1:20">
      <c r="A832" s="15" t="s">
        <v>757</v>
      </c>
      <c r="B832" s="3"/>
      <c r="C832" s="15"/>
      <c r="D832" s="15">
        <v>3770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23">
        <f t="shared" si="28"/>
        <v>3770</v>
      </c>
      <c r="S832" s="15"/>
      <c r="T832" s="23">
        <f t="shared" si="29"/>
        <v>3770</v>
      </c>
    </row>
    <row r="833" spans="1:20">
      <c r="A833" s="15" t="s">
        <v>395</v>
      </c>
      <c r="B833" s="3"/>
      <c r="C833" s="15"/>
      <c r="D833" s="15">
        <v>1090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23">
        <f t="shared" si="28"/>
        <v>1090</v>
      </c>
      <c r="S833" s="15"/>
      <c r="T833" s="23">
        <f t="shared" si="29"/>
        <v>1090</v>
      </c>
    </row>
    <row r="834" spans="1:20">
      <c r="A834" s="15" t="s">
        <v>758</v>
      </c>
      <c r="B834" s="3"/>
      <c r="C834" s="15"/>
      <c r="D834" s="15">
        <v>600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23">
        <f t="shared" si="28"/>
        <v>600</v>
      </c>
      <c r="S834" s="15"/>
      <c r="T834" s="23">
        <f t="shared" si="29"/>
        <v>600</v>
      </c>
    </row>
    <row r="835" spans="1:20">
      <c r="A835" s="15" t="s">
        <v>759</v>
      </c>
      <c r="B835" s="3"/>
      <c r="C835" s="15"/>
      <c r="D835" s="15">
        <v>650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23">
        <f t="shared" si="28"/>
        <v>650</v>
      </c>
      <c r="S835" s="15"/>
      <c r="T835" s="23">
        <f t="shared" si="29"/>
        <v>650</v>
      </c>
    </row>
    <row r="836" spans="1:20">
      <c r="A836" s="15" t="s">
        <v>760</v>
      </c>
      <c r="B836" s="3"/>
      <c r="C836" s="15"/>
      <c r="D836" s="15">
        <v>660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23">
        <f t="shared" si="28"/>
        <v>660</v>
      </c>
      <c r="S836" s="15"/>
      <c r="T836" s="23">
        <f t="shared" si="29"/>
        <v>660</v>
      </c>
    </row>
    <row r="837" spans="1:20">
      <c r="A837" s="15" t="s">
        <v>761</v>
      </c>
      <c r="B837" s="3"/>
      <c r="C837" s="15"/>
      <c r="D837" s="15">
        <v>200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23">
        <f t="shared" si="28"/>
        <v>200</v>
      </c>
      <c r="S837" s="15"/>
      <c r="T837" s="23">
        <f t="shared" si="29"/>
        <v>200</v>
      </c>
    </row>
    <row r="838" spans="1:20">
      <c r="A838" s="15" t="s">
        <v>762</v>
      </c>
      <c r="B838" s="3"/>
      <c r="C838" s="15"/>
      <c r="D838" s="15">
        <v>27475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23">
        <f t="shared" si="28"/>
        <v>27475</v>
      </c>
      <c r="S838" s="15"/>
      <c r="T838" s="23">
        <f t="shared" si="29"/>
        <v>27475</v>
      </c>
    </row>
    <row r="839" spans="1:20">
      <c r="A839" s="15" t="s">
        <v>763</v>
      </c>
      <c r="B839" s="3"/>
      <c r="C839" s="15"/>
      <c r="D839" s="15">
        <v>160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23">
        <f t="shared" si="28"/>
        <v>160</v>
      </c>
      <c r="S839" s="15"/>
      <c r="T839" s="23">
        <f t="shared" si="29"/>
        <v>160</v>
      </c>
    </row>
    <row r="840" spans="1:20">
      <c r="A840" s="15" t="s">
        <v>764</v>
      </c>
      <c r="B840" s="3"/>
      <c r="C840" s="15"/>
      <c r="D840" s="15">
        <v>1928.8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23">
        <f t="shared" si="28"/>
        <v>1928.8</v>
      </c>
      <c r="S840" s="15"/>
      <c r="T840" s="23">
        <f t="shared" si="29"/>
        <v>1928.8</v>
      </c>
    </row>
    <row r="841" spans="1:20">
      <c r="A841" s="15" t="s">
        <v>765</v>
      </c>
      <c r="B841" s="3"/>
      <c r="C841" s="15"/>
      <c r="D841" s="15">
        <v>500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23">
        <f t="shared" si="28"/>
        <v>500</v>
      </c>
      <c r="S841" s="15"/>
      <c r="T841" s="23">
        <f t="shared" si="29"/>
        <v>500</v>
      </c>
    </row>
    <row r="842" spans="1:20">
      <c r="A842" s="15" t="s">
        <v>307</v>
      </c>
      <c r="B842" s="3"/>
      <c r="C842" s="15"/>
      <c r="D842" s="15">
        <v>970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23">
        <f t="shared" si="28"/>
        <v>970</v>
      </c>
      <c r="S842" s="15"/>
      <c r="T842" s="23">
        <f t="shared" si="29"/>
        <v>970</v>
      </c>
    </row>
    <row r="843" spans="1:20">
      <c r="A843" s="15" t="s">
        <v>766</v>
      </c>
      <c r="B843" s="3"/>
      <c r="C843" s="15"/>
      <c r="D843" s="15">
        <v>400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23">
        <f t="shared" si="28"/>
        <v>400</v>
      </c>
      <c r="S843" s="15"/>
      <c r="T843" s="23">
        <f t="shared" si="29"/>
        <v>400</v>
      </c>
    </row>
    <row r="844" spans="1:20">
      <c r="A844" s="15" t="s">
        <v>767</v>
      </c>
      <c r="B844" s="3"/>
      <c r="C844" s="15"/>
      <c r="D844" s="15">
        <v>360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23">
        <f t="shared" si="28"/>
        <v>360</v>
      </c>
      <c r="S844" s="15"/>
      <c r="T844" s="23">
        <f t="shared" si="29"/>
        <v>360</v>
      </c>
    </row>
    <row r="845" spans="1:20">
      <c r="A845" s="15" t="s">
        <v>768</v>
      </c>
      <c r="B845" s="3"/>
      <c r="C845" s="15"/>
      <c r="D845" s="15">
        <v>80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23">
        <f t="shared" si="28"/>
        <v>80</v>
      </c>
      <c r="S845" s="15"/>
      <c r="T845" s="23">
        <f t="shared" si="29"/>
        <v>80</v>
      </c>
    </row>
    <row r="846" spans="1:20">
      <c r="A846" s="15" t="s">
        <v>404</v>
      </c>
      <c r="B846" s="3"/>
      <c r="C846" s="15"/>
      <c r="D846" s="15">
        <v>0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23">
        <f t="shared" si="28"/>
        <v>0</v>
      </c>
      <c r="S846" s="15"/>
      <c r="T846" s="23">
        <f t="shared" si="29"/>
        <v>0</v>
      </c>
    </row>
    <row r="847" spans="1:20">
      <c r="A847" s="15" t="s">
        <v>769</v>
      </c>
      <c r="B847" s="3"/>
      <c r="C847" s="15"/>
      <c r="D847" s="15">
        <v>1400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23">
        <f t="shared" si="28"/>
        <v>1400</v>
      </c>
      <c r="S847" s="15"/>
      <c r="T847" s="23">
        <f t="shared" si="29"/>
        <v>1400</v>
      </c>
    </row>
    <row r="848" spans="1:20">
      <c r="A848" s="15" t="s">
        <v>770</v>
      </c>
      <c r="B848" s="3"/>
      <c r="C848" s="15"/>
      <c r="D848" s="15">
        <v>500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23">
        <f t="shared" si="28"/>
        <v>500</v>
      </c>
      <c r="S848" s="15"/>
      <c r="T848" s="23">
        <f t="shared" si="29"/>
        <v>500</v>
      </c>
    </row>
    <row r="849" spans="1:20">
      <c r="A849" s="15" t="s">
        <v>771</v>
      </c>
      <c r="B849" s="3"/>
      <c r="C849" s="15"/>
      <c r="D849" s="15">
        <v>22.5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23">
        <f t="shared" si="28"/>
        <v>22.5</v>
      </c>
      <c r="S849" s="15"/>
      <c r="T849" s="23">
        <f t="shared" si="29"/>
        <v>22.5</v>
      </c>
    </row>
    <row r="850" spans="1:20">
      <c r="A850" s="15" t="s">
        <v>772</v>
      </c>
      <c r="B850" s="3"/>
      <c r="C850" s="15"/>
      <c r="D850" s="15">
        <v>43606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23">
        <f t="shared" si="28"/>
        <v>43606</v>
      </c>
      <c r="S850" s="15"/>
      <c r="T850" s="23">
        <f t="shared" si="29"/>
        <v>43606</v>
      </c>
    </row>
    <row r="851" spans="1:20">
      <c r="A851" s="15" t="s">
        <v>773</v>
      </c>
      <c r="B851" s="3"/>
      <c r="C851" s="15"/>
      <c r="D851" s="15">
        <v>3000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23">
        <f t="shared" si="28"/>
        <v>3000</v>
      </c>
      <c r="S851" s="15"/>
      <c r="T851" s="23">
        <f t="shared" si="29"/>
        <v>3000</v>
      </c>
    </row>
    <row r="852" spans="1:20">
      <c r="A852" s="15" t="s">
        <v>774</v>
      </c>
      <c r="B852" s="3"/>
      <c r="C852" s="15"/>
      <c r="D852" s="15">
        <v>8000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23">
        <f t="shared" si="28"/>
        <v>8000</v>
      </c>
      <c r="S852" s="15"/>
      <c r="T852" s="23">
        <f t="shared" si="29"/>
        <v>8000</v>
      </c>
    </row>
    <row r="853" spans="1:20">
      <c r="A853" s="15" t="s">
        <v>775</v>
      </c>
      <c r="B853" s="3"/>
      <c r="C853" s="15"/>
      <c r="D853" s="15">
        <v>500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23">
        <f t="shared" si="28"/>
        <v>500</v>
      </c>
      <c r="S853" s="15"/>
      <c r="T853" s="23">
        <f t="shared" si="29"/>
        <v>500</v>
      </c>
    </row>
    <row r="854" spans="1:20" s="39" customFormat="1">
      <c r="A854" s="38" t="s">
        <v>776</v>
      </c>
      <c r="B854" s="3"/>
      <c r="C854" s="38"/>
      <c r="D854" s="38">
        <v>176</v>
      </c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>
        <f>SUM(D854:E854)</f>
        <v>176</v>
      </c>
      <c r="S854" s="38"/>
      <c r="T854" s="38">
        <f t="shared" si="29"/>
        <v>176</v>
      </c>
    </row>
  </sheetData>
  <sortState ref="A355:CD459">
    <sortCondition ref="A35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F19"/>
  <sheetViews>
    <sheetView workbookViewId="0">
      <selection activeCell="C10" sqref="C10"/>
    </sheetView>
  </sheetViews>
  <sheetFormatPr defaultRowHeight="15"/>
  <cols>
    <col min="1" max="1" width="2.42578125" bestFit="1" customWidth="1"/>
  </cols>
  <sheetData>
    <row r="2" spans="3:6">
      <c r="E2">
        <v>1186</v>
      </c>
      <c r="F2">
        <v>390</v>
      </c>
    </row>
    <row r="3" spans="3:6">
      <c r="C3">
        <v>44711</v>
      </c>
      <c r="D3">
        <v>180</v>
      </c>
      <c r="E3">
        <v>40000</v>
      </c>
      <c r="F3">
        <v>375</v>
      </c>
    </row>
    <row r="4" spans="3:6">
      <c r="D4">
        <v>2000</v>
      </c>
      <c r="E4">
        <v>10000</v>
      </c>
      <c r="F4">
        <v>1500</v>
      </c>
    </row>
    <row r="5" spans="3:6">
      <c r="D5">
        <v>5000</v>
      </c>
      <c r="E5">
        <v>60000</v>
      </c>
      <c r="F5">
        <v>30100</v>
      </c>
    </row>
    <row r="6" spans="3:6">
      <c r="E6">
        <v>30000</v>
      </c>
      <c r="F6">
        <v>13900</v>
      </c>
    </row>
    <row r="7" spans="3:6">
      <c r="F7">
        <v>19600</v>
      </c>
    </row>
    <row r="8" spans="3:6">
      <c r="F8">
        <v>2000</v>
      </c>
    </row>
    <row r="9" spans="3:6">
      <c r="C9">
        <f>SUM(C3:C8)</f>
        <v>44711</v>
      </c>
      <c r="D9">
        <f>SUM(D3:D8)</f>
        <v>7180</v>
      </c>
      <c r="F9">
        <v>8000</v>
      </c>
    </row>
    <row r="10" spans="3:6">
      <c r="C10">
        <f>C9-D9</f>
        <v>37531</v>
      </c>
      <c r="F10">
        <v>19600</v>
      </c>
    </row>
    <row r="11" spans="3:6">
      <c r="F11">
        <v>410</v>
      </c>
    </row>
    <row r="12" spans="3:6">
      <c r="F12" s="68">
        <v>600</v>
      </c>
    </row>
    <row r="13" spans="3:6">
      <c r="F13" s="68"/>
    </row>
    <row r="14" spans="3:6">
      <c r="F14" s="68"/>
    </row>
    <row r="15" spans="3:6">
      <c r="F15" s="68"/>
    </row>
    <row r="16" spans="3:6">
      <c r="F16" s="68"/>
    </row>
    <row r="18" spans="5:6">
      <c r="E18">
        <f>SUM(E2:E17)</f>
        <v>141186</v>
      </c>
      <c r="F18">
        <f>SUM(F2:F17)</f>
        <v>96475</v>
      </c>
    </row>
    <row r="19" spans="5:6">
      <c r="F19">
        <f>E18-F18</f>
        <v>44711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selection activeCell="J14" sqref="J14"/>
    </sheetView>
  </sheetViews>
  <sheetFormatPr defaultRowHeight="15"/>
  <cols>
    <col min="1" max="1" width="3" bestFit="1" customWidth="1"/>
    <col min="2" max="2" width="20.7109375" bestFit="1" customWidth="1"/>
  </cols>
  <sheetData>
    <row r="1" spans="1:7">
      <c r="A1" s="94" t="s">
        <v>914</v>
      </c>
      <c r="B1" s="94"/>
      <c r="C1" s="94"/>
      <c r="D1" s="94"/>
      <c r="E1" s="94"/>
      <c r="F1" s="94"/>
      <c r="G1" s="94"/>
    </row>
    <row r="2" spans="1:7">
      <c r="A2">
        <v>1</v>
      </c>
      <c r="B2" t="s">
        <v>915</v>
      </c>
      <c r="C2">
        <v>452</v>
      </c>
    </row>
    <row r="3" spans="1:7">
      <c r="A3">
        <v>2</v>
      </c>
      <c r="B3" t="s">
        <v>916</v>
      </c>
      <c r="C3">
        <v>443</v>
      </c>
    </row>
    <row r="4" spans="1:7">
      <c r="A4">
        <v>3</v>
      </c>
      <c r="B4" t="s">
        <v>917</v>
      </c>
      <c r="C4">
        <v>431</v>
      </c>
    </row>
    <row r="5" spans="1:7">
      <c r="A5">
        <v>4</v>
      </c>
      <c r="B5" t="s">
        <v>918</v>
      </c>
      <c r="C5">
        <v>427</v>
      </c>
    </row>
    <row r="6" spans="1:7">
      <c r="A6">
        <v>5</v>
      </c>
      <c r="B6" t="s">
        <v>919</v>
      </c>
      <c r="C6">
        <v>418</v>
      </c>
    </row>
    <row r="7" spans="1:7">
      <c r="A7">
        <v>6</v>
      </c>
      <c r="B7" t="s">
        <v>920</v>
      </c>
      <c r="C7">
        <v>416</v>
      </c>
    </row>
    <row r="8" spans="1:7">
      <c r="A8">
        <v>7</v>
      </c>
      <c r="B8" t="s">
        <v>921</v>
      </c>
      <c r="C8">
        <v>400</v>
      </c>
    </row>
    <row r="9" spans="1:7">
      <c r="A9">
        <v>8</v>
      </c>
      <c r="B9" t="s">
        <v>922</v>
      </c>
      <c r="C9">
        <v>395</v>
      </c>
    </row>
    <row r="10" spans="1:7">
      <c r="A10">
        <v>9</v>
      </c>
      <c r="B10" t="s">
        <v>923</v>
      </c>
      <c r="C10">
        <v>395</v>
      </c>
    </row>
    <row r="11" spans="1:7">
      <c r="A11">
        <v>10</v>
      </c>
      <c r="B11" t="s">
        <v>924</v>
      </c>
      <c r="C11">
        <v>386</v>
      </c>
    </row>
    <row r="12" spans="1:7">
      <c r="A12">
        <v>11</v>
      </c>
      <c r="B12" t="s">
        <v>925</v>
      </c>
      <c r="C12">
        <v>452</v>
      </c>
    </row>
    <row r="13" spans="1:7">
      <c r="A13">
        <v>12</v>
      </c>
      <c r="B13" t="s">
        <v>926</v>
      </c>
      <c r="C13">
        <v>431</v>
      </c>
    </row>
    <row r="14" spans="1:7">
      <c r="A14">
        <v>13</v>
      </c>
      <c r="B14" t="s">
        <v>927</v>
      </c>
      <c r="C14">
        <v>427</v>
      </c>
    </row>
    <row r="15" spans="1:7">
      <c r="A15">
        <v>14</v>
      </c>
      <c r="B15" t="s">
        <v>928</v>
      </c>
      <c r="C15">
        <v>416</v>
      </c>
    </row>
    <row r="16" spans="1:7">
      <c r="A16">
        <v>15</v>
      </c>
      <c r="B16" t="s">
        <v>929</v>
      </c>
      <c r="C16">
        <v>395</v>
      </c>
    </row>
    <row r="17" spans="1:3">
      <c r="A17">
        <v>16</v>
      </c>
      <c r="B17" t="s">
        <v>930</v>
      </c>
      <c r="C17">
        <v>395</v>
      </c>
    </row>
    <row r="18" spans="1:3">
      <c r="A18">
        <v>17</v>
      </c>
      <c r="B18" t="s">
        <v>931</v>
      </c>
      <c r="C18">
        <v>311</v>
      </c>
    </row>
    <row r="19" spans="1:3">
      <c r="A19">
        <v>18</v>
      </c>
      <c r="B19" t="s">
        <v>932</v>
      </c>
      <c r="C19">
        <v>280</v>
      </c>
    </row>
    <row r="20" spans="1:3">
      <c r="A20">
        <v>19</v>
      </c>
      <c r="B20" t="s">
        <v>933</v>
      </c>
      <c r="C20">
        <v>268</v>
      </c>
    </row>
    <row r="21" spans="1:3">
      <c r="A21">
        <v>20</v>
      </c>
      <c r="B21" t="s">
        <v>934</v>
      </c>
      <c r="C21">
        <v>404</v>
      </c>
    </row>
    <row r="22" spans="1:3">
      <c r="A22">
        <v>21</v>
      </c>
      <c r="B22" t="s">
        <v>935</v>
      </c>
      <c r="C22">
        <v>395</v>
      </c>
    </row>
    <row r="23" spans="1:3">
      <c r="A23">
        <v>22</v>
      </c>
      <c r="B23" t="s">
        <v>936</v>
      </c>
      <c r="C23">
        <v>321</v>
      </c>
    </row>
    <row r="24" spans="1:3">
      <c r="A24">
        <v>23</v>
      </c>
      <c r="B24" t="s">
        <v>937</v>
      </c>
      <c r="C24">
        <v>297</v>
      </c>
    </row>
    <row r="25" spans="1:3">
      <c r="A25">
        <v>24</v>
      </c>
      <c r="B25" t="s">
        <v>938</v>
      </c>
      <c r="C25">
        <v>283</v>
      </c>
    </row>
    <row r="26" spans="1:3">
      <c r="A26">
        <v>25</v>
      </c>
      <c r="B26" t="s">
        <v>939</v>
      </c>
      <c r="C26">
        <v>359</v>
      </c>
    </row>
    <row r="27" spans="1:3">
      <c r="A27">
        <v>26</v>
      </c>
      <c r="B27" t="s">
        <v>940</v>
      </c>
      <c r="C27">
        <v>341</v>
      </c>
    </row>
    <row r="28" spans="1:3">
      <c r="A28">
        <v>27</v>
      </c>
      <c r="B28" t="s">
        <v>941</v>
      </c>
      <c r="C28">
        <v>330</v>
      </c>
    </row>
    <row r="29" spans="1:3">
      <c r="A29">
        <v>28</v>
      </c>
      <c r="B29" t="s">
        <v>942</v>
      </c>
      <c r="C29">
        <v>414</v>
      </c>
    </row>
    <row r="30" spans="1:3">
      <c r="A30">
        <v>29</v>
      </c>
      <c r="B30" t="s">
        <v>943</v>
      </c>
      <c r="C30">
        <v>221</v>
      </c>
    </row>
    <row r="31" spans="1:3">
      <c r="A31">
        <v>30</v>
      </c>
      <c r="B31" t="s">
        <v>944</v>
      </c>
      <c r="C31">
        <v>335</v>
      </c>
    </row>
    <row r="32" spans="1:3">
      <c r="A32">
        <v>31</v>
      </c>
      <c r="B32" t="s">
        <v>945</v>
      </c>
      <c r="C32">
        <v>317</v>
      </c>
    </row>
    <row r="33" spans="1:3">
      <c r="A33">
        <v>32</v>
      </c>
      <c r="B33" t="s">
        <v>946</v>
      </c>
      <c r="C33">
        <v>310</v>
      </c>
    </row>
    <row r="34" spans="1:3">
      <c r="A34">
        <v>33</v>
      </c>
      <c r="B34" t="s">
        <v>947</v>
      </c>
      <c r="C34">
        <v>308</v>
      </c>
    </row>
    <row r="35" spans="1:3">
      <c r="A35">
        <v>34</v>
      </c>
      <c r="B35" t="s">
        <v>948</v>
      </c>
      <c r="C35">
        <v>296</v>
      </c>
    </row>
    <row r="36" spans="1:3">
      <c r="A36">
        <v>35</v>
      </c>
      <c r="B36" t="s">
        <v>949</v>
      </c>
      <c r="C36">
        <v>291</v>
      </c>
    </row>
    <row r="37" spans="1:3">
      <c r="A37">
        <v>36</v>
      </c>
      <c r="B37" t="s">
        <v>950</v>
      </c>
      <c r="C37">
        <v>150</v>
      </c>
    </row>
    <row r="38" spans="1:3">
      <c r="A38">
        <v>37</v>
      </c>
      <c r="B38" t="s">
        <v>951</v>
      </c>
      <c r="C38">
        <v>431</v>
      </c>
    </row>
    <row r="39" spans="1:3">
      <c r="A39">
        <v>38</v>
      </c>
      <c r="B39" t="s">
        <v>952</v>
      </c>
      <c r="C39">
        <v>404</v>
      </c>
    </row>
    <row r="40" spans="1:3">
      <c r="A40">
        <v>39</v>
      </c>
      <c r="B40" t="s">
        <v>953</v>
      </c>
      <c r="C40">
        <v>395</v>
      </c>
    </row>
    <row r="41" spans="1:3">
      <c r="A41">
        <v>40</v>
      </c>
      <c r="B41" t="s">
        <v>954</v>
      </c>
      <c r="C41">
        <v>457</v>
      </c>
    </row>
    <row r="42" spans="1:3">
      <c r="A42">
        <v>41</v>
      </c>
      <c r="B42" t="s">
        <v>955</v>
      </c>
      <c r="C42">
        <v>434</v>
      </c>
    </row>
    <row r="43" spans="1:3">
      <c r="A43">
        <v>42</v>
      </c>
      <c r="B43" t="s">
        <v>956</v>
      </c>
      <c r="C43">
        <v>430</v>
      </c>
    </row>
    <row r="44" spans="1:3">
      <c r="A44">
        <v>43</v>
      </c>
      <c r="B44" t="s">
        <v>957</v>
      </c>
      <c r="C44">
        <v>397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 PC</cp:lastModifiedBy>
  <dcterms:created xsi:type="dcterms:W3CDTF">2026-07-17T08:43:29Z</dcterms:created>
  <dcterms:modified xsi:type="dcterms:W3CDTF">2026-08-30T14:40:46Z</dcterms:modified>
</cp:coreProperties>
</file>