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lube\OneDrive\Desktop\Downloads\"/>
    </mc:Choice>
  </mc:AlternateContent>
  <xr:revisionPtr revIDLastSave="0" documentId="13_ncr:1_{25639702-CFDB-4844-85FE-DCF0162CAD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  <sheet name="Sheet4" sheetId="5" r:id="rId3"/>
    <sheet name="Sheet1" sheetId="4" r:id="rId4"/>
  </sheets>
  <calcPr calcId="191029"/>
</workbook>
</file>

<file path=xl/calcChain.xml><?xml version="1.0" encoding="utf-8"?>
<calcChain xmlns="http://schemas.openxmlformats.org/spreadsheetml/2006/main">
  <c r="W379" i="2" l="1"/>
  <c r="W463" i="2"/>
  <c r="X221" i="2"/>
  <c r="V70" i="2"/>
  <c r="X70" i="2" s="1"/>
  <c r="U23" i="2"/>
  <c r="W26" i="2"/>
  <c r="V234" i="2"/>
  <c r="X234" i="2" s="1"/>
  <c r="W195" i="2"/>
  <c r="W49" i="2"/>
  <c r="W187" i="2"/>
  <c r="W185" i="2"/>
  <c r="V185" i="2"/>
  <c r="X185" i="2" l="1"/>
  <c r="U463" i="2"/>
  <c r="U26" i="2"/>
  <c r="T9" i="2"/>
  <c r="V47" i="2"/>
  <c r="X47" i="2" s="1"/>
  <c r="V39" i="2"/>
  <c r="X39" i="2" s="1"/>
  <c r="S26" i="2"/>
  <c r="V208" i="2" l="1"/>
  <c r="X208" i="2" s="1"/>
  <c r="W202" i="2"/>
  <c r="V258" i="2"/>
  <c r="X258" i="2" s="1"/>
  <c r="W198" i="2"/>
  <c r="V5" i="2"/>
  <c r="V3" i="2"/>
  <c r="V4" i="2"/>
  <c r="V8" i="2"/>
  <c r="X8" i="2" s="1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4" i="2"/>
  <c r="V27" i="2"/>
  <c r="V28" i="2"/>
  <c r="V29" i="2"/>
  <c r="V30" i="2"/>
  <c r="V31" i="2"/>
  <c r="V6" i="2"/>
  <c r="V32" i="2"/>
  <c r="V33" i="2"/>
  <c r="V34" i="2"/>
  <c r="V35" i="2"/>
  <c r="V36" i="2"/>
  <c r="V37" i="2"/>
  <c r="V38" i="2"/>
  <c r="V40" i="2"/>
  <c r="V41" i="2"/>
  <c r="V42" i="2"/>
  <c r="V43" i="2"/>
  <c r="V44" i="2"/>
  <c r="V46" i="2"/>
  <c r="V45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6" i="2"/>
  <c r="V157" i="2"/>
  <c r="V158" i="2"/>
  <c r="V159" i="2"/>
  <c r="V22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254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9" i="2"/>
  <c r="V210" i="2"/>
  <c r="V212" i="2"/>
  <c r="V213" i="2"/>
  <c r="V214" i="2"/>
  <c r="V215" i="2"/>
  <c r="V216" i="2"/>
  <c r="V217" i="2"/>
  <c r="V218" i="2"/>
  <c r="V219" i="2"/>
  <c r="V220" i="2"/>
  <c r="V222" i="2"/>
  <c r="V223" i="2"/>
  <c r="V224" i="2"/>
  <c r="V225" i="2"/>
  <c r="V226" i="2"/>
  <c r="V227" i="2"/>
  <c r="V228" i="2"/>
  <c r="V230" i="2"/>
  <c r="V231" i="2"/>
  <c r="V232" i="2"/>
  <c r="V186" i="2"/>
  <c r="V233" i="2"/>
  <c r="V235" i="2"/>
  <c r="V236" i="2"/>
  <c r="V237" i="2"/>
  <c r="V238" i="2"/>
  <c r="V239" i="2"/>
  <c r="V240" i="2"/>
  <c r="V242" i="2"/>
  <c r="V243" i="2"/>
  <c r="V244" i="2"/>
  <c r="V245" i="2"/>
  <c r="V246" i="2"/>
  <c r="V187" i="2"/>
  <c r="V248" i="2"/>
  <c r="V249" i="2"/>
  <c r="V250" i="2"/>
  <c r="V251" i="2"/>
  <c r="V188" i="2"/>
  <c r="V252" i="2"/>
  <c r="V253" i="2"/>
  <c r="V255" i="2"/>
  <c r="V256" i="2"/>
  <c r="V257" i="2"/>
  <c r="V259" i="2"/>
  <c r="V18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428" i="2"/>
  <c r="V363" i="2"/>
  <c r="V364" i="2"/>
  <c r="V365" i="2"/>
  <c r="V464" i="2"/>
  <c r="V466" i="2"/>
  <c r="V366" i="2"/>
  <c r="V367" i="2"/>
  <c r="V374" i="2"/>
  <c r="V375" i="2"/>
  <c r="V376" i="2"/>
  <c r="V377" i="2"/>
  <c r="V378" i="2"/>
  <c r="V380" i="2"/>
  <c r="V381" i="2"/>
  <c r="V382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368" i="2"/>
  <c r="V36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371" i="2"/>
  <c r="V424" i="2"/>
  <c r="V425" i="2"/>
  <c r="V426" i="2"/>
  <c r="V427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3" i="2"/>
  <c r="V454" i="2"/>
  <c r="V455" i="2"/>
  <c r="V456" i="2"/>
  <c r="V457" i="2"/>
  <c r="V458" i="2"/>
  <c r="V459" i="2"/>
  <c r="V460" i="2"/>
  <c r="V461" i="2"/>
  <c r="V462" i="2"/>
  <c r="V372" i="2"/>
  <c r="V467" i="2"/>
  <c r="V468" i="2"/>
  <c r="V469" i="2"/>
  <c r="V471" i="2"/>
  <c r="V472" i="2"/>
  <c r="V473" i="2"/>
  <c r="V370" i="2"/>
  <c r="V474" i="2"/>
  <c r="V373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" i="2"/>
  <c r="CF198" i="2"/>
  <c r="W241" i="2" l="1"/>
  <c r="CE241" i="2"/>
  <c r="W189" i="2"/>
  <c r="W184" i="2"/>
  <c r="T463" i="2"/>
  <c r="X189" i="2" l="1"/>
  <c r="C19" i="3" l="1"/>
  <c r="D17" i="3"/>
  <c r="C3" i="3"/>
  <c r="C17" i="3" s="1"/>
  <c r="C18" i="3" s="1"/>
  <c r="C20" i="3" s="1"/>
  <c r="CB6" i="2"/>
  <c r="W6" i="2" l="1"/>
  <c r="X6" i="2" s="1"/>
  <c r="W188" i="2"/>
  <c r="W203" i="2"/>
  <c r="X260" i="2"/>
  <c r="W371" i="2" l="1"/>
  <c r="CA25" i="2"/>
  <c r="W459" i="2" l="1"/>
  <c r="W212" i="2"/>
  <c r="W214" i="2"/>
  <c r="BY241" i="2" l="1"/>
  <c r="W427" i="2" l="1"/>
  <c r="X187" i="2"/>
  <c r="W220" i="2"/>
  <c r="W186" i="2"/>
  <c r="W373" i="2"/>
  <c r="X35" i="2" l="1"/>
  <c r="BU9" i="2"/>
  <c r="X373" i="2"/>
  <c r="W370" i="2"/>
  <c r="W9" i="2" l="1"/>
  <c r="W168" i="2"/>
  <c r="W224" i="2"/>
  <c r="X259" i="2"/>
  <c r="W385" i="2"/>
  <c r="W409" i="2"/>
  <c r="W229" i="2"/>
  <c r="X223" i="2"/>
  <c r="X257" i="2"/>
  <c r="W426" i="2" l="1"/>
  <c r="X137" i="2"/>
  <c r="W142" i="2"/>
  <c r="X142" i="2" s="1"/>
  <c r="W265" i="2"/>
  <c r="X265" i="2" s="1"/>
  <c r="W167" i="2"/>
  <c r="X167" i="2" s="1"/>
  <c r="W256" i="2" l="1"/>
  <c r="W140" i="2"/>
  <c r="X415" i="2"/>
  <c r="W474" i="2"/>
  <c r="X358" i="2"/>
  <c r="P25" i="2"/>
  <c r="P9" i="2"/>
  <c r="O23" i="2"/>
  <c r="W350" i="2"/>
  <c r="W157" i="2"/>
  <c r="X350" i="2"/>
  <c r="W7" i="2"/>
  <c r="W366" i="2" l="1"/>
  <c r="W249" i="2"/>
  <c r="W166" i="2"/>
  <c r="W161" i="2"/>
  <c r="W3" i="2"/>
  <c r="W5" i="2"/>
  <c r="X194" i="2"/>
  <c r="W136" i="2"/>
  <c r="X191" i="2"/>
  <c r="W211" i="2"/>
  <c r="W227" i="2"/>
  <c r="W165" i="2"/>
  <c r="W154" i="2"/>
  <c r="X233" i="2"/>
  <c r="X30" i="2"/>
  <c r="X136" i="2" l="1"/>
  <c r="X186" i="2"/>
  <c r="X204" i="2" l="1"/>
  <c r="BL463" i="2"/>
  <c r="W248" i="2"/>
  <c r="N9" i="2" l="1"/>
  <c r="W239" i="2"/>
  <c r="BK232" i="2"/>
  <c r="W232" i="2" s="1"/>
  <c r="W444" i="2"/>
  <c r="W22" i="2"/>
  <c r="W141" i="2" l="1"/>
  <c r="X203" i="2" l="1"/>
  <c r="W12" i="2"/>
  <c r="W143" i="2"/>
  <c r="W176" i="2"/>
  <c r="W412" i="2" l="1"/>
  <c r="X266" i="2"/>
  <c r="BF9" i="2" l="1"/>
  <c r="W172" i="2"/>
  <c r="X172" i="2" l="1"/>
  <c r="W151" i="2"/>
  <c r="W158" i="2"/>
  <c r="X143" i="2"/>
  <c r="W174" i="2"/>
  <c r="X174" i="2" s="1"/>
  <c r="W254" i="2"/>
  <c r="X254" i="2" s="1"/>
  <c r="W147" i="2" l="1"/>
  <c r="AY25" i="2" l="1"/>
  <c r="W25" i="2" s="1"/>
  <c r="W470" i="2"/>
  <c r="K470" i="2" l="1"/>
  <c r="V470" i="2" s="1"/>
  <c r="X430" i="2"/>
  <c r="L23" i="2"/>
  <c r="L26" i="2"/>
  <c r="X213" i="2"/>
  <c r="X261" i="2"/>
  <c r="X268" i="2"/>
  <c r="X176" i="2"/>
  <c r="W250" i="2"/>
  <c r="L463" i="2"/>
  <c r="W419" i="2"/>
  <c r="X470" i="2" l="1"/>
  <c r="L241" i="2"/>
  <c r="V241" i="2" s="1"/>
  <c r="X165" i="2" l="1"/>
  <c r="BA241" i="2"/>
  <c r="L9" i="2" l="1"/>
  <c r="W262" i="2"/>
  <c r="AZ9" i="2"/>
  <c r="W149" i="2"/>
  <c r="W173" i="2"/>
  <c r="W152" i="2"/>
  <c r="X472" i="2"/>
  <c r="W466" i="2"/>
  <c r="X471" i="2"/>
  <c r="X152" i="2" l="1"/>
  <c r="X43" i="2"/>
  <c r="X184" i="2"/>
  <c r="X166" i="2"/>
  <c r="X466" i="2"/>
  <c r="X366" i="2"/>
  <c r="W179" i="2"/>
  <c r="W255" i="2"/>
  <c r="X255" i="2" s="1"/>
  <c r="W139" i="2"/>
  <c r="W417" i="2"/>
  <c r="W372" i="2"/>
  <c r="W170" i="2"/>
  <c r="X170" i="2" s="1"/>
  <c r="W153" i="2"/>
  <c r="X179" i="2" l="1"/>
  <c r="X418" i="2"/>
  <c r="K9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W367" i="2" l="1"/>
  <c r="X367" i="2" s="1"/>
  <c r="X188" i="2" l="1"/>
  <c r="W401" i="2" l="1"/>
  <c r="W46" i="2"/>
  <c r="AO9" i="2"/>
  <c r="J383" i="2"/>
  <c r="V383" i="2" s="1"/>
  <c r="J463" i="2"/>
  <c r="V463" i="2" s="1"/>
  <c r="X383" i="2" l="1"/>
  <c r="X401" i="2"/>
  <c r="W160" i="2"/>
  <c r="X154" i="2"/>
  <c r="X242" i="2"/>
  <c r="X248" i="2"/>
  <c r="X29" i="2"/>
  <c r="J23" i="2"/>
  <c r="X7" i="2"/>
  <c r="W240" i="2" l="1"/>
  <c r="H379" i="2" l="1"/>
  <c r="V379" i="2" s="1"/>
  <c r="X371" i="2"/>
  <c r="I26" i="2"/>
  <c r="H9" i="2"/>
  <c r="G25" i="2"/>
  <c r="V25" i="2" s="1"/>
  <c r="AP9" i="2" l="1"/>
  <c r="W462" i="2" l="1"/>
  <c r="W144" i="2" l="1"/>
  <c r="W171" i="2"/>
  <c r="X168" i="2"/>
  <c r="H211" i="2"/>
  <c r="V211" i="2" s="1"/>
  <c r="W34" i="2" l="1"/>
  <c r="W428" i="2"/>
  <c r="X193" i="2"/>
  <c r="W205" i="2"/>
  <c r="X205" i="2" l="1"/>
  <c r="X173" i="2"/>
  <c r="X161" i="2"/>
  <c r="H247" i="2"/>
  <c r="V247" i="2" s="1"/>
  <c r="AK247" i="2"/>
  <c r="W247" i="2" s="1"/>
  <c r="X247" i="2" l="1"/>
  <c r="X151" i="2"/>
  <c r="F452" i="2" l="1"/>
  <c r="V452" i="2" s="1"/>
  <c r="D465" i="2"/>
  <c r="V465" i="2" s="1"/>
  <c r="X171" i="2"/>
  <c r="X28" i="2"/>
  <c r="F26" i="2"/>
  <c r="V26" i="2" s="1"/>
  <c r="X40" i="2"/>
  <c r="E23" i="2"/>
  <c r="V23" i="2" s="1"/>
  <c r="X3" i="2"/>
  <c r="W27" i="2" l="1"/>
  <c r="X148" i="2"/>
  <c r="W178" i="2" l="1"/>
  <c r="W351" i="2" l="1"/>
  <c r="X178" i="2"/>
  <c r="X195" i="2"/>
  <c r="W235" i="2"/>
  <c r="W416" i="2" l="1"/>
  <c r="AD55" i="2"/>
  <c r="AE55" i="2" s="1"/>
  <c r="W375" i="2" l="1"/>
  <c r="Z9" i="2"/>
  <c r="X160" i="2" l="1"/>
  <c r="X200" i="2"/>
  <c r="W201" i="2" l="1"/>
  <c r="X105" i="2" l="1"/>
  <c r="W267" i="2"/>
  <c r="W180" i="2"/>
  <c r="X267" i="2" l="1"/>
  <c r="V871" i="2"/>
  <c r="X871" i="2" s="1"/>
  <c r="X870" i="2"/>
  <c r="X869" i="2"/>
  <c r="X868" i="2"/>
  <c r="X867" i="2"/>
  <c r="X866" i="2"/>
  <c r="X865" i="2"/>
  <c r="X864" i="2"/>
  <c r="X863" i="2"/>
  <c r="X862" i="2"/>
  <c r="X861" i="2"/>
  <c r="X860" i="2"/>
  <c r="X859" i="2"/>
  <c r="X858" i="2"/>
  <c r="X857" i="2"/>
  <c r="X856" i="2"/>
  <c r="X855" i="2"/>
  <c r="X854" i="2"/>
  <c r="X853" i="2"/>
  <c r="X852" i="2"/>
  <c r="X851" i="2"/>
  <c r="X850" i="2"/>
  <c r="X849" i="2"/>
  <c r="X848" i="2"/>
  <c r="X847" i="2"/>
  <c r="X846" i="2"/>
  <c r="X845" i="2"/>
  <c r="X844" i="2"/>
  <c r="X843" i="2"/>
  <c r="X842" i="2"/>
  <c r="X841" i="2"/>
  <c r="X840" i="2"/>
  <c r="X839" i="2"/>
  <c r="X838" i="2"/>
  <c r="X837" i="2"/>
  <c r="X836" i="2"/>
  <c r="X835" i="2"/>
  <c r="X834" i="2"/>
  <c r="X833" i="2"/>
  <c r="X832" i="2"/>
  <c r="X831" i="2"/>
  <c r="X830" i="2"/>
  <c r="X829" i="2"/>
  <c r="X828" i="2"/>
  <c r="X827" i="2"/>
  <c r="X826" i="2"/>
  <c r="X825" i="2"/>
  <c r="X824" i="2"/>
  <c r="X823" i="2"/>
  <c r="X822" i="2"/>
  <c r="X821" i="2"/>
  <c r="X820" i="2"/>
  <c r="X819" i="2"/>
  <c r="X818" i="2"/>
  <c r="X817" i="2"/>
  <c r="X816" i="2"/>
  <c r="X815" i="2"/>
  <c r="X814" i="2"/>
  <c r="X813" i="2"/>
  <c r="X812" i="2"/>
  <c r="X811" i="2"/>
  <c r="X810" i="2"/>
  <c r="X809" i="2"/>
  <c r="X808" i="2"/>
  <c r="X807" i="2"/>
  <c r="X806" i="2"/>
  <c r="X805" i="2"/>
  <c r="X804" i="2"/>
  <c r="X803" i="2"/>
  <c r="X802" i="2"/>
  <c r="X801" i="2"/>
  <c r="X800" i="2"/>
  <c r="X799" i="2"/>
  <c r="X798" i="2"/>
  <c r="X797" i="2"/>
  <c r="X796" i="2"/>
  <c r="X795" i="2"/>
  <c r="X794" i="2"/>
  <c r="X793" i="2"/>
  <c r="X792" i="2"/>
  <c r="X791" i="2"/>
  <c r="X790" i="2"/>
  <c r="X789" i="2"/>
  <c r="X788" i="2"/>
  <c r="X787" i="2"/>
  <c r="X786" i="2"/>
  <c r="X785" i="2"/>
  <c r="X784" i="2"/>
  <c r="X783" i="2"/>
  <c r="X782" i="2"/>
  <c r="X781" i="2"/>
  <c r="X780" i="2"/>
  <c r="X779" i="2"/>
  <c r="X778" i="2"/>
  <c r="X777" i="2"/>
  <c r="X776" i="2"/>
  <c r="X775" i="2"/>
  <c r="X774" i="2"/>
  <c r="X773" i="2"/>
  <c r="X772" i="2"/>
  <c r="X771" i="2"/>
  <c r="X770" i="2"/>
  <c r="X769" i="2"/>
  <c r="X768" i="2"/>
  <c r="X767" i="2"/>
  <c r="X766" i="2"/>
  <c r="X765" i="2"/>
  <c r="X764" i="2"/>
  <c r="X763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41" i="2"/>
  <c r="X740" i="2"/>
  <c r="X739" i="2"/>
  <c r="X738" i="2"/>
  <c r="X737" i="2"/>
  <c r="X736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408" i="2"/>
  <c r="X715" i="2"/>
  <c r="X714" i="2"/>
  <c r="X713" i="2"/>
  <c r="X712" i="2"/>
  <c r="X711" i="2"/>
  <c r="X710" i="2"/>
  <c r="X709" i="2"/>
  <c r="X379" i="2"/>
  <c r="X708" i="2"/>
  <c r="X707" i="2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438" i="2"/>
  <c r="X609" i="2"/>
  <c r="X608" i="2"/>
  <c r="X437" i="2"/>
  <c r="X607" i="2"/>
  <c r="X606" i="2"/>
  <c r="X605" i="2"/>
  <c r="X604" i="2"/>
  <c r="X603" i="2"/>
  <c r="X602" i="2"/>
  <c r="X601" i="2"/>
  <c r="X600" i="2"/>
  <c r="X599" i="2"/>
  <c r="X598" i="2"/>
  <c r="X597" i="2"/>
  <c r="X432" i="2"/>
  <c r="X596" i="2"/>
  <c r="X595" i="2"/>
  <c r="X594" i="2"/>
  <c r="X593" i="2"/>
  <c r="X429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421" i="2"/>
  <c r="X578" i="2"/>
  <c r="X577" i="2"/>
  <c r="X576" i="2"/>
  <c r="X575" i="2"/>
  <c r="X574" i="2"/>
  <c r="X573" i="2"/>
  <c r="X417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404" i="2"/>
  <c r="X552" i="2"/>
  <c r="X551" i="2"/>
  <c r="X550" i="2"/>
  <c r="X549" i="2"/>
  <c r="X548" i="2"/>
  <c r="X547" i="2"/>
  <c r="X546" i="2"/>
  <c r="X545" i="2"/>
  <c r="X399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389" i="2"/>
  <c r="X508" i="2"/>
  <c r="X507" i="2"/>
  <c r="X388" i="2"/>
  <c r="X506" i="2"/>
  <c r="X505" i="2"/>
  <c r="X504" i="2"/>
  <c r="X503" i="2"/>
  <c r="X502" i="2"/>
  <c r="X501" i="2"/>
  <c r="X387" i="2"/>
  <c r="X500" i="2"/>
  <c r="X499" i="2"/>
  <c r="X498" i="2"/>
  <c r="X497" i="2"/>
  <c r="X496" i="2"/>
  <c r="X384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376" i="2"/>
  <c r="X483" i="2"/>
  <c r="X482" i="2"/>
  <c r="X481" i="2"/>
  <c r="X480" i="2"/>
  <c r="X479" i="2"/>
  <c r="X478" i="2"/>
  <c r="X476" i="2"/>
  <c r="X475" i="2"/>
  <c r="X474" i="2"/>
  <c r="X370" i="2"/>
  <c r="X473" i="2"/>
  <c r="X469" i="2"/>
  <c r="X468" i="2"/>
  <c r="X467" i="2"/>
  <c r="X465" i="2"/>
  <c r="X372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6" i="2"/>
  <c r="X435" i="2"/>
  <c r="X434" i="2"/>
  <c r="X433" i="2"/>
  <c r="X431" i="2"/>
  <c r="X428" i="2"/>
  <c r="X427" i="2"/>
  <c r="X426" i="2"/>
  <c r="X425" i="2"/>
  <c r="X424" i="2"/>
  <c r="X423" i="2"/>
  <c r="X422" i="2"/>
  <c r="X420" i="2"/>
  <c r="X419" i="2"/>
  <c r="X416" i="2"/>
  <c r="X414" i="2"/>
  <c r="X413" i="2"/>
  <c r="X412" i="2"/>
  <c r="X411" i="2"/>
  <c r="X477" i="2"/>
  <c r="X410" i="2"/>
  <c r="X409" i="2"/>
  <c r="X407" i="2"/>
  <c r="X406" i="2"/>
  <c r="X405" i="2"/>
  <c r="X403" i="2"/>
  <c r="X402" i="2"/>
  <c r="X354" i="2"/>
  <c r="X400" i="2"/>
  <c r="X369" i="2"/>
  <c r="X398" i="2"/>
  <c r="X397" i="2"/>
  <c r="X396" i="2"/>
  <c r="X351" i="2"/>
  <c r="X395" i="2"/>
  <c r="X394" i="2"/>
  <c r="X393" i="2"/>
  <c r="X392" i="2"/>
  <c r="X391" i="2"/>
  <c r="X390" i="2"/>
  <c r="X386" i="2"/>
  <c r="X385" i="2"/>
  <c r="X382" i="2"/>
  <c r="X381" i="2"/>
  <c r="X380" i="2"/>
  <c r="X378" i="2"/>
  <c r="X377" i="2"/>
  <c r="X375" i="2"/>
  <c r="X374" i="2"/>
  <c r="X464" i="2"/>
  <c r="X365" i="2"/>
  <c r="X364" i="2"/>
  <c r="X363" i="2"/>
  <c r="X362" i="2"/>
  <c r="X361" i="2"/>
  <c r="X360" i="2"/>
  <c r="X359" i="2"/>
  <c r="X357" i="2"/>
  <c r="X356" i="2"/>
  <c r="X355" i="2"/>
  <c r="X368" i="2"/>
  <c r="X353" i="2"/>
  <c r="X352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0" i="2"/>
  <c r="X296" i="2"/>
  <c r="X293" i="2"/>
  <c r="X292" i="2"/>
  <c r="X289" i="2"/>
  <c r="X284" i="2"/>
  <c r="X283" i="2"/>
  <c r="X210" i="2"/>
  <c r="X282" i="2"/>
  <c r="X280" i="2"/>
  <c r="X277" i="2"/>
  <c r="X276" i="2"/>
  <c r="X275" i="2"/>
  <c r="X274" i="2"/>
  <c r="X273" i="2"/>
  <c r="X272" i="2"/>
  <c r="X271" i="2"/>
  <c r="X278" i="2"/>
  <c r="X302" i="2"/>
  <c r="X301" i="2"/>
  <c r="X299" i="2"/>
  <c r="X297" i="2"/>
  <c r="X295" i="2"/>
  <c r="X294" i="2"/>
  <c r="X291" i="2"/>
  <c r="X288" i="2"/>
  <c r="X287" i="2"/>
  <c r="X286" i="2"/>
  <c r="X285" i="2"/>
  <c r="X281" i="2"/>
  <c r="X279" i="2"/>
  <c r="X270" i="2"/>
  <c r="X269" i="2"/>
  <c r="X264" i="2"/>
  <c r="X263" i="2"/>
  <c r="X262" i="2"/>
  <c r="X180" i="2"/>
  <c r="X256" i="2"/>
  <c r="X253" i="2"/>
  <c r="X252" i="2"/>
  <c r="X251" i="2"/>
  <c r="X250" i="2"/>
  <c r="X249" i="2"/>
  <c r="X298" i="2"/>
  <c r="X246" i="2"/>
  <c r="X245" i="2"/>
  <c r="X244" i="2"/>
  <c r="X243" i="2"/>
  <c r="X241" i="2"/>
  <c r="X240" i="2"/>
  <c r="X239" i="2"/>
  <c r="X238" i="2"/>
  <c r="X237" i="2"/>
  <c r="X236" i="2"/>
  <c r="X290" i="2"/>
  <c r="X235" i="2"/>
  <c r="X162" i="2"/>
  <c r="X232" i="2"/>
  <c r="X231" i="2"/>
  <c r="X230" i="2"/>
  <c r="X228" i="2"/>
  <c r="X158" i="2"/>
  <c r="X227" i="2"/>
  <c r="Y227" i="2" s="1"/>
  <c r="X157" i="2"/>
  <c r="W155" i="2"/>
  <c r="E155" i="2"/>
  <c r="V155" i="2" s="1"/>
  <c r="X226" i="2"/>
  <c r="X156" i="2"/>
  <c r="X225" i="2"/>
  <c r="X224" i="2"/>
  <c r="X222" i="2"/>
  <c r="X220" i="2"/>
  <c r="X153" i="2"/>
  <c r="X219" i="2"/>
  <c r="X218" i="2"/>
  <c r="X217" i="2"/>
  <c r="X216" i="2"/>
  <c r="X214" i="2"/>
  <c r="X212" i="2"/>
  <c r="X209" i="2"/>
  <c r="X207" i="2"/>
  <c r="X206" i="2"/>
  <c r="X202" i="2"/>
  <c r="X147" i="2"/>
  <c r="X201" i="2"/>
  <c r="X144" i="2"/>
  <c r="X199" i="2"/>
  <c r="AH141" i="2"/>
  <c r="X140" i="2"/>
  <c r="X139" i="2"/>
  <c r="X198" i="2"/>
  <c r="X197" i="2"/>
  <c r="X196" i="2"/>
  <c r="X192" i="2"/>
  <c r="X190" i="2"/>
  <c r="X183" i="2"/>
  <c r="X182" i="2"/>
  <c r="X181" i="2"/>
  <c r="X177" i="2"/>
  <c r="X175" i="2"/>
  <c r="X169" i="2"/>
  <c r="X164" i="2"/>
  <c r="X163" i="2"/>
  <c r="X229" i="2"/>
  <c r="X159" i="2"/>
  <c r="X215" i="2"/>
  <c r="X150" i="2"/>
  <c r="X149" i="2"/>
  <c r="X211" i="2"/>
  <c r="X146" i="2"/>
  <c r="X145" i="2"/>
  <c r="X138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4" i="2"/>
  <c r="X51" i="2"/>
  <c r="X46" i="2"/>
  <c r="X103" i="2"/>
  <c r="X102" i="2"/>
  <c r="X101" i="2"/>
  <c r="X100" i="2"/>
  <c r="X99" i="2"/>
  <c r="X98" i="2"/>
  <c r="X32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17" i="2"/>
  <c r="X80" i="2"/>
  <c r="X79" i="2"/>
  <c r="X78" i="2"/>
  <c r="X77" i="2"/>
  <c r="X76" i="2"/>
  <c r="X16" i="2"/>
  <c r="X75" i="2"/>
  <c r="X74" i="2"/>
  <c r="X73" i="2"/>
  <c r="X72" i="2"/>
  <c r="X15" i="2"/>
  <c r="X71" i="2"/>
  <c r="X69" i="2"/>
  <c r="X68" i="2"/>
  <c r="X14" i="2"/>
  <c r="X67" i="2"/>
  <c r="X66" i="2"/>
  <c r="X65" i="2"/>
  <c r="X64" i="2"/>
  <c r="X63" i="2"/>
  <c r="X62" i="2"/>
  <c r="X61" i="2"/>
  <c r="X60" i="2"/>
  <c r="X13" i="2"/>
  <c r="X59" i="2"/>
  <c r="X58" i="2"/>
  <c r="X57" i="2"/>
  <c r="X54" i="2"/>
  <c r="X53" i="2"/>
  <c r="X52" i="2"/>
  <c r="X50" i="2"/>
  <c r="X49" i="2"/>
  <c r="X4" i="2"/>
  <c r="X48" i="2"/>
  <c r="X44" i="2"/>
  <c r="X42" i="2"/>
  <c r="X41" i="2"/>
  <c r="X38" i="2"/>
  <c r="X56" i="2"/>
  <c r="X36" i="2"/>
  <c r="X34" i="2"/>
  <c r="X5" i="2"/>
  <c r="X33" i="2"/>
  <c r="X31" i="2"/>
  <c r="X27" i="2"/>
  <c r="X26" i="2"/>
  <c r="X25" i="2"/>
  <c r="X24" i="2"/>
  <c r="X23" i="2"/>
  <c r="X22" i="2"/>
  <c r="X21" i="2"/>
  <c r="X20" i="2"/>
  <c r="X19" i="2"/>
  <c r="X18" i="2"/>
  <c r="X12" i="2"/>
  <c r="X11" i="2"/>
  <c r="X10" i="2"/>
  <c r="E9" i="2"/>
  <c r="V9" i="2" s="1"/>
  <c r="X37" i="2"/>
  <c r="X55" i="2"/>
  <c r="Y220" i="2" l="1"/>
  <c r="Z220" i="2" s="1"/>
  <c r="Z227" i="2"/>
  <c r="AA227" i="2" s="1"/>
  <c r="X9" i="2"/>
  <c r="X155" i="2"/>
  <c r="X141" i="2"/>
  <c r="AA220" i="2" l="1"/>
  <c r="AB220" i="2" s="1"/>
  <c r="AB227" i="2"/>
  <c r="AC220" i="2" l="1"/>
  <c r="AD220" i="2" s="1"/>
  <c r="AC227" i="2"/>
  <c r="AE220" i="2" l="1"/>
  <c r="AF220" i="2" s="1"/>
  <c r="AD227" i="2"/>
  <c r="AG220" i="2" l="1"/>
  <c r="AH220" i="2" s="1"/>
  <c r="AE227" i="2"/>
  <c r="AI220" i="2" l="1"/>
  <c r="AJ220" i="2" s="1"/>
  <c r="AF227" i="2"/>
  <c r="AK220" i="2" l="1"/>
  <c r="AL220" i="2" s="1"/>
  <c r="AG227" i="2"/>
  <c r="AM220" i="2" l="1"/>
  <c r="AN220" i="2" s="1"/>
  <c r="AH227" i="2"/>
  <c r="AI227" i="2" s="1"/>
  <c r="AO220" i="2" l="1"/>
  <c r="AP220" i="2" s="1"/>
  <c r="AJ227" i="2"/>
  <c r="AQ220" i="2" l="1"/>
  <c r="AR220" i="2" s="1"/>
  <c r="AK227" i="2"/>
  <c r="AS220" i="2" l="1"/>
  <c r="AT220" i="2" s="1"/>
  <c r="AL227" i="2"/>
  <c r="AM227" i="2" s="1"/>
  <c r="AU220" i="2" l="1"/>
  <c r="AN227" i="2"/>
  <c r="AO227" i="2" l="1"/>
  <c r="AP227" i="2" l="1"/>
  <c r="AQ227" i="2" s="1"/>
  <c r="AR227" i="2" l="1"/>
  <c r="AS227" i="2" s="1"/>
</calcChain>
</file>

<file path=xl/sharedStrings.xml><?xml version="1.0" encoding="utf-8"?>
<sst xmlns="http://schemas.openxmlformats.org/spreadsheetml/2006/main" count="7667" uniqueCount="1040">
  <si>
    <t>Mobile No.</t>
  </si>
  <si>
    <t>TCL AMT</t>
  </si>
  <si>
    <t>RCV</t>
  </si>
  <si>
    <t>MADHAV SHRESTHA</t>
  </si>
  <si>
    <t>FIX</t>
  </si>
  <si>
    <t>PADAM KHAMCHA</t>
  </si>
  <si>
    <t>SHRESTHA CONS GULMI</t>
  </si>
  <si>
    <t>ANUBHAV TRADE AND SUPPLIERS</t>
  </si>
  <si>
    <t>BAWARI CONTRUCTION [KRISHNA BASHYAL]</t>
  </si>
  <si>
    <t>9857057328</t>
  </si>
  <si>
    <t>BHOJ BDR KUNWAR</t>
  </si>
  <si>
    <t>BHOJRAJ NEUPANE , GORUSINGE</t>
  </si>
  <si>
    <t>9847124301</t>
  </si>
  <si>
    <t>BUDDHA JYOTI CONS.AND SUPPLIERS</t>
  </si>
  <si>
    <t>981286344</t>
  </si>
  <si>
    <t>CHURAMANI BASHYAL</t>
  </si>
  <si>
    <t>CRYSTAL EYE</t>
  </si>
  <si>
    <t>DIPAK GURUNG RIDI 9766315441</t>
  </si>
  <si>
    <t>DURGA INTERPRISES</t>
  </si>
  <si>
    <t>G AND G TRADE[ GANESH JEE],BUTWAL</t>
  </si>
  <si>
    <t>9867427099</t>
  </si>
  <si>
    <t>GANDAKI AUTO , LILA DAI</t>
  </si>
  <si>
    <t>GOKUL JEE H P 385320</t>
  </si>
  <si>
    <t>9857025061</t>
  </si>
  <si>
    <t>GROWING ENTERPRISE</t>
  </si>
  <si>
    <t>GURUNG DAI PALPA</t>
  </si>
  <si>
    <t>KIRAN JEE/ LUMBINI MEDICAL COLLAGE</t>
  </si>
  <si>
    <t>9847001932</t>
  </si>
  <si>
    <t>MASTA BAGESHWOR NEW TRADERS</t>
  </si>
  <si>
    <t>METRO TYRE KTM</t>
  </si>
  <si>
    <t>NARAYAN SHAHI</t>
  </si>
  <si>
    <t>R.P DAI</t>
  </si>
  <si>
    <t>9847029398</t>
  </si>
  <si>
    <t>RAMAYCHAP CON.[HAMU] BATTERY</t>
  </si>
  <si>
    <t>9847038203</t>
  </si>
  <si>
    <t>RAMESH KARMCHARA</t>
  </si>
  <si>
    <t>9857025241</t>
  </si>
  <si>
    <t xml:space="preserve">S AND R CONS </t>
  </si>
  <si>
    <t>SANJAY KARMACHARYA , SUNWAL</t>
  </si>
  <si>
    <t>SAROJ SHARMA [GUDDU] 2486</t>
  </si>
  <si>
    <t>9852029539</t>
  </si>
  <si>
    <t>SHYAMKAJI ADHIKARI</t>
  </si>
  <si>
    <t>SIRDHAR RAJ KANDEL [PARASI]</t>
  </si>
  <si>
    <t>SUBBHA KHATRI [4463]</t>
  </si>
  <si>
    <t>9857833715</t>
  </si>
  <si>
    <t>SUN BRICK INDUSTRIES</t>
  </si>
  <si>
    <t>TANKA ADHIKARI [ SELF ]</t>
  </si>
  <si>
    <t>9857020745</t>
  </si>
  <si>
    <t>TIRUPATI NIRMAN SEWA , SUNWAL</t>
  </si>
  <si>
    <t>SHAMBHU</t>
  </si>
  <si>
    <t>TOYA LAMSAL [DOBHAN] 9313</t>
  </si>
  <si>
    <t>9857024115</t>
  </si>
  <si>
    <t>3D MD ART</t>
  </si>
  <si>
    <t>9857039484</t>
  </si>
  <si>
    <t xml:space="preserve">ASTANGA MEDICAL </t>
  </si>
  <si>
    <t>BHATTRAI SUPPLIERS PALPA  9847372585</t>
  </si>
  <si>
    <t>BL= A.R.M [J.P SUPPLIERS]</t>
  </si>
  <si>
    <t>BL=ANIL SHRESTHA / RAJKUMAR SHRESTHA</t>
  </si>
  <si>
    <t>9826193134</t>
  </si>
  <si>
    <t>BL=ARJUN GHIMIRE BUTWAL</t>
  </si>
  <si>
    <t>9857028591</t>
  </si>
  <si>
    <t>BL=ARJUN MOTER [MUKTI G.C]</t>
  </si>
  <si>
    <t>9843540869</t>
  </si>
  <si>
    <t>BL=ARUN[ARUN KACHAPATI]</t>
  </si>
  <si>
    <t>9857027900</t>
  </si>
  <si>
    <t>BL=BIPIN  SHRESTHA - PYUTHAN</t>
  </si>
  <si>
    <t>9867746500</t>
  </si>
  <si>
    <t>BL=BUTWAL LIGHT HOUSE [YOUG]</t>
  </si>
  <si>
    <t>BL=CHAKRA ACHARYA</t>
  </si>
  <si>
    <t>9857020164</t>
  </si>
  <si>
    <t>BL=DAMER GIRI [SAROJ PARIYAR] 2094</t>
  </si>
  <si>
    <t>9817505221</t>
  </si>
  <si>
    <t>BL=DEEPAK K.C [GULMI]</t>
  </si>
  <si>
    <t>BL=DEURALI DARSHAN MINING PVT.LTT[URAJ]</t>
  </si>
  <si>
    <t>9851167681</t>
  </si>
  <si>
    <t>BL=DINESH ADHIKARI [ANSU]</t>
  </si>
  <si>
    <t>9802670596</t>
  </si>
  <si>
    <t>BL=DIPAK POKHREL ,PALPA</t>
  </si>
  <si>
    <t>9857065522</t>
  </si>
  <si>
    <t>BL=Edan English Boarding School / ARJUN</t>
  </si>
  <si>
    <t>9847047662</t>
  </si>
  <si>
    <t>BL=GOPAL ADHIKARI CHETTRI BELBAS</t>
  </si>
  <si>
    <t>9805430001</t>
  </si>
  <si>
    <t>9857020409</t>
  </si>
  <si>
    <t>BL=LAXMAN KHATIWADA 2022</t>
  </si>
  <si>
    <t>9847077256</t>
  </si>
  <si>
    <t>BL=NEPAL LIGHT HOUSE , MANIGRAM</t>
  </si>
  <si>
    <t>BL=NISHAN SUPPLIERS P.LTD / RAJENDRA DAKAL</t>
  </si>
  <si>
    <t>9857021308</t>
  </si>
  <si>
    <t>BL=PRAKASH G.C [DIVERTOLE]</t>
  </si>
  <si>
    <t>9857065291</t>
  </si>
  <si>
    <t>BL=RAKESH SHAHI</t>
  </si>
  <si>
    <t>BL=RAM JEE GURUNG [9696] / SAROJ</t>
  </si>
  <si>
    <t>9802623182</t>
  </si>
  <si>
    <t>BL=RAM TIWARI , BUTWAL</t>
  </si>
  <si>
    <t>BL=RAMMANI DAI [DOVAN DISTILARY]</t>
  </si>
  <si>
    <t>9851060950</t>
  </si>
  <si>
    <t>BL=SABUJ CONTRUCTIONS / SHAMBHU SILWAL</t>
  </si>
  <si>
    <t>9851095730</t>
  </si>
  <si>
    <t>BL=SAROJ KARKI/KARNA BRD.KARKI</t>
  </si>
  <si>
    <t>9857020390</t>
  </si>
  <si>
    <t>BL=SHAKTI TYRE AND TRADE [CHURAMANI]</t>
  </si>
  <si>
    <t>9847554193</t>
  </si>
  <si>
    <t>BL=SHANKAR ACHARAYA [BISHNU SUBEDI]</t>
  </si>
  <si>
    <t>9857826530</t>
  </si>
  <si>
    <t>BL=SHANKAR ACHARYA BUTWAL</t>
  </si>
  <si>
    <t>9847147987</t>
  </si>
  <si>
    <t>BL=SHANKAR PARAJULI [BUTWAL]</t>
  </si>
  <si>
    <t>BL=SHYAM SHRESTHA ,GULMI</t>
  </si>
  <si>
    <t>9857067771</t>
  </si>
  <si>
    <t>BL=SUBIN [GIRI TRADE SUPPLIERS]</t>
  </si>
  <si>
    <t>9857023330</t>
  </si>
  <si>
    <t>BL=SUBIN [LIGHT HOUSE]</t>
  </si>
  <si>
    <t>9857030130</t>
  </si>
  <si>
    <t>BL=TIKA  K.C [GULMI]</t>
  </si>
  <si>
    <t>9857026958</t>
  </si>
  <si>
    <t>BL=VISION MULTI BUSINESS [RAJU GURUNG/SU</t>
  </si>
  <si>
    <t>CCTV [KRISHNA]</t>
  </si>
  <si>
    <t>9857010668</t>
  </si>
  <si>
    <t>GOPI RAM BANJARA/ROSE INVESMENT COMPANY</t>
  </si>
  <si>
    <t>9855067657</t>
  </si>
  <si>
    <t>HARI POUDEL</t>
  </si>
  <si>
    <t>JAGADISH ACHARYA</t>
  </si>
  <si>
    <t>KRISHNA THAPA [YUBHASANG NEPAL]</t>
  </si>
  <si>
    <t>9851139238</t>
  </si>
  <si>
    <t>LAHURE TYRE PASAL ROLPA</t>
  </si>
  <si>
    <t>LAXMI NIRMAN/ MALIKA MULTIPURPOSE</t>
  </si>
  <si>
    <t>9841171631</t>
  </si>
  <si>
    <t>MARKHANDA BHANDARI  9857030719</t>
  </si>
  <si>
    <t>PANDEY WORKSOAP</t>
  </si>
  <si>
    <t>S.K MOTERPARTS [ROLPA]</t>
  </si>
  <si>
    <t>9848034448</t>
  </si>
  <si>
    <t>SANTOSH OIL DISTRIBUTORS / SANJAY</t>
  </si>
  <si>
    <t>9843834064</t>
  </si>
  <si>
    <t>SHUBHA RN SUPPLIERS</t>
  </si>
  <si>
    <t>SHINING STAR BOARDING</t>
  </si>
  <si>
    <t>SURESH KARMACHARYA PALPA</t>
  </si>
  <si>
    <t>TIRUPATI NIRMAN SEWA [GUNAKHER]</t>
  </si>
  <si>
    <t>DELTA KALIKA CONSTRUCTION</t>
  </si>
  <si>
    <t xml:space="preserve">INTERECTUIAL ACDEMY </t>
  </si>
  <si>
    <t>JAY PRABHU SUPPLIERS</t>
  </si>
  <si>
    <t>SANJAY</t>
  </si>
  <si>
    <t>JITENDRA CHOUDARI</t>
  </si>
  <si>
    <t>JOI LAMI</t>
  </si>
  <si>
    <t>KESHAV ARYAL JAY PRABHU</t>
  </si>
  <si>
    <t>MILAN MAMA ,PALPA[4017]</t>
  </si>
  <si>
    <t>RAJAN THAPA BERUWA</t>
  </si>
  <si>
    <t>RAJKUMAR BHATTRAI</t>
  </si>
  <si>
    <t>RK SUPPLIERS</t>
  </si>
  <si>
    <t>S.S IDEA CONSULTANCY[KTM]</t>
  </si>
  <si>
    <t>SARBOTAM CEMENT [PANDEY JEE]</t>
  </si>
  <si>
    <t>SHREE RAM TOBACCO / LAXMAN GYAWALI</t>
  </si>
  <si>
    <t>PURBHANCHAL E-RICKSAW SUPPLIERS</t>
  </si>
  <si>
    <t>9857080566</t>
  </si>
  <si>
    <t xml:space="preserve">APF BARDHAGHAT </t>
  </si>
  <si>
    <t>ISHWOR SHRESTHA</t>
  </si>
  <si>
    <t>MB AUTO MOBILES</t>
  </si>
  <si>
    <t>DIPAK SARU 9767602513</t>
  </si>
  <si>
    <t>DIL BDR KUNWAR MAINABAGAR</t>
  </si>
  <si>
    <t>JON MOTER PARTS</t>
  </si>
  <si>
    <t>DELUNGA BHAIRAB CONS</t>
  </si>
  <si>
    <t>SHER BDR MAMA</t>
  </si>
  <si>
    <t>SURESH BHAI</t>
  </si>
  <si>
    <t>GOMA STI 083-02</t>
  </si>
  <si>
    <t>STI</t>
  </si>
  <si>
    <t>ANIL GC BUTWAL</t>
  </si>
  <si>
    <t>DEEP BOARDING</t>
  </si>
  <si>
    <t>DHARMA DAI BUDDHA BK</t>
  </si>
  <si>
    <t>5 GATE</t>
  </si>
  <si>
    <t>GOPAL GAIRE BUTWAL</t>
  </si>
  <si>
    <t>GYANU MOTER PARTS</t>
  </si>
  <si>
    <t>HARI OM MASALA UDHYOG</t>
  </si>
  <si>
    <t>INTER TECH PLASTIC                                                                -32199</t>
  </si>
  <si>
    <t>KUM KUM DHUWANI SEWA</t>
  </si>
  <si>
    <t>MILAN BASNET</t>
  </si>
  <si>
    <t>SUMAN SAPKOTA</t>
  </si>
  <si>
    <t>SUMINA MOTER PARTS</t>
  </si>
  <si>
    <t xml:space="preserve">THAPA ENGINEARING </t>
  </si>
  <si>
    <t>tribhuwan united acdemy</t>
  </si>
  <si>
    <t>WAGLA SWASTYA CHOUKI</t>
  </si>
  <si>
    <t>AMUL DEARY</t>
  </si>
  <si>
    <t>BIKRAM BISTA</t>
  </si>
  <si>
    <t>KUMODINI ENGLISH BOARDING</t>
  </si>
  <si>
    <t>MOONLIGHT BOARDING</t>
  </si>
  <si>
    <t>RK CONSTRUCTION</t>
  </si>
  <si>
    <t>ABINASH NEUPANE 98570</t>
  </si>
  <si>
    <t>ANFA [BUDDI VENA]</t>
  </si>
  <si>
    <t>9857027218</t>
  </si>
  <si>
    <t>ANIL NARAYAN BOHARA</t>
  </si>
  <si>
    <t>ASHOK SHRESTHA[TIKA-LAHURA] 1397</t>
  </si>
  <si>
    <t>BAWARI CONSTRUCTION</t>
  </si>
  <si>
    <t>bhattrai TYRE SUPPLIERS PALPA</t>
  </si>
  <si>
    <t>BIKRAM KUNWAR</t>
  </si>
  <si>
    <t>BISHNU GHIMIRE RAMESH CHETRI</t>
  </si>
  <si>
    <t>BISHNU GHIMIRE SWASTICA</t>
  </si>
  <si>
    <t>DAJUBHAI DHUWANI SEWA</t>
  </si>
  <si>
    <t>DIPAK KRISHANA SHRESTHA</t>
  </si>
  <si>
    <t>FOREEVER CONS</t>
  </si>
  <si>
    <t>GARMJA NIRMAN SEWA / TESLA CON.</t>
  </si>
  <si>
    <t>9857062223</t>
  </si>
  <si>
    <t>GBC HEART HOSPITAL</t>
  </si>
  <si>
    <t>GOPAL GAIRE PALPA</t>
  </si>
  <si>
    <t>HIMAL TRADERS DANG</t>
  </si>
  <si>
    <t>ISHWOR SHRESTHA BISHNU BK</t>
  </si>
  <si>
    <t>ISHWOR SHRESTHA DOL BDR THAPA  9748800844</t>
  </si>
  <si>
    <t>ISHWOR SHRESTHA RAM BDR BASNET</t>
  </si>
  <si>
    <t>JANA SEWACONS</t>
  </si>
  <si>
    <t>KABIRAJ GAWALI</t>
  </si>
  <si>
    <t>9847047644</t>
  </si>
  <si>
    <t>KAMAL JEE GBC</t>
  </si>
  <si>
    <t>KARKI BROTHERS</t>
  </si>
  <si>
    <t>KESHAV ARYAL/SAHAYAATRA MULTI PURPOSE</t>
  </si>
  <si>
    <t>KINGSMAN BRIDGE FACTORY</t>
  </si>
  <si>
    <t>KRISHANA DAI CENETARY</t>
  </si>
  <si>
    <t>KRISHNA BASHYAL [JUMSA]</t>
  </si>
  <si>
    <t>LALU KANDEL/ SHIVA SAPKOTA (9816453381)</t>
  </si>
  <si>
    <t>9846955477</t>
  </si>
  <si>
    <t>LUMBINI MEDICAL COLLAGE</t>
  </si>
  <si>
    <t>MADHAV LAMSAL MB AUTO</t>
  </si>
  <si>
    <t>MANAKAMNA ETTA UDYOG [TANKA ADIKARI]</t>
  </si>
  <si>
    <t>MANI GANGA DHUWANI SEWA</t>
  </si>
  <si>
    <t>MANOJ NEPAL[8296]-9857028222</t>
  </si>
  <si>
    <t xml:space="preserve">MILIJULI SPARE PARTS </t>
  </si>
  <si>
    <t>NARAYAN CHETRI</t>
  </si>
  <si>
    <t>NIM CONS</t>
  </si>
  <si>
    <t>OSIAN AUTO</t>
  </si>
  <si>
    <t xml:space="preserve">PANCHA TARA PYPE </t>
  </si>
  <si>
    <t>PRAKASH KUNWAR BURTIBANG</t>
  </si>
  <si>
    <t>S AND R CONSTRUCTION</t>
  </si>
  <si>
    <t>S.S MULTIBUSINESS PVT.LTD</t>
  </si>
  <si>
    <t>9857037156</t>
  </si>
  <si>
    <t>SAROJ SARMA [GUDDU] 2486</t>
  </si>
  <si>
    <t>SHREE NEW DEURALI DARSAN DHUWANI</t>
  </si>
  <si>
    <t>SWABHIMAN CONSTRUCTION P.LTD</t>
  </si>
  <si>
    <t>TAMANNA [TOYA LAMSAL]</t>
  </si>
  <si>
    <t>SHINING STAR BOARDING SCHOOL 9857021735</t>
  </si>
  <si>
    <t>KAMDHENU DHUWANI SEWA 9857022973</t>
  </si>
  <si>
    <t>LAHURE TYRE PASAL</t>
  </si>
  <si>
    <t>LAXMAN JHAPENDRA BALAL</t>
  </si>
  <si>
    <t>RISTRIYA PARIKSHYA BORD</t>
  </si>
  <si>
    <t xml:space="preserve">3 D MD </t>
  </si>
  <si>
    <t>B.S CONSTRUCTION ,PALPA</t>
  </si>
  <si>
    <t>9857060537</t>
  </si>
  <si>
    <t>DOVAN SUPPLIERS PVT.LTD</t>
  </si>
  <si>
    <t>GARAUN KALIKA TYRE STORE</t>
  </si>
  <si>
    <t>KRISH DAI</t>
  </si>
  <si>
    <t>KRISHANA KARKI PALPA 9857060669</t>
  </si>
  <si>
    <t>KRISHANAUPADHAYA POKHREL [SANJAY]</t>
  </si>
  <si>
    <t>LALU KANDEL SEMLAR</t>
  </si>
  <si>
    <t>MANISH [PUTTA]</t>
  </si>
  <si>
    <t>R.N CONSTRUCTION -PALPA</t>
  </si>
  <si>
    <t>RAJKUMAR CHOUDARI NIRMAN</t>
  </si>
  <si>
    <t>S KUMARI DHUWANI SEWA</t>
  </si>
  <si>
    <t>SURYA THAPA 9857083829/</t>
  </si>
  <si>
    <t>VISION GULMI CONSTRUCTION  AND SUPPLIERS</t>
  </si>
  <si>
    <t>9867753015</t>
  </si>
  <si>
    <t>DIPAK KHATRI GULMI</t>
  </si>
  <si>
    <t>BHAWANA CONS</t>
  </si>
  <si>
    <t>BIKASH REGMI [9314]</t>
  </si>
  <si>
    <t>9857060057</t>
  </si>
  <si>
    <t>BISHNU POUDEL</t>
  </si>
  <si>
    <t>CHARCHARAY CONS.TRANSPORT</t>
  </si>
  <si>
    <t>DEVI THAN SATAYAWATI SUPPLIERS</t>
  </si>
  <si>
    <t>DIPAK CHAPAGAI,SUNWAL</t>
  </si>
  <si>
    <t>dipak fom</t>
  </si>
  <si>
    <t>G.M AUTO MOBILES[ SUNWAL]</t>
  </si>
  <si>
    <t>9857028806</t>
  </si>
  <si>
    <t>GC HARDWEAR PALPA</t>
  </si>
  <si>
    <t xml:space="preserve">GHANASHYAM SAPKOTA </t>
  </si>
  <si>
    <t>KASISH AUTO,KAWASOTI</t>
  </si>
  <si>
    <t>LAXMI NIRMAN SEWA</t>
  </si>
  <si>
    <t>MEGA MULTIPURPOSE P.LTD</t>
  </si>
  <si>
    <t>NEPAL BIDDUT SI NA PA 9843186640</t>
  </si>
  <si>
    <t>SHREE RAM TOBAKO UDHYOK [BHART]</t>
  </si>
  <si>
    <t>9857030387</t>
  </si>
  <si>
    <t>TEJENDRA KRISHANA SHRESTHA</t>
  </si>
  <si>
    <t xml:space="preserve">ANJILA AUTO MOBILES </t>
  </si>
  <si>
    <t>APECHYA HARDWEAR</t>
  </si>
  <si>
    <t>BISHNU GYAWALI PALPA</t>
  </si>
  <si>
    <t>BUTWAL ELIGHT SCHOOL</t>
  </si>
  <si>
    <t>ELIGHT CONS</t>
  </si>
  <si>
    <t>ISHWOR SHRESTHA BALKRISHANA ACHARYA</t>
  </si>
  <si>
    <t>ISHWOR SHRESTHA SURYA BAGELE</t>
  </si>
  <si>
    <t>LIVE PHARMATUCALS</t>
  </si>
  <si>
    <t>LOVE KUMAR THAPA</t>
  </si>
  <si>
    <t>LUMBINI SHIKSHA NIKETAN</t>
  </si>
  <si>
    <t>SMRITI MONTESORI</t>
  </si>
  <si>
    <t>SANDIP BHAI</t>
  </si>
  <si>
    <t>SAFAL MOTERPARTS</t>
  </si>
  <si>
    <t>SHIIVA SHAKTI PET IND</t>
  </si>
  <si>
    <t>SUBEDI HARDWEAR NAYA MILL</t>
  </si>
  <si>
    <t>KHADKA BAHADUR CHHETRI [BATTERY]</t>
  </si>
  <si>
    <t>KAMAL JEE ABC</t>
  </si>
  <si>
    <t xml:space="preserve">PANDEY WORKS </t>
  </si>
  <si>
    <t>BISHNU ARYAL, KHARBANG</t>
  </si>
  <si>
    <t>NATIONAL AUTO MOBILES</t>
  </si>
  <si>
    <t>SANTA CONSTRUCTION</t>
  </si>
  <si>
    <t>THUL DAI PALPA</t>
  </si>
  <si>
    <t>FIROJ MIYA ARGHAKHANCHI</t>
  </si>
  <si>
    <t>SUNIL JEE PASHUPATI TR  9857011085</t>
  </si>
  <si>
    <t>AASHIS KARKI BURTIBANG</t>
  </si>
  <si>
    <t>ISHWOR SHRESTHA DIN BDR BK</t>
  </si>
  <si>
    <t>MUSTANG JAL IND</t>
  </si>
  <si>
    <t>PANDEY WORKS</t>
  </si>
  <si>
    <t>RAJESH PANTHA</t>
  </si>
  <si>
    <t>SHREE SAJHA TRANSPORT</t>
  </si>
  <si>
    <t>SUBEDI HARDWEAR BURTIBANG  9857058108</t>
  </si>
  <si>
    <t>STR 083-02</t>
  </si>
  <si>
    <t>BOLBOM CONS 9857031217</t>
  </si>
  <si>
    <t>CHANDRA SURYA HARDWEAR  9867148508</t>
  </si>
  <si>
    <t>DELUNGA BHAIRAB DHUWANI SEWA 9847098959</t>
  </si>
  <si>
    <t>GHARANA FOODS</t>
  </si>
  <si>
    <t>HARI POKHREL 9857016337</t>
  </si>
  <si>
    <t>HIMALI DHUWANI SEWA</t>
  </si>
  <si>
    <t>KINS MAN BRIDGE FACTORY 98570346156</t>
  </si>
  <si>
    <t>LITTLE FLAWAR BOARDING  9857030867</t>
  </si>
  <si>
    <t>MALVIN SUPPLIERS</t>
  </si>
  <si>
    <t>Mohit Bhattrai-4569-9841355552</t>
  </si>
  <si>
    <t>RK CONSTRUCTION KESHAV 9847459832</t>
  </si>
  <si>
    <t>rubi yatayat pvt ltd 9857035812</t>
  </si>
  <si>
    <t>SHINING STAR BOARDING 9857032735</t>
  </si>
  <si>
    <t>SHREE DAUNNE FITS 9857016835</t>
  </si>
  <si>
    <t>SR FOODS 9857015152</t>
  </si>
  <si>
    <t>[M] GRASS BIKARS[SAROJ] 9817414348</t>
  </si>
  <si>
    <t>[M]ASHOK KUMAR GUPTA/9843222264</t>
  </si>
  <si>
    <t>ASHOK YADAVE [9179] 9807562316</t>
  </si>
  <si>
    <t>6 GATE</t>
  </si>
  <si>
    <t>BABURAM PARIYAR[1196]9857010913</t>
  </si>
  <si>
    <t>BALIRAM HARIJAN[9805448842]</t>
  </si>
  <si>
    <t>BAUNNKOTI CONSTRUCTION/9857021291</t>
  </si>
  <si>
    <t>BISHNU ARYAL  9867610624</t>
  </si>
  <si>
    <t>BL-ARYALBROTHERS[7612] 98570181229857016239</t>
  </si>
  <si>
    <t>BL-LAXMAN POUDEL/DILLI BDR.OLI 9847022927</t>
  </si>
  <si>
    <t>BL-MAHESH BHAAT [9752] 9857022781/</t>
  </si>
  <si>
    <t>BL-MILAN CHAUDARY [5913] 9811507245/9846282446</t>
  </si>
  <si>
    <t>BL-OM OIL [9857023031]</t>
  </si>
  <si>
    <t>BL-PARDIP THAPA [173] 9857010479</t>
  </si>
  <si>
    <t>BL-PARSURAM YADAB [3733] 9857046481</t>
  </si>
  <si>
    <t>BNS DHUWANI SEWA 9811544296</t>
  </si>
  <si>
    <t>BRIJESH YADAV-BETHARI-9807503884-9582</t>
  </si>
  <si>
    <t>CHAITENYA READY MIX PVT LTD 9802784354</t>
  </si>
  <si>
    <t>CHHINI LAL YADAV 9800751523</t>
  </si>
  <si>
    <t>DHAKREY TRANS(BIKRAM PANTHI)9847534690</t>
  </si>
  <si>
    <t>DHAN BIR NEPALI[4544]9864382746</t>
  </si>
  <si>
    <t>DHURBA KOIRALA 9856067868</t>
  </si>
  <si>
    <t>G AND G TRADE 9847427094</t>
  </si>
  <si>
    <t>GANESH RIJAL[0065]9857060030</t>
  </si>
  <si>
    <t>GOPAL DAHAL [5287] [9857022327]</t>
  </si>
  <si>
    <t>GOPAL GAIRE[9481]9841784572</t>
  </si>
  <si>
    <t>GURUNG DAP PALPA 9847067470</t>
  </si>
  <si>
    <t>HIMALAYAN TRANSPORT[3611] 9857022258</t>
  </si>
  <si>
    <t>INDRA B.K[9829254790]</t>
  </si>
  <si>
    <t>KAARKA BDR DHUWANI SEWA 9805443334</t>
  </si>
  <si>
    <t>KHARKA BDR DHUWANI SEWA  9857042335</t>
  </si>
  <si>
    <t>KHEM BRD. THARU[9867241876 JAHADA</t>
  </si>
  <si>
    <t>KRISHNA DHUNGANA DHUWANI SEWA[9857030533]</t>
  </si>
  <si>
    <t>KUBER RANA BIJAY DAI 9847123986</t>
  </si>
  <si>
    <t>MADAN LAMSAL [7338] [9857012114]</t>
  </si>
  <si>
    <t>MADHAV CHAPAGAIN  9857065900</t>
  </si>
  <si>
    <t>MAHESH KALWAR(8369)9807509208</t>
  </si>
  <si>
    <t>MAILA DAI,SYANJA[9806684216] 9826660379</t>
  </si>
  <si>
    <t>Mandrika mauriya 9820691555</t>
  </si>
  <si>
    <t>MILAN BASNET PALPA  9857065367</t>
  </si>
  <si>
    <t>NAAJ ANSARI [9807412181)</t>
  </si>
  <si>
    <t>NARAYAN SHAHI  9847007976</t>
  </si>
  <si>
    <t>PADAM KHAMCHA 9856052361</t>
  </si>
  <si>
    <t>PRAKASH DUMRE3612] 9857036676</t>
  </si>
  <si>
    <t>RAJ TRANSPORT,BELAHIYA[1265]9811962498/9857015248</t>
  </si>
  <si>
    <t>RAJAN PATHAK 9857025690</t>
  </si>
  <si>
    <t>RAM BDR TAMANG  9827414431</t>
  </si>
  <si>
    <t>S.T.T  A.R.M RAM B.THAPA[9857026116]</t>
  </si>
  <si>
    <t>S.T.T - RAMESH KARMACHARYA [3480] 9857025241</t>
  </si>
  <si>
    <t>S.T.T BABRI CONSTRUCTION/9857057328</t>
  </si>
  <si>
    <t>S.T.T KANUN DHUWANI SEWA  9804402531</t>
  </si>
  <si>
    <t>S.T.T KEDARNATH CON.[PRABIN] 9847297307</t>
  </si>
  <si>
    <t>S.T.T MAHENDRA KARKI [8602] 9802638595</t>
  </si>
  <si>
    <t>S.T.T MANKAMANA ETTA SUNIL KARKI 9857057604</t>
  </si>
  <si>
    <t xml:space="preserve">S.T.T MANOKAMANA ETTA -9847039400/ </t>
  </si>
  <si>
    <t>S.T.T MOHAN [SURKHAT DHUWANI] 8176 -9857038767</t>
  </si>
  <si>
    <t>S.T.T NARAYAN BHATTARI[3941] 9857080109/9857080110</t>
  </si>
  <si>
    <t>S.T.T PANDAY[SHREE LAXMI DHUWANI SEWA] 9857020135</t>
  </si>
  <si>
    <t>S.T.T SANTOSH BHANDARY[9440] 9857035810</t>
  </si>
  <si>
    <t>S.T.T SAROJ SARMA[GUDDU] 2486-9852029539</t>
  </si>
  <si>
    <t>S.T.T SHYAM KAJI ADIKARI [5735] 9856020211</t>
  </si>
  <si>
    <t>S.T.T SUN BRICK INDUSTRIS [5073] 9847044079</t>
  </si>
  <si>
    <t>S.T.T SUPA DAURALI PET [MAHESH] 9847077256</t>
  </si>
  <si>
    <t>S.T.T TANKA ADIKARI [ 9857020745 ]</t>
  </si>
  <si>
    <t>S.T.T -TIKA K.C.[9857026958]</t>
  </si>
  <si>
    <t>S.T.T TIRUPATI NIRMAN SEWA [SUNWAL ] 9857029440</t>
  </si>
  <si>
    <t>S.T.T TOYA LAMSHAL[9312] 9857024115</t>
  </si>
  <si>
    <t>S.T.T. ANIL SHRESTHA [3310] 9857026710</t>
  </si>
  <si>
    <t>S.T.TGOKUL SUNAR[70] 9855043150</t>
  </si>
  <si>
    <t>SALU BHAR[342]9824451648/9847471249</t>
  </si>
  <si>
    <t>SANDEEP [PALPALI] 8964 -9847009655/10 MIN INQUERY</t>
  </si>
  <si>
    <t>SANDIP TYRE GALYANG  9846070116</t>
  </si>
  <si>
    <t xml:space="preserve">shree new deurali darsan dhuwani sewa </t>
  </si>
  <si>
    <t>SHRESTHA CONSTRUCTION  9857023390</t>
  </si>
  <si>
    <t>STT BUDDHA JYOTI CONTRACTOR-HANSI-9813286344</t>
  </si>
  <si>
    <t>STT THUL DAI PALPA 9847596015</t>
  </si>
  <si>
    <t>SUBASH SAHANI/9847211213/9806943174</t>
  </si>
  <si>
    <t>SUDEEP KHANAL[272] 9847301871</t>
  </si>
  <si>
    <t>SUNIL KUNWAR  9857048683</t>
  </si>
  <si>
    <t>SURENDRA BHATTRAI 9847532785</t>
  </si>
  <si>
    <t>T-HUSAN TYRE WALA -9804483878</t>
  </si>
  <si>
    <t>TRIBHUWAN ACDEMY  9857038444</t>
  </si>
  <si>
    <t>T-S.T.T KALE TYRE[9847255325]</t>
  </si>
  <si>
    <t>RAMECHHAP SERPA CONC GULMI TYRE/9847038203</t>
  </si>
  <si>
    <t>RAMECHHAPM HEMU ARJUN BUILDERS 9847038203</t>
  </si>
  <si>
    <t>[M] NEW MANOJ MOTERCYCLE [MANOJ] 9804405761</t>
  </si>
  <si>
    <t>[M] SIKANDER SAHANI 9804420913</t>
  </si>
  <si>
    <t>[M]DARMENDRA MOTER CYCLE-9857024323</t>
  </si>
  <si>
    <t>[M]SAMIR MADINA SERVICE CENTER/9821446894</t>
  </si>
  <si>
    <t>AKHTAR ALI 6123-9804448184  9806944255</t>
  </si>
  <si>
    <t>AMAR BAHADUR CHAUDARY[5604]9819120353</t>
  </si>
  <si>
    <t>ARJUN YADAV-SNP DHUWANI-9807548572</t>
  </si>
  <si>
    <t>ASHOK MALLA [5781] 9847282932</t>
  </si>
  <si>
    <t>ASRAF ALI BHALWARI 9800718988</t>
  </si>
  <si>
    <t>BABU KARKI-RAJKUMAR THARU-9806916180</t>
  </si>
  <si>
    <t>BAL KRISHNA BHATTERY[781] 9827432961</t>
  </si>
  <si>
    <t>BHAGIRATHI CHAUDARY[4391]9867006791</t>
  </si>
  <si>
    <t>BHIM MAHATO [6057] 9867586550</t>
  </si>
  <si>
    <t>BHIM MAHOT/SABIN LAMA[9865383957]</t>
  </si>
  <si>
    <t>BHOTE BAI/9814791550</t>
  </si>
  <si>
    <t>BINOD CHAHI [BADNATH CAHI] 344-9827581389</t>
  </si>
  <si>
    <t>BINOD DHUWANI SEWA[9847592415]</t>
  </si>
  <si>
    <t>BIRENDRA GATANAY[2886] 9857016277</t>
  </si>
  <si>
    <t>BL.ANSARI SUPLIERS[9587] 9857010651</t>
  </si>
  <si>
    <t>BL.SHATRUGHAN YADAV[3344] 9857012217</t>
  </si>
  <si>
    <t>BL.SURAJ SILWAL[5566]/MAHALAXMI DHUWANI SEWA</t>
  </si>
  <si>
    <t>BL-[M]NEW R.K WORK[RAHIM]  9817411915</t>
  </si>
  <si>
    <t>BL-[M]SARMA MOTERCYCL[BHUMAI] 9811521058</t>
  </si>
  <si>
    <t>BL-BASU BISHOWKARMA/PRADIP]411]9840952236</t>
  </si>
  <si>
    <t>BL-BHART BUDATHOKI[5096] 9808543905</t>
  </si>
  <si>
    <t>BL-BHIM KHADKA [596] 9847421628</t>
  </si>
  <si>
    <t>BL-BIKASH CHATRY [8685] 9804196829 CONTACT</t>
  </si>
  <si>
    <t>BL-BIMAL ADIKARI [9909] 9857015097 FOLLOW</t>
  </si>
  <si>
    <t>BL-BISHNU KAREL [7477] .9869937935</t>
  </si>
  <si>
    <t>BL-BISHNU MARASINI [9] 9857021914</t>
  </si>
  <si>
    <t>BL-BOLA KADE [3550] 9847278699</t>
  </si>
  <si>
    <t>BL-DAMER RANA BHATT[2131] 9856090072</t>
  </si>
  <si>
    <t>BL-DEEPAK MALLA[679] 9821527285</t>
  </si>
  <si>
    <t>BL-GAJANANDA PATEL 9717 [9857023531]</t>
  </si>
  <si>
    <t>BL-GANENDRA PANDAY [7628] 9857045744</t>
  </si>
  <si>
    <t>BL-GANESH YADAV[9762] 9812904822//WR NO</t>
  </si>
  <si>
    <t>BL-GANPATI OIL STORE[7350] 9857080027</t>
  </si>
  <si>
    <t>BL-GORAKH NISAD[8472] 9847032002</t>
  </si>
  <si>
    <t>BL-GRILL/DOKA[GUNAIA] SAR BDR.THAPA</t>
  </si>
  <si>
    <t>BL-GYASUDIN PATHAN [6017] 9811494565</t>
  </si>
  <si>
    <t>BL-INDRA KAMAL YADAV[3602] 9807545337</t>
  </si>
  <si>
    <t>BL-JAFARI TRADERS [BALWADI] 9857025341</t>
  </si>
  <si>
    <t>BL-JITU THAPA [7569] 9812983714</t>
  </si>
  <si>
    <t>BL-KIRHNA POHKREL [7116] 9857020261 TIRDAINA</t>
  </si>
  <si>
    <t xml:space="preserve">BL-LAL CHAND MALHAR [2033] 9807406587 </t>
  </si>
  <si>
    <t>BL-MADHU SHRESTHA [RAMPUR] 9807476818 WR NO</t>
  </si>
  <si>
    <t>BL-MAGRA POUDEL [8718] 9817576342</t>
  </si>
  <si>
    <t>BL-MAHESH CHATRY [3483] 9819455035</t>
  </si>
  <si>
    <t>BL-MOHAN JEE [SIDDBABA GRILL] [119] 9864576698 DASAIN</t>
  </si>
  <si>
    <t>BL-MOHAN KAFLAY[7419] 9857012557  TIRDAINA</t>
  </si>
  <si>
    <t>BL-MOHAN MALL[2777] 9860802278</t>
  </si>
  <si>
    <t>BL-NETRA PANTHI [GULMI] 3018-9857021273</t>
  </si>
  <si>
    <t>Bl-PRAKESH SHRESTHA[9448] 9857020668 SHAMBU DAI</t>
  </si>
  <si>
    <t>BL-RAJESORI TRANS[NARAYAN PANDAY]8538-9806941711</t>
  </si>
  <si>
    <t xml:space="preserve">BL-RAJU KAHAR[2227] 9806911977 </t>
  </si>
  <si>
    <t>BL-RAM KUNDAL YADAV[OM OIL] 9857022231</t>
  </si>
  <si>
    <t>BL-RAM NISAD[MOHAN DAI R.K]7817-9807492229</t>
  </si>
  <si>
    <t>BL-RAMESH CHAUDARI[3943] 9804415978</t>
  </si>
  <si>
    <t>BL-RAMU NEUPANE [7670] 9857016438</t>
  </si>
  <si>
    <t>BL-SANTU PANDAY [8139] -9857015584</t>
  </si>
  <si>
    <t>BL-SAROJ YADAV [3384] 9857015738</t>
  </si>
  <si>
    <t>BL-SATYAWOTI TRANSPORT -9861295554</t>
  </si>
  <si>
    <t>BL-SHER B.THAPA[5594] 9807520421</t>
  </si>
  <si>
    <t>BL-SONY SUPLIERS[2750] 9847041070</t>
  </si>
  <si>
    <t>BL-SUNIL K. BISTA[7963]9867045081</t>
  </si>
  <si>
    <t>BL-SUNIL SHING MOHOT[88]9857022569</t>
  </si>
  <si>
    <t>BL-SURENDRA PATAL[9182] 9857045596</t>
  </si>
  <si>
    <t>CHANDAN CHAUDARY[8687]9869048876</t>
  </si>
  <si>
    <t>CHOPNARAYAN SHRESTH [7617] [9847213041]</t>
  </si>
  <si>
    <t>DANESOR PARIWAN SEWA [SIYARAM YADAB] 9857022161</t>
  </si>
  <si>
    <t>DEEP BORDING SCHOOL</t>
  </si>
  <si>
    <t>DHURBA SUBEDI 9857058108</t>
  </si>
  <si>
    <t xml:space="preserve">dinesh bhushal </t>
  </si>
  <si>
    <t>DIPAK NEPAL[87]9849152376</t>
  </si>
  <si>
    <t>DIPENDRA YADAV[8148]9821422711</t>
  </si>
  <si>
    <t>DIPENDRE SHRESTHA [633]9857015510/CLEARED VANXA</t>
  </si>
  <si>
    <t>DOL BDR GIRE 9867279328</t>
  </si>
  <si>
    <t>FAIJ  KHAN[343]981415720</t>
  </si>
  <si>
    <t>GANGA SAGER MALI [4069] 9867001274</t>
  </si>
  <si>
    <t>GARAUN KALIKA TYRE 9846407398</t>
  </si>
  <si>
    <t>GC HARDWEAR PALPA  9857065418</t>
  </si>
  <si>
    <t>GOBINDA SAHANI[93]9863507362</t>
  </si>
  <si>
    <t>GURU PARSAD HARIJAN [9154] 9807597846/9807509393</t>
  </si>
  <si>
    <t>HARERAM YADAV/RAJMAN KURMI/9824478809</t>
  </si>
  <si>
    <t>HOM KAJI GURUNG-8038-9821501952/WR NO(RUPULIYA BARGHAT)</t>
  </si>
  <si>
    <t>ILTAG TYRE  9826462271</t>
  </si>
  <si>
    <t>INDRA BDR. KHATI-9847067241/TIRDAINA</t>
  </si>
  <si>
    <t>JAFARI [GANESH SUNAR] 7893 -9800776888 parsauni</t>
  </si>
  <si>
    <t>JAKAHULLA KHAN 9805475879</t>
  </si>
  <si>
    <t>JHINAK MALLA[8641] 9806911060</t>
  </si>
  <si>
    <t>JIT BAHADUR KURMI[152]9747011146</t>
  </si>
  <si>
    <t>JITU YADAV/RAM HARAK PASI-9805455336 6000 BAKI VANXA</t>
  </si>
  <si>
    <t>JYOTI JOSHI[9821577379]6661</t>
  </si>
  <si>
    <t>KAMAL GHIMIRE SWASTICA 9857021274</t>
  </si>
  <si>
    <t>KAMAL SUBEDHI [7275] [9847111157]</t>
  </si>
  <si>
    <t>KESHAV ARYAL[7837]9867344629</t>
  </si>
  <si>
    <t>KESHAV SRYAL</t>
  </si>
  <si>
    <t>KHADKA BDR GURUNG 9847421551 9806991477</t>
  </si>
  <si>
    <t>KRISHNA BASHYAL[1154]9857057328</t>
  </si>
  <si>
    <t>KRISHNA PRD.HARIJAN[9716]9811403130</t>
  </si>
  <si>
    <t>KUMODINI BOARDING /satik kala9811674170</t>
  </si>
  <si>
    <t>LAXMAN MAHARA[8793]9811480596</t>
  </si>
  <si>
    <t>LAXMAN POUDEL[5231]9847589292</t>
  </si>
  <si>
    <t>LAXMAN THAPA[330] 9857030553</t>
  </si>
  <si>
    <t>LILA SHRESTHA [3610]9857020757</t>
  </si>
  <si>
    <t>M.B THAPA 182 / 8604</t>
  </si>
  <si>
    <t>madan thapa 9857011105</t>
  </si>
  <si>
    <t>MADHU PATHAK/ GURU PRD.HARIJAN[9807597846]</t>
  </si>
  <si>
    <t>MADHU PATHAK[3923]9847296510</t>
  </si>
  <si>
    <t>MADHUKAR SHAKYA 9846052619</t>
  </si>
  <si>
    <t>MAHENDER JOSHI [2555] 522206(CLAIM) SAMBU DAI</t>
  </si>
  <si>
    <t>MALIKA TRASPORT [8109] [9857021366]</t>
  </si>
  <si>
    <t>MANGESH YADAV[282]9857045964</t>
  </si>
  <si>
    <t>MANIGANGA DHUWANI SEWA  9857029320</t>
  </si>
  <si>
    <t>MANISH PANGENI 9707769410</t>
  </si>
  <si>
    <t>MEHBOOB  HASN AANSARI[9788]9807416101/ SAJALOMANXE</t>
  </si>
  <si>
    <t>MOHAN BHAT [8883] 9857038058/9857049214</t>
  </si>
  <si>
    <t>NAR BDR KHAM HONSI</t>
  </si>
  <si>
    <t>NARAYAN CHETRI BHAIRAB KALIKA 9857030778</t>
  </si>
  <si>
    <t>NETRA BRD.GAUTAM[MAILA DAI] 9810165517</t>
  </si>
  <si>
    <t>NEW LAXMI ELECTRICAL &amp;ENGINEERING</t>
  </si>
  <si>
    <t>NIL BAHADUR THAPA[5667]9847030743</t>
  </si>
  <si>
    <t>NIM CONS 9813274660</t>
  </si>
  <si>
    <t>NORTH EAST PVT.LTD [JEEVAN] 9857058963</t>
  </si>
  <si>
    <t>OM KANT TIMILSINA [4133] 9857030394 TIKA RAM KO PHN</t>
  </si>
  <si>
    <t>PASHUPATI TR JP JEE 9857023635 NO CAL</t>
  </si>
  <si>
    <t xml:space="preserve">PASUPATI YADAV[9182]9826462271 </t>
  </si>
  <si>
    <t>PRADIP YADAV/9807415915</t>
  </si>
  <si>
    <t>PRAKASH YADAV[6287]9806947396</t>
  </si>
  <si>
    <t>PREM CHAUDARY[3398]984455751 NO INCOMPLTE</t>
  </si>
  <si>
    <t>PREM RAJ BHUSHAL[9851198109]/ HOTEL</t>
  </si>
  <si>
    <t>PURAN CHAUDARY[4094]981544369 NO INCOMPLTE</t>
  </si>
  <si>
    <t>RAJENDRA CHOUDARY[871],9847003033</t>
  </si>
  <si>
    <t>RAJESH RANABHAAT[687]9857037394</t>
  </si>
  <si>
    <t>RAJKUMAR PANDEY GALYANG 9846147728</t>
  </si>
  <si>
    <t>RAKESH YADAV[6015]9867378480</t>
  </si>
  <si>
    <t>RAM CHANDRA KUNWAR 9857035326</t>
  </si>
  <si>
    <t>RAM CHANDRA TIWARI[784]9857011044</t>
  </si>
  <si>
    <t>RAM KUMAR YADAV[3978]9817540660 BHAI CONTACT</t>
  </si>
  <si>
    <t>RAMESH BHUSHAL[S.B.COLD]6167-9867462760</t>
  </si>
  <si>
    <t>RAMKISAN KOIRI/SADANAND CHAUDHARY-9825494999</t>
  </si>
  <si>
    <t>RANJET SING [9974] 9815411543</t>
  </si>
  <si>
    <t>ROSHAN SHRESTHA [8239] [9807512971]</t>
  </si>
  <si>
    <t>ROSHAN -SIDDBABA GRIL[119] 9841603905</t>
  </si>
  <si>
    <t>S.T.T - DURBA FOUJDAR [8383]9857029882</t>
  </si>
  <si>
    <t>S.T.T BHOJRAJ SUBADI[3996] 9847502215</t>
  </si>
  <si>
    <t>S.T.T BIRU KOIRALA[8207]9856050320</t>
  </si>
  <si>
    <t>S.T.T DHOBHAN SUPLIERS[BHUWAN]9867380668</t>
  </si>
  <si>
    <t>S.T.T JAY MATA DE TRANSPORT 9857037250</t>
  </si>
  <si>
    <t>S.T.T NILRAJ NEPAL[4738]  9857026163</t>
  </si>
  <si>
    <t>S.T.T OM PRAKASH KHANAL[9856011017]</t>
  </si>
  <si>
    <t>S.T.T RAMU GAHA (531)9847374405</t>
  </si>
  <si>
    <t>S.T.T SER BHADUR ARJALE -9844795821</t>
  </si>
  <si>
    <t>S.T.T SHANKER ACHARYA[5332] 9847147987</t>
  </si>
  <si>
    <t>S.T.T SHYAM DHAKAL [TANKA DAI]</t>
  </si>
  <si>
    <t>S.T.T TARA P.KHANAL[6829] 9857035163</t>
  </si>
  <si>
    <t>SAGAR BHATTERY [643] 9855065285</t>
  </si>
  <si>
    <t>SAGAR GURUNG KHADKA 9847421551</t>
  </si>
  <si>
    <t>SAJID ALI [425] 9821445129/9817403140 FOLLOW</t>
  </si>
  <si>
    <t>SAKIL CHOUDHARI SAMIR BHAI 9811589477</t>
  </si>
  <si>
    <t>SAMBHU THAPA [7949] 9857045477</t>
  </si>
  <si>
    <t>SANAM THAPA [9362] 9847542176</t>
  </si>
  <si>
    <t>SANDEEP KAFLAY [4029] 9857011129</t>
  </si>
  <si>
    <t>SANJU BABA[4977] 9804213082</t>
  </si>
  <si>
    <t>SARFUDIN BANIYA[9806974770]</t>
  </si>
  <si>
    <t>SATNAM SING [874] 9816413777</t>
  </si>
  <si>
    <t>SHANKAR TIMISINA [226]9857020425/9809234922</t>
  </si>
  <si>
    <t>SHIVA CHAUDARY[3587]9867520817</t>
  </si>
  <si>
    <t>shiva KUMAR 9819405516</t>
  </si>
  <si>
    <t>SHIVA SHAKTI LUBRECANT  9857058752</t>
  </si>
  <si>
    <t>SHIVA SHAKTI PRINT  9801019540</t>
  </si>
  <si>
    <t>SHIVA TARA SUPPLIERS 9857083033</t>
  </si>
  <si>
    <t>SITA GURUNG</t>
  </si>
  <si>
    <t>STT 3D MD ART-9857039484</t>
  </si>
  <si>
    <t>STT SANTARAM THAPA/PRABHU DHUWANI-9857012113</t>
  </si>
  <si>
    <t>SUBHA KAMANA HARDWARE-9857023314/ STATEMENT</t>
  </si>
  <si>
    <t>SUNDER THAPA[SUNAULI] 223 [9857023642]</t>
  </si>
  <si>
    <t>SUNIL SHAHI[3611]9827432562</t>
  </si>
  <si>
    <t>SURAJ CHAUDARY[2811]9814467644</t>
  </si>
  <si>
    <t>SURAJ DHUWANI SEWA[3036] 9857017552</t>
  </si>
  <si>
    <t>SURAJ PRD.KEWAT[1747]9806932612</t>
  </si>
  <si>
    <t>SURENDRA YADAV[676]9857017114</t>
  </si>
  <si>
    <t>SURESH KUWAR[4648]9847304276</t>
  </si>
  <si>
    <t>SURESH YADAV[7904]9867712926</t>
  </si>
  <si>
    <t>T -  ABDUL TYRE [9727142819]</t>
  </si>
  <si>
    <t>T - BHALBARI TYRE/9800718988</t>
  </si>
  <si>
    <t>T- BL-GANESH TYRE/HEMANT BANIYA [ 9815484625]</t>
  </si>
  <si>
    <t>T PINKU KALAM,BUSPARK/9821527024</t>
  </si>
  <si>
    <t xml:space="preserve">T SONU TYRE BASANTA PUR </t>
  </si>
  <si>
    <t>T SONU TYRE SAKHUWANI</t>
  </si>
  <si>
    <t>T-CHAD TYRE WALA 9814457786</t>
  </si>
  <si>
    <t>T-GANESH TYRE [PARASI]9807562716</t>
  </si>
  <si>
    <t>T-GURBENIYA TYRE/9807597886</t>
  </si>
  <si>
    <t>T-HIRA TYRE[9812957574]</t>
  </si>
  <si>
    <t>TINKU KALAM BAIJYANATH CHOUDHARI 9857039540</t>
  </si>
  <si>
    <t>TINKU KALAM BISHNU ARYAL 9857072811</t>
  </si>
  <si>
    <t>TINKU KALAM DURGA RANABHAT  9846194810</t>
  </si>
  <si>
    <t>TINKU KALAM KRISHANA NEUPANI 9857077345</t>
  </si>
  <si>
    <t xml:space="preserve">tinku kalam puran sahani </t>
  </si>
  <si>
    <t>T-KALAM TYRE 9811945210</t>
  </si>
  <si>
    <t>T-MOHIT OIL TYRE[4648]9819473794/WR NO</t>
  </si>
  <si>
    <t>T-MUNNA TYRE [LUMBINI ROAD]9817495817</t>
  </si>
  <si>
    <t>T-NASIB TYRE WALA/9821431378</t>
  </si>
  <si>
    <t>TRIMURTI PUMP[818]9802628768/071530759</t>
  </si>
  <si>
    <t>T-RINKU/WALING TYRE RESOL,9847245330</t>
  </si>
  <si>
    <t>TRIVENI YADAB DHUWANI SEWA 9811409340</t>
  </si>
  <si>
    <t>T-RIYAZ TYRE [LUMBINY ROAD]/9807462733</t>
  </si>
  <si>
    <t>T-S.T.T BHAIRAB TYRE [PALPA]9867841917</t>
  </si>
  <si>
    <t>T-S.T.T PANDAY JEE [HUSAN TYRE] 9857020135</t>
  </si>
  <si>
    <t>T-SAMIN TYRE WALA [ 9800764165]</t>
  </si>
  <si>
    <t>T-SAMSAD TYRE[9806976130</t>
  </si>
  <si>
    <t>T-STT METRO TYRE[BASNET]9856031670</t>
  </si>
  <si>
    <t>BISHNU POUDEL SAINAMAINA   9867845062</t>
  </si>
  <si>
    <t>BISHOKARMA DHUWANI SEWA</t>
  </si>
  <si>
    <t>BL-LAXMAN GIRI [5159]9857023283/DISCOUNT SHAMBU DAI</t>
  </si>
  <si>
    <t>BL-POUDEL DHUWANI[PADSARI] 9696-9857012045</t>
  </si>
  <si>
    <t>BL-RAGUNANDAN PANDAY [123] 9857024544</t>
  </si>
  <si>
    <t>CANNON HIGHIER SCHOOL</t>
  </si>
  <si>
    <t>GOBINDA YADAV</t>
  </si>
  <si>
    <t>LUMBINI SHIKSHA NIKETAN  9857022369</t>
  </si>
  <si>
    <t>NEPAL BIDDUT BHAIRAHAWA 9857046950</t>
  </si>
  <si>
    <t>OM MAHARUDRA TRADING STTPL</t>
  </si>
  <si>
    <t>PADAM GAIRE  9857060203</t>
  </si>
  <si>
    <t>RAJAN DUNGANA [SWASTICK]9397-9847089418</t>
  </si>
  <si>
    <t>RK SUPPLIERS 9766741197</t>
  </si>
  <si>
    <t>S KUMARI DHUWANI SEWA 9857058791</t>
  </si>
  <si>
    <t>S.T.T BHABI KOIRALA[4037] 9856050689</t>
  </si>
  <si>
    <t>S.T.T BHAWANA CONSTRUCTION/9847038032</t>
  </si>
  <si>
    <t>S.T.T DEEP BORDING SCHOOL</t>
  </si>
  <si>
    <t>S.T.T GOPAL LAMSHAL [8523] 9857020023</t>
  </si>
  <si>
    <t>S.T.T HARI BASHYAL [PALPA]</t>
  </si>
  <si>
    <t>S.T.T MINA BHAT -9847087412</t>
  </si>
  <si>
    <t>S.T.T SHAMBHU SHRESTHA[66]9857833299</t>
  </si>
  <si>
    <t>S.T.T SHUBHA POKHREL SUPPLIERS/9857075707</t>
  </si>
  <si>
    <t>S.T.T-ADVANCE SUPLIERS [SUNWAL]-9803175772</t>
  </si>
  <si>
    <t>SAMPARK NIRMAN SEWA 9867232185</t>
  </si>
  <si>
    <t xml:space="preserve">SHREE MECINARY STORE </t>
  </si>
  <si>
    <t>SIDDHARTHA GAS  9857030780</t>
  </si>
  <si>
    <t>STT SHINE CONSTRUCTION</t>
  </si>
  <si>
    <t>CHOUDARI BHAI  9847428826</t>
  </si>
  <si>
    <t>MOON LIGHT SCHOOL-9806918221  9847023003</t>
  </si>
  <si>
    <t>MOHAN K.C [7302] 9857070130</t>
  </si>
  <si>
    <t>PRATIVA NIRMAN SEWA 9801098017</t>
  </si>
  <si>
    <t>RAMU KUNWAR THARU 9849992809</t>
  </si>
  <si>
    <t>RAJAN DAI BASA NRN 9816453107</t>
  </si>
  <si>
    <t>BISHNU JEE GULMI KAMAL GBC 9861883122</t>
  </si>
  <si>
    <t>DIPAK SURENDRA AARYA 9846874683</t>
  </si>
  <si>
    <t>DURGA BDR THATTRAI 9847546551</t>
  </si>
  <si>
    <t>GYANI POLIMARS  9857029771</t>
  </si>
  <si>
    <t>JANAK DHAKAL  9869456194</t>
  </si>
  <si>
    <t>STT KAMAL THAPA PALPA 9847497127</t>
  </si>
  <si>
    <t xml:space="preserve">KUL PRASAD GAIRE  </t>
  </si>
  <si>
    <t>kushal multipurpose</t>
  </si>
  <si>
    <t>KASHYAP NIRMAN SEWA</t>
  </si>
  <si>
    <t>KRISHANA DHUWANI SEWA 9867116357</t>
  </si>
  <si>
    <t>RUBI YATAYAT PVT LTD 9867030539</t>
  </si>
  <si>
    <t>DINESH ACHARYA RAMPUR  9867148508</t>
  </si>
  <si>
    <t>KRISHANA SHRESTHA 9805411960</t>
  </si>
  <si>
    <t>MADANE CONS 9857630619</t>
  </si>
  <si>
    <t>PRAKRITIK NIRMAN  9857024042</t>
  </si>
  <si>
    <t>SHIVA SHAKTI HEAVY EQUIPMENT  9857058752</t>
  </si>
  <si>
    <t>TILOTTAMA DHUWANI SEWA 9812324162</t>
  </si>
  <si>
    <t>ARUN AGRO INDUSTRIES 9802609003</t>
  </si>
  <si>
    <t>ABISHIK PAL 9812940326</t>
  </si>
  <si>
    <t>HARI RANA BHAT[5672]9847177363</t>
  </si>
  <si>
    <t xml:space="preserve">KUL PRASAD GAIRE </t>
  </si>
  <si>
    <t>SALIKRAM ARYAL  9808865843</t>
  </si>
  <si>
    <t>anil gc durga thattrai 9847551953</t>
  </si>
  <si>
    <t xml:space="preserve">BALRAM TIMILSINA </t>
  </si>
  <si>
    <t>DWARIKA POKHREL 9847170197</t>
  </si>
  <si>
    <t>DIPAK GYAWALI 9857027184</t>
  </si>
  <si>
    <t>DIPAK SUBEDI 9857014592</t>
  </si>
  <si>
    <t>HUGI SWASTYA CHOUKI  9841126941</t>
  </si>
  <si>
    <t>JIWAN BK 9848638336/9768852440</t>
  </si>
  <si>
    <t>JIN MATA LOJISTIC  JP JEE 9857023635</t>
  </si>
  <si>
    <t>LAXMAN KAKI COUNTER 9847039973</t>
  </si>
  <si>
    <t>S.T.T NATIONAL MULTIPURPOSE AND CONS.[9857029719]</t>
  </si>
  <si>
    <t>OUR PEACE LAND ACDEMY 9857026788</t>
  </si>
  <si>
    <t>RAJU SHRESTHA RAMPUR 9847221537</t>
  </si>
  <si>
    <t>[B] BINOD BATTERY [9847054616]</t>
  </si>
  <si>
    <t>ANIL GC DINESH ACHARYA 9857062198/9867148508</t>
  </si>
  <si>
    <t>ANIL GC UTTAM SHRESTHA 9857062198/9867148508</t>
  </si>
  <si>
    <t>ASMI MAYERA CONS</t>
  </si>
  <si>
    <t>B AND B CONS 9846831661</t>
  </si>
  <si>
    <t>BABLU KHAN 9816465973</t>
  </si>
  <si>
    <t>BAL BDR THAPA SYNGJA 9856050522</t>
  </si>
  <si>
    <t>BISHNU ARYAL[7951]9867610624</t>
  </si>
  <si>
    <t xml:space="preserve">BISHNU THAPA 9764353995/ 9863770171                                               S </t>
  </si>
  <si>
    <t>BISHOKARMA DHUWANI SEWA  9847038825</t>
  </si>
  <si>
    <t>BL-GOBINDA POKHREL [9857040585]</t>
  </si>
  <si>
    <t>BL-LAL BAHADUR THAPA [1321] 9847350607</t>
  </si>
  <si>
    <t>BL-PANCHAM YADAV [32] 9811599975</t>
  </si>
  <si>
    <t>DHOL BDR GIRI  9867279328</t>
  </si>
  <si>
    <t>DIKSHYANT BHANDARI PALPA 9857033525</t>
  </si>
  <si>
    <t>DIL BRD.THARU[616]9812974326</t>
  </si>
  <si>
    <t>DIPAK SARU BIJAY BK 9863124515</t>
  </si>
  <si>
    <t>DIPAK SARU PURAN BISOKARMA 9766297455/9745442877</t>
  </si>
  <si>
    <t xml:space="preserve">doctor pr yadav </t>
  </si>
  <si>
    <t>DURGA RANA[5813]9856039830</t>
  </si>
  <si>
    <t>ELITE CONSTRUCTION [9860251939]</t>
  </si>
  <si>
    <t>G AND G TRADE 9867427099</t>
  </si>
  <si>
    <t>G C HARDWEAR PALPA 9857065418</t>
  </si>
  <si>
    <t xml:space="preserve">GANESH BHAT </t>
  </si>
  <si>
    <t>GANESH GYAWALI   9851158217</t>
  </si>
  <si>
    <t>GANGARAM YADAV 9817515292</t>
  </si>
  <si>
    <t>GIRI RAJ RANA[4679]986694572</t>
  </si>
  <si>
    <t>GIRIRAJ LAMSAL[1868]9857059451</t>
  </si>
  <si>
    <t>INUSH MIYA 9848926985</t>
  </si>
  <si>
    <t>JAL TATHA MAUSAM VIGYAN VIBHAG,BHAIRHAWA</t>
  </si>
  <si>
    <t>JIWAN BK 9848638336</t>
  </si>
  <si>
    <t>KANCHHA RAMPUR</t>
  </si>
  <si>
    <t>KHADKA DHUWANI SEWA  9805443334</t>
  </si>
  <si>
    <t>KRISHANA DHUNGANA DHUWANI PADAM SHRIS9867896838</t>
  </si>
  <si>
    <t xml:space="preserve">MAA AMBE HEAVY MESINARY  G AND G </t>
  </si>
  <si>
    <t>MADAV CHAPAGAI/9857065900</t>
  </si>
  <si>
    <t>MADH KAR SHAKYA 9846052673</t>
  </si>
  <si>
    <t>NAHARPUR NIRMAN SEWA</t>
  </si>
  <si>
    <t>NAMASTE WALING INTERPRISES  9856054840</t>
  </si>
  <si>
    <t>NARAYAN JHEDI MAGAR 9856052361</t>
  </si>
  <si>
    <t>NEPAL BIDHUT PRADHIKARAN , BHAIRAHWA.9865716040</t>
  </si>
  <si>
    <t>OFFICE STAFF[RAMESH TIMALSINA]</t>
  </si>
  <si>
    <t>OFFICE STAFF[ROSHNI TIMILSINA]</t>
  </si>
  <si>
    <t>PAL PUMP  9812640326</t>
  </si>
  <si>
    <t>panchakanya BHOJRAJ BINDU SHRESTHAC 9802630141</t>
  </si>
  <si>
    <t>PANCHAKANYA STEEL 9802630141</t>
  </si>
  <si>
    <t>PANCHAM YADAV 9814495745</t>
  </si>
  <si>
    <t>PASCHIM POUDI MA BI 9846927608</t>
  </si>
  <si>
    <t>PINKU KALAM SANJAY BHUSAL 9847534124</t>
  </si>
  <si>
    <t>PIPALU CHHAYA CONS 9864395543</t>
  </si>
  <si>
    <t>PRIYA DHUWANI SEWA 9847024478</t>
  </si>
  <si>
    <t>RAJ LAXMI BIBIDH SEWA 9857021007</t>
  </si>
  <si>
    <t>RAJU GAUTAM NARAYAN  9857062128</t>
  </si>
  <si>
    <t>RAM BRD.TAMANG[9847135374]8469</t>
  </si>
  <si>
    <t>RAM KISUN YADAV[3425]9867371551 CLAIM</t>
  </si>
  <si>
    <t>RAM KRISHNA YADAV[9572]9802670779</t>
  </si>
  <si>
    <t>RAM NARESH GUPTA 9815406458</t>
  </si>
  <si>
    <t>RAM NARESH GUPTA[5775]9811405036</t>
  </si>
  <si>
    <t>RAMESH SHARMA JEEN MATA 9802630181</t>
  </si>
  <si>
    <t xml:space="preserve">RESUNGA MUSI KOT </t>
  </si>
  <si>
    <t>S.T.T DARLUNG BHAIRAV DHUWANI SEWA9847098959</t>
  </si>
  <si>
    <t>S.T.T DHURBA KOIRALA[5911]9846167868</t>
  </si>
  <si>
    <t>S.T.T JEEVAN SUNAR [5937] 9847347487</t>
  </si>
  <si>
    <t>S.T.T PADAM THAPA/SAROJ[985605234]</t>
  </si>
  <si>
    <t>S.T.T S.K MOTER PARTS[ROLPA]</t>
  </si>
  <si>
    <t>S.T.T SANTOSH SHRESTHA[7325]9846052085</t>
  </si>
  <si>
    <t>S.T.T SHYAM THAPA[2781]</t>
  </si>
  <si>
    <t>S.T.T YAG PRASHAD PANDEY- 9867233191</t>
  </si>
  <si>
    <t>SANDIP TYRE 9846070116</t>
  </si>
  <si>
    <t>SANTOSH CHOUDHARI 9806904593</t>
  </si>
  <si>
    <t xml:space="preserve">SARU THAPA OSIAN </t>
  </si>
  <si>
    <t>SHREE RAM TRADERS 9857634945</t>
  </si>
  <si>
    <t>SHRYAM GUPTA  9805407754</t>
  </si>
  <si>
    <t>Siddartha Unick[Kusiram] [9847023683]</t>
  </si>
  <si>
    <t xml:space="preserve">SIDDHARTHA GALEXY SCHOOL </t>
  </si>
  <si>
    <t>SIMIRTI SUPPLIERS[1604]9857022422</t>
  </si>
  <si>
    <t>STT G.C HARDWARE-1171-9857065418</t>
  </si>
  <si>
    <t>SUNIL BASHYAL  9748210928</t>
  </si>
  <si>
    <t>SURAJ RAWAT 9821400245</t>
  </si>
  <si>
    <t>SURENDRA BHATTERY[RAMPUR]9847532785</t>
  </si>
  <si>
    <t>THULDAI PALPA 9847596015</t>
  </si>
  <si>
    <t>TINKU KALAM MOHIT BHATTRAI 9841355552</t>
  </si>
  <si>
    <t>T-MUSTAFA TYRE (9811914383)</t>
  </si>
  <si>
    <t>T-S.T.T D AND B TYRE , BATTERY HOUSE/9857045529</t>
  </si>
  <si>
    <t>T-TINKU KALAM KRISHANA NEUPANI 9857077345</t>
  </si>
  <si>
    <t>UNIVERSAL FURMULANCE P.LTT/9802011751</t>
  </si>
  <si>
    <t>UPERATI DHUWANI SEWA  9847035188</t>
  </si>
  <si>
    <t xml:space="preserve">UPPALLO TAMGHASH MA BI </t>
  </si>
  <si>
    <t>OP BALANCE</t>
  </si>
  <si>
    <t>1+2+3+4+5</t>
  </si>
  <si>
    <t>CL BLNS</t>
  </si>
  <si>
    <t xml:space="preserve"> STT 01-04-2083</t>
  </si>
  <si>
    <t>SURAJ KHAREL</t>
  </si>
  <si>
    <t>KAMAL NEPAL</t>
  </si>
  <si>
    <t>12 GATE</t>
  </si>
  <si>
    <t>2 GATE</t>
  </si>
  <si>
    <t>4 GATE</t>
  </si>
  <si>
    <t>8 GATE</t>
  </si>
  <si>
    <t>3 GATE</t>
  </si>
  <si>
    <t>SAMBHU</t>
  </si>
  <si>
    <t>TIRDINA</t>
  </si>
  <si>
    <t>7 GATE</t>
  </si>
  <si>
    <t>RAJ TRACTOR PARTS</t>
  </si>
  <si>
    <t>15 GATE</t>
  </si>
  <si>
    <t>SO</t>
  </si>
  <si>
    <t>NRN</t>
  </si>
  <si>
    <t>NR</t>
  </si>
  <si>
    <t>NC</t>
  </si>
  <si>
    <t>NSO</t>
  </si>
  <si>
    <t>MILAN</t>
  </si>
  <si>
    <t>TYRE</t>
  </si>
  <si>
    <t>CHQ</t>
  </si>
  <si>
    <t>JINN MATA LOGISTIC</t>
  </si>
  <si>
    <t>BL=KUMAR K.C [ANFA] [S.R RAPTI]</t>
  </si>
  <si>
    <t>TIRUPATI NIRMAN SEWA [SWARGA DWARI MULTI]</t>
  </si>
  <si>
    <t>nr</t>
  </si>
  <si>
    <t>BG</t>
  </si>
  <si>
    <t>BATTERY RETURN</t>
  </si>
  <si>
    <t>10 GATE</t>
  </si>
  <si>
    <t>JANEE</t>
  </si>
  <si>
    <t>5PM</t>
  </si>
  <si>
    <t>SAMBHU DAI</t>
  </si>
  <si>
    <t>FF</t>
  </si>
  <si>
    <t>M.OFF</t>
  </si>
  <si>
    <t>4 PM FF</t>
  </si>
  <si>
    <t>WN</t>
  </si>
  <si>
    <t>LIUMBINI BOARDING</t>
  </si>
  <si>
    <t>16 GATE</t>
  </si>
  <si>
    <t>6+7+8</t>
  </si>
  <si>
    <t>so</t>
  </si>
  <si>
    <t>3PM</t>
  </si>
  <si>
    <t>8 gate</t>
  </si>
  <si>
    <t>fix</t>
  </si>
  <si>
    <t>7 gate</t>
  </si>
  <si>
    <t>10 gate</t>
  </si>
  <si>
    <t>12 gate</t>
  </si>
  <si>
    <t>9 GATE</t>
  </si>
  <si>
    <t>8 GAET</t>
  </si>
  <si>
    <t>11 GATE</t>
  </si>
  <si>
    <t>OS</t>
  </si>
  <si>
    <t>14 GATE</t>
  </si>
  <si>
    <t>4PM</t>
  </si>
  <si>
    <t>NE</t>
  </si>
  <si>
    <t>DAI</t>
  </si>
  <si>
    <t>SUDEEP</t>
  </si>
  <si>
    <t>BL=JALIN TYRE [TINKUNAE MILAN CHOWK] RAJU HUSAN</t>
  </si>
  <si>
    <t>YAM BDR. MAMA [NEPAL LIGHT HOUSE] [SAMI THAPA]</t>
  </si>
  <si>
    <t>GUANU MOTER PARTS</t>
  </si>
  <si>
    <t>nill</t>
  </si>
  <si>
    <t>BC</t>
  </si>
  <si>
    <t>BR</t>
  </si>
  <si>
    <t>13 GATE</t>
  </si>
  <si>
    <t>20 GATE</t>
  </si>
  <si>
    <t>STR-O</t>
  </si>
  <si>
    <t>COM</t>
  </si>
  <si>
    <t>9+10+11+12</t>
  </si>
  <si>
    <t>NILL</t>
  </si>
  <si>
    <t>15 gate</t>
  </si>
  <si>
    <t>18 GATE</t>
  </si>
  <si>
    <t>17 GATE</t>
  </si>
  <si>
    <t>VISIT</t>
  </si>
  <si>
    <t>PURWANCHA DHUWANI [BIKASH]</t>
  </si>
  <si>
    <t>HEMANT TRACTOR</t>
  </si>
  <si>
    <t>SANJIBANI SHIKSHA SADAN</t>
  </si>
  <si>
    <t>SC</t>
  </si>
  <si>
    <t>HIMAL BHANDARI YOUBA SANJAL</t>
  </si>
  <si>
    <t>19 GATE</t>
  </si>
  <si>
    <t>22 GATE</t>
  </si>
  <si>
    <t>HISAB</t>
  </si>
  <si>
    <t>DISCOUNT</t>
  </si>
  <si>
    <t>MANXEY MAREKO</t>
  </si>
  <si>
    <t>NF</t>
  </si>
  <si>
    <t>13+14+15</t>
  </si>
  <si>
    <t>RAJU PANDEY</t>
  </si>
  <si>
    <t>LUMBINI HOSPITAL NARSING HOME</t>
  </si>
  <si>
    <t>SHIVA SHAKTI SOAP IND</t>
  </si>
  <si>
    <t>DWARIKA POKHREL</t>
  </si>
  <si>
    <t>BATTERY</t>
  </si>
  <si>
    <t>24 GAT</t>
  </si>
  <si>
    <t xml:space="preserve">PARIBARTAN SAMAJ </t>
  </si>
  <si>
    <t>JANEEE</t>
  </si>
  <si>
    <t>BANK</t>
  </si>
  <si>
    <t>DIS</t>
  </si>
  <si>
    <t>21 GATE</t>
  </si>
  <si>
    <t>16+17+18+19</t>
  </si>
  <si>
    <t>N</t>
  </si>
  <si>
    <t>SC /STR-N</t>
  </si>
  <si>
    <t>MAN BRD.KUWAR</t>
  </si>
  <si>
    <t>B.N MOON LIGHT SCHOOL-9806918221  9847023003</t>
  </si>
  <si>
    <t>STR-N</t>
  </si>
  <si>
    <t>24 GATE</t>
  </si>
  <si>
    <t>30 GATE</t>
  </si>
  <si>
    <t>25 GATE</t>
  </si>
  <si>
    <t>nc</t>
  </si>
  <si>
    <t>20+21+22</t>
  </si>
  <si>
    <t>28 Ggate</t>
  </si>
  <si>
    <t>23 GATE</t>
  </si>
  <si>
    <t>27 GATE</t>
  </si>
  <si>
    <t>24GATE</t>
  </si>
  <si>
    <t>26 GATE</t>
  </si>
  <si>
    <t>KHARKA BHADUR CHATRI [MIRMI]</t>
  </si>
  <si>
    <t>HEMANT TRACTOR / RAJ BARING</t>
  </si>
  <si>
    <t>RAMESH KUNWAR</t>
  </si>
  <si>
    <t>NEPAL ELECTRICALS</t>
  </si>
  <si>
    <t>KAMAL JI ABC</t>
  </si>
  <si>
    <t>29 GATE</t>
  </si>
  <si>
    <t>TRIBHUWAN UNITED ACDEMY</t>
  </si>
  <si>
    <t>BIJAY KUMAR SINGH 9847123986</t>
  </si>
  <si>
    <t>TEJENDRA POUDEL 9857057337</t>
  </si>
  <si>
    <t>28 GATE</t>
  </si>
  <si>
    <t>23+24+25+26</t>
  </si>
  <si>
    <t>LUMBINY SHISHYA NIKETAN [9857022369]</t>
  </si>
  <si>
    <t>STR</t>
  </si>
  <si>
    <t>31 GATE</t>
  </si>
  <si>
    <t>BL=MAHESH POKHAREL , BUTWAL[CHABI]</t>
  </si>
  <si>
    <t>OUR MOTHER ACDEMY</t>
  </si>
  <si>
    <t>SAGAR DISTRILARY</t>
  </si>
  <si>
    <t>31GATE</t>
  </si>
  <si>
    <t>7PM</t>
  </si>
  <si>
    <t>VOUCHER</t>
  </si>
  <si>
    <t>SUN MODEL ENGLISH SCHOOL</t>
  </si>
  <si>
    <t>27+28+29+30+31</t>
  </si>
  <si>
    <t>BX</t>
  </si>
  <si>
    <t>JANASEWA BATABARAN SARSAFAI</t>
  </si>
  <si>
    <t>JANE</t>
  </si>
  <si>
    <t xml:space="preserve">RAPPON </t>
  </si>
  <si>
    <t>15W40 CI4 1 LTR</t>
  </si>
  <si>
    <t>15W40 CI4 6 LTR</t>
  </si>
  <si>
    <t>15W40 CI4 8 LTR</t>
  </si>
  <si>
    <t>15W40 CI4 10 LTR</t>
  </si>
  <si>
    <t>15W40 CI4 15 LTR</t>
  </si>
  <si>
    <t>15W40 CF4 1 LTR</t>
  </si>
  <si>
    <t>15W40 CF4 6 LTR</t>
  </si>
  <si>
    <t>15W40 CF4 8 LTR</t>
  </si>
  <si>
    <t>15W40 CF4 10 LTR</t>
  </si>
  <si>
    <t>15W40 CF4 15 LTR</t>
  </si>
  <si>
    <t>20W50 CI4 1 LTR</t>
  </si>
  <si>
    <t>20W50 CI4 8 LTR</t>
  </si>
  <si>
    <t>20W50 CI4 10 LTR</t>
  </si>
  <si>
    <t>20W50 CF4 1 LTR</t>
  </si>
  <si>
    <t>20W50 CF4 8 LTR</t>
  </si>
  <si>
    <t>20W50 CF4 10 LTR</t>
  </si>
  <si>
    <t>HYD 68 ECO 1 LTR</t>
  </si>
  <si>
    <t>HYD 68 ECO 10 LTR</t>
  </si>
  <si>
    <t>HYD 68 ECO 20 LTR</t>
  </si>
  <si>
    <t>UTTO 10 LTR</t>
  </si>
  <si>
    <t>UTTO 20 LTR</t>
  </si>
  <si>
    <t>EP 90 GL3 ECO 1 LTR</t>
  </si>
  <si>
    <t>EP 90 GL3 ECO 10 LTR</t>
  </si>
  <si>
    <t>EP 90 GL3 ECO 20 LTR</t>
  </si>
  <si>
    <t>EP 140 GL3 ECO 1 LTR</t>
  </si>
  <si>
    <t>EP 140 GL3 ECO 10 LTR</t>
  </si>
  <si>
    <t>EP 140 GL3 ECO 20 LTR</t>
  </si>
  <si>
    <t>20W40 4T SL ECO 1 LTR</t>
  </si>
  <si>
    <t>CH GREAS 18</t>
  </si>
  <si>
    <t>MP3 GREAS 500 GM</t>
  </si>
  <si>
    <t>MP3 GREAS 1 KG</t>
  </si>
  <si>
    <t>MP3 GREAS 2 KG</t>
  </si>
  <si>
    <t>MP3 GREAS 3 KG</t>
  </si>
  <si>
    <t>MP3 GREAS 10 KG</t>
  </si>
  <si>
    <t>MP3 GREAS 18 KG</t>
  </si>
  <si>
    <t>COLENT RTU 1 LTR</t>
  </si>
  <si>
    <t>EP 90 GL5 1 LTR</t>
  </si>
  <si>
    <t>EP 90 GL5 10 LTR</t>
  </si>
  <si>
    <t>EP 90 GL5 20 LTR</t>
  </si>
  <si>
    <t>EP 140 GL5 1 LTR</t>
  </si>
  <si>
    <t>EP 140 GL5 10 LTR</t>
  </si>
  <si>
    <t>EP 140 GL5 20 LTR</t>
  </si>
  <si>
    <t>ATF TQ ECO 1 LTR</t>
  </si>
  <si>
    <t>2CHQ</t>
  </si>
  <si>
    <t>TYEW</t>
  </si>
  <si>
    <t>NEW RAPTI DHUWANI</t>
  </si>
  <si>
    <t>083/05/01</t>
  </si>
  <si>
    <t>4 chq</t>
  </si>
  <si>
    <t>32.03.2083</t>
  </si>
  <si>
    <t>SUBEDI HARDWEAR 9857032050</t>
  </si>
  <si>
    <t>05-1+2</t>
  </si>
  <si>
    <t>SUMAN SAPKOTA 9857037656</t>
  </si>
  <si>
    <t>sc</t>
  </si>
  <si>
    <t xml:space="preserve">NIRMAL KUWAR </t>
  </si>
  <si>
    <t>STR/SC</t>
  </si>
  <si>
    <t>2GATE</t>
  </si>
  <si>
    <t>CLAIM</t>
  </si>
  <si>
    <t>6PM</t>
  </si>
  <si>
    <t>SHIVA SHAKTI PRINT AND PACK</t>
  </si>
  <si>
    <t>SHUBHA JYOTI SUPPLIERS</t>
  </si>
  <si>
    <t>BUDDHI SAPKOTA</t>
  </si>
  <si>
    <t>6GATE</t>
  </si>
  <si>
    <t>3+4+5</t>
  </si>
  <si>
    <t>KORIAN UPVC  9846161639</t>
  </si>
  <si>
    <t>SHIVA GYAWALI</t>
  </si>
  <si>
    <t>CHQE</t>
  </si>
  <si>
    <t>KESHAV NEUPANE[217]9847131426,9847511306</t>
  </si>
  <si>
    <t>SHAUBHA R.N SUPPLIERS</t>
  </si>
  <si>
    <t>ANIL / NARAYAN BOHARA</t>
  </si>
  <si>
    <t>DIPAK RAJAN ADHIKARI</t>
  </si>
  <si>
    <t>25  GATE</t>
  </si>
  <si>
    <t>15GATE</t>
  </si>
  <si>
    <t>6+7+8+9</t>
  </si>
  <si>
    <t xml:space="preserve">LAXMI MULTI PACKING </t>
  </si>
  <si>
    <t>FOLLLOW UP</t>
  </si>
  <si>
    <t>DIPAK SURAJ PRADHAN</t>
  </si>
  <si>
    <t xml:space="preserve">OFC AAUXU </t>
  </si>
  <si>
    <t>10+11+12</t>
  </si>
  <si>
    <t>LITTLE FLAWAR BOARDING</t>
  </si>
  <si>
    <t>ARUN RAYAMAJHI</t>
  </si>
  <si>
    <t>HP</t>
  </si>
  <si>
    <t>JEEN MATA LOGISTIC  9802630181</t>
  </si>
  <si>
    <t>BISHNU JEE MURGIYA  9857034441</t>
  </si>
  <si>
    <t>13+14+15+16</t>
  </si>
  <si>
    <t>TEJ BDR KHAMCHA PALPA</t>
  </si>
  <si>
    <t>SANJBANI SIKSHYA SADAN [H.P]</t>
  </si>
  <si>
    <t>5 PM FF</t>
  </si>
  <si>
    <t>STR O</t>
  </si>
  <si>
    <t xml:space="preserve">KRISHNA SHRESTHA /DIPAK </t>
  </si>
  <si>
    <t>battery</t>
  </si>
  <si>
    <t>BHAIRAB TYRE AND BATTERY HOUSE</t>
  </si>
  <si>
    <t>KAMAL GHIMIRE SWASTICA</t>
  </si>
  <si>
    <t>21 gate</t>
  </si>
  <si>
    <t>PARBAT ITTA UDHYOG</t>
  </si>
  <si>
    <t>BISHNU MATA CONS</t>
  </si>
  <si>
    <t>17+18+19</t>
  </si>
  <si>
    <t>SR FOODS</t>
  </si>
  <si>
    <t>RN</t>
  </si>
  <si>
    <t>TEKNATH DHAKAL 9813536647</t>
  </si>
  <si>
    <t>SUBEDI HARDWEAR</t>
  </si>
  <si>
    <t>STR N</t>
  </si>
  <si>
    <t>RAJU POUDEL DANG</t>
  </si>
  <si>
    <t>20+21+22+23</t>
  </si>
  <si>
    <t>SUDHAN AMATYA , PYUTHAN / AMTYA MOTER PARTS</t>
  </si>
  <si>
    <t>30 gate</t>
  </si>
  <si>
    <t>24+25+26</t>
  </si>
  <si>
    <t>LAXMAN GC</t>
  </si>
  <si>
    <t>SUNDAR SHRESTHA SYNGJA</t>
  </si>
  <si>
    <t>083-05-26</t>
  </si>
  <si>
    <t>e</t>
  </si>
  <si>
    <t>g</t>
  </si>
  <si>
    <t>s</t>
  </si>
  <si>
    <t>p</t>
  </si>
  <si>
    <t>n</t>
  </si>
  <si>
    <t>SHUBHAM FOODS  9857016913</t>
  </si>
  <si>
    <t>ST</t>
  </si>
  <si>
    <t xml:space="preserve">SIDDHI BINAYAK SNAKES </t>
  </si>
  <si>
    <t>RAMU RAYAMAJHI</t>
  </si>
  <si>
    <t>SIMKHADA CONSTRUCTION AND SUPPLIERS P.LT</t>
  </si>
  <si>
    <t>1 GATE</t>
  </si>
  <si>
    <t>GAURI UPACHAR CLINIC</t>
  </si>
  <si>
    <t>LUMBINI AUTO STATION</t>
  </si>
  <si>
    <t>31.05.02083</t>
  </si>
  <si>
    <t>01.06.2083</t>
  </si>
  <si>
    <t>GAUTAM FENSI STORE  dharma dai</t>
  </si>
  <si>
    <t>BL= DIPAK K.C [GULMI]</t>
  </si>
  <si>
    <t>JAY MAA KALIKA NIRMAN SEWA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</si>
</sst>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FF00"/>
      <name val="Calibri"/>
      <family val="2"/>
      <scheme val="minor"/>
    </font>
    <font>
      <b/>
      <sz val="11"/>
      <color theme="5" tint="0.59999389629810485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2" borderId="1" xfId="0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0" borderId="1" xfId="0" applyFont="1" applyBorder="1"/>
    <xf numFmtId="0" fontId="1" fillId="7" borderId="1" xfId="0" applyFont="1" applyFill="1" applyBorder="1"/>
    <xf numFmtId="0" fontId="1" fillId="2" borderId="1" xfId="0" applyFont="1" applyFill="1" applyBorder="1"/>
    <xf numFmtId="0" fontId="1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3" borderId="1" xfId="0" applyFont="1" applyFill="1" applyBorder="1"/>
    <xf numFmtId="0" fontId="1" fillId="8" borderId="1" xfId="0" applyFont="1" applyFill="1" applyBorder="1"/>
    <xf numFmtId="0" fontId="1" fillId="6" borderId="1" xfId="0" applyFont="1" applyFill="1" applyBorder="1"/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4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5" fillId="5" borderId="1" xfId="0" applyFont="1" applyFill="1" applyBorder="1" applyAlignment="1">
      <alignment horizontal="center"/>
    </xf>
    <xf numFmtId="0" fontId="1" fillId="11" borderId="1" xfId="0" applyFont="1" applyFill="1" applyBorder="1"/>
    <xf numFmtId="0" fontId="1" fillId="2" borderId="1" xfId="0" applyFont="1" applyFill="1" applyBorder="1" applyAlignment="1">
      <alignment horizontal="center"/>
    </xf>
    <xf numFmtId="0" fontId="6" fillId="12" borderId="1" xfId="0" applyFont="1" applyFill="1" applyBorder="1"/>
    <xf numFmtId="0" fontId="6" fillId="12" borderId="1" xfId="0" applyFont="1" applyFill="1" applyBorder="1" applyAlignment="1">
      <alignment horizontal="center"/>
    </xf>
    <xf numFmtId="0" fontId="7" fillId="13" borderId="1" xfId="0" applyFont="1" applyFill="1" applyBorder="1"/>
    <xf numFmtId="0" fontId="7" fillId="13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3" fillId="0" borderId="1" xfId="0" applyFont="1" applyBorder="1"/>
    <xf numFmtId="0" fontId="0" fillId="6" borderId="1" xfId="0" applyFill="1" applyBorder="1"/>
    <xf numFmtId="0" fontId="1" fillId="14" borderId="1" xfId="0" applyFont="1" applyFill="1" applyBorder="1"/>
    <xf numFmtId="0" fontId="0" fillId="1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3" fillId="2" borderId="1" xfId="0" applyFont="1" applyFill="1" applyBorder="1"/>
    <xf numFmtId="0" fontId="3" fillId="11" borderId="1" xfId="0" applyFont="1" applyFill="1" applyBorder="1"/>
    <xf numFmtId="0" fontId="1" fillId="9" borderId="1" xfId="0" applyFont="1" applyFill="1" applyBorder="1"/>
    <xf numFmtId="0" fontId="0" fillId="9" borderId="1" xfId="0" applyFill="1" applyBorder="1"/>
    <xf numFmtId="0" fontId="4" fillId="9" borderId="1" xfId="0" applyFont="1" applyFill="1" applyBorder="1"/>
    <xf numFmtId="0" fontId="4" fillId="9" borderId="1" xfId="0" applyFont="1" applyFill="1" applyBorder="1" applyAlignment="1">
      <alignment horizontal="center"/>
    </xf>
    <xf numFmtId="0" fontId="8" fillId="9" borderId="1" xfId="0" applyFont="1" applyFill="1" applyBorder="1"/>
    <xf numFmtId="0" fontId="8" fillId="3" borderId="1" xfId="0" applyFont="1" applyFill="1" applyBorder="1"/>
    <xf numFmtId="0" fontId="8" fillId="0" borderId="1" xfId="0" applyFont="1" applyBorder="1"/>
    <xf numFmtId="0" fontId="8" fillId="2" borderId="1" xfId="0" applyFont="1" applyFill="1" applyBorder="1"/>
    <xf numFmtId="0" fontId="0" fillId="11" borderId="1" xfId="0" applyFill="1" applyBorder="1"/>
    <xf numFmtId="0" fontId="8" fillId="14" borderId="1" xfId="0" applyFont="1" applyFill="1" applyBorder="1"/>
    <xf numFmtId="0" fontId="3" fillId="2" borderId="1" xfId="0" applyFont="1" applyFill="1" applyBorder="1" applyAlignment="1">
      <alignment horizontal="center"/>
    </xf>
    <xf numFmtId="0" fontId="9" fillId="6" borderId="1" xfId="0" applyFont="1" applyFill="1" applyBorder="1"/>
    <xf numFmtId="0" fontId="9" fillId="0" borderId="1" xfId="0" applyFont="1" applyBorder="1"/>
    <xf numFmtId="18" fontId="1" fillId="2" borderId="1" xfId="0" applyNumberFormat="1" applyFont="1" applyFill="1" applyBorder="1"/>
    <xf numFmtId="18" fontId="0" fillId="2" borderId="1" xfId="0" applyNumberFormat="1" applyFill="1" applyBorder="1"/>
    <xf numFmtId="18" fontId="1" fillId="3" borderId="1" xfId="0" applyNumberFormat="1" applyFont="1" applyFill="1" applyBorder="1"/>
    <xf numFmtId="0" fontId="4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8" fontId="0" fillId="11" borderId="1" xfId="0" applyNumberFormat="1" applyFill="1" applyBorder="1"/>
    <xf numFmtId="0" fontId="0" fillId="7" borderId="1" xfId="0" applyFill="1" applyBorder="1"/>
    <xf numFmtId="0" fontId="0" fillId="10" borderId="1" xfId="0" applyFill="1" applyBorder="1"/>
    <xf numFmtId="0" fontId="1" fillId="15" borderId="1" xfId="0" applyFont="1" applyFill="1" applyBorder="1"/>
    <xf numFmtId="0" fontId="0" fillId="15" borderId="1" xfId="0" applyFill="1" applyBorder="1"/>
    <xf numFmtId="18" fontId="0" fillId="3" borderId="1" xfId="0" applyNumberFormat="1" applyFill="1" applyBorder="1"/>
    <xf numFmtId="0" fontId="4" fillId="6" borderId="1" xfId="0" applyFont="1" applyFill="1" applyBorder="1"/>
    <xf numFmtId="18" fontId="0" fillId="6" borderId="1" xfId="0" applyNumberFormat="1" applyFill="1" applyBorder="1"/>
    <xf numFmtId="0" fontId="8" fillId="15" borderId="1" xfId="0" applyFont="1" applyFill="1" applyBorder="1"/>
    <xf numFmtId="16" fontId="0" fillId="3" borderId="1" xfId="0" applyNumberFormat="1" applyFill="1" applyBorder="1"/>
    <xf numFmtId="0" fontId="8" fillId="6" borderId="1" xfId="0" applyFont="1" applyFill="1" applyBorder="1"/>
    <xf numFmtId="0" fontId="4" fillId="11" borderId="1" xfId="0" applyFont="1" applyFill="1" applyBorder="1"/>
    <xf numFmtId="0" fontId="4" fillId="11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17" borderId="1" xfId="0" applyFont="1" applyFill="1" applyBorder="1"/>
    <xf numFmtId="0" fontId="5" fillId="17" borderId="1" xfId="0" applyFont="1" applyFill="1" applyBorder="1" applyAlignment="1">
      <alignment horizontal="center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/>
    </xf>
    <xf numFmtId="0" fontId="9" fillId="5" borderId="1" xfId="0" applyFont="1" applyFill="1" applyBorder="1"/>
    <xf numFmtId="14" fontId="2" fillId="18" borderId="1" xfId="0" applyNumberFormat="1" applyFont="1" applyFill="1" applyBorder="1" applyAlignment="1">
      <alignment horizontal="center"/>
    </xf>
    <xf numFmtId="0" fontId="2" fillId="18" borderId="1" xfId="0" applyFont="1" applyFill="1" applyBorder="1"/>
    <xf numFmtId="0" fontId="5" fillId="8" borderId="1" xfId="0" applyFont="1" applyFill="1" applyBorder="1" applyAlignment="1">
      <alignment horizontal="left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center"/>
    </xf>
    <xf numFmtId="0" fontId="10" fillId="17" borderId="1" xfId="0" applyFont="1" applyFill="1" applyBorder="1"/>
    <xf numFmtId="0" fontId="10" fillId="17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11" fillId="17" borderId="1" xfId="0" applyFont="1" applyFill="1" applyBorder="1"/>
    <xf numFmtId="0" fontId="11" fillId="17" borderId="1" xfId="0" applyFont="1" applyFill="1" applyBorder="1" applyAlignment="1">
      <alignment horizontal="center"/>
    </xf>
    <xf numFmtId="0" fontId="0" fillId="19" borderId="1" xfId="0" applyFill="1" applyBorder="1"/>
    <xf numFmtId="0" fontId="6" fillId="20" borderId="1" xfId="0" applyFont="1" applyFill="1" applyBorder="1"/>
    <xf numFmtId="0" fontId="6" fillId="20" borderId="1" xfId="0" applyFont="1" applyFill="1" applyBorder="1" applyAlignment="1">
      <alignment horizontal="center"/>
    </xf>
    <xf numFmtId="0" fontId="1" fillId="20" borderId="1" xfId="0" applyFont="1" applyFill="1" applyBorder="1"/>
    <xf numFmtId="0" fontId="0" fillId="20" borderId="1" xfId="0" applyFill="1" applyBorder="1"/>
    <xf numFmtId="0" fontId="12" fillId="9" borderId="1" xfId="0" applyFont="1" applyFill="1" applyBorder="1"/>
    <xf numFmtId="0" fontId="12" fillId="9" borderId="1" xfId="0" applyFont="1" applyFill="1" applyBorder="1" applyAlignment="1">
      <alignment horizontal="center"/>
    </xf>
    <xf numFmtId="0" fontId="13" fillId="9" borderId="1" xfId="0" applyFont="1" applyFill="1" applyBorder="1"/>
    <xf numFmtId="0" fontId="13" fillId="9" borderId="1" xfId="0" applyFont="1" applyFill="1" applyBorder="1" applyAlignment="1">
      <alignment horizontal="center"/>
    </xf>
    <xf numFmtId="0" fontId="0" fillId="6" borderId="0" xfId="0" applyFill="1"/>
    <xf numFmtId="0" fontId="0" fillId="3" borderId="0" xfId="0" applyFill="1"/>
    <xf numFmtId="0" fontId="0" fillId="5" borderId="0" xfId="0" applyFill="1"/>
    <xf numFmtId="0" fontId="14" fillId="9" borderId="1" xfId="0" applyFont="1" applyFill="1" applyBorder="1"/>
    <xf numFmtId="0" fontId="5" fillId="11" borderId="1" xfId="0" applyFont="1" applyFill="1" applyBorder="1"/>
    <xf numFmtId="0" fontId="5" fillId="11" borderId="1" xfId="0" applyFont="1" applyFill="1" applyBorder="1" applyAlignment="1">
      <alignment horizontal="center"/>
    </xf>
    <xf numFmtId="18" fontId="1" fillId="11" borderId="1" xfId="0" applyNumberFormat="1" applyFont="1" applyFill="1" applyBorder="1"/>
    <xf numFmtId="0" fontId="8" fillId="11" borderId="1" xfId="0" applyFont="1" applyFill="1" applyBorder="1"/>
    <xf numFmtId="0" fontId="8" fillId="5" borderId="1" xfId="0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  <color rgb="FF00FF99"/>
      <color rgb="FFCC66FF"/>
      <color rgb="FFB51B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871"/>
  <sheetViews>
    <sheetView tabSelected="1" zoomScale="78" zoomScaleNormal="78" workbookViewId="0">
      <pane xSplit="55" ySplit="2" topLeftCell="CI3" activePane="bottomRight" state="frozen"/>
      <selection pane="topRight" activeCell="AW1" sqref="AW1"/>
      <selection pane="bottomLeft" activeCell="A3" sqref="A3"/>
      <selection pane="bottomRight" activeCell="A2" sqref="A2"/>
    </sheetView>
  </sheetViews>
  <sheetFormatPr defaultColWidth="9.1796875" defaultRowHeight="14.5" x14ac:dyDescent="0.35"/>
  <cols>
    <col min="1" max="1" width="59" style="21" customWidth="1"/>
    <col min="2" max="2" width="10.26953125" style="57" bestFit="1" customWidth="1"/>
    <col min="3" max="3" width="15.81640625" style="21" bestFit="1" customWidth="1"/>
    <col min="4" max="4" width="9.54296875" style="21" customWidth="1"/>
    <col min="5" max="6" width="10.81640625" style="21" hidden="1" customWidth="1"/>
    <col min="7" max="7" width="12" style="21" hidden="1" customWidth="1"/>
    <col min="8" max="8" width="10.81640625" style="21" hidden="1" customWidth="1"/>
    <col min="9" max="9" width="0.26953125" style="21" hidden="1" customWidth="1"/>
    <col min="10" max="10" width="10" style="21" hidden="1" customWidth="1"/>
    <col min="11" max="11" width="12.7265625" style="21" hidden="1" customWidth="1"/>
    <col min="12" max="12" width="16.1796875" style="21" hidden="1" customWidth="1"/>
    <col min="13" max="13" width="7.81640625" style="21" hidden="1" customWidth="1"/>
    <col min="14" max="14" width="11.1796875" style="21" hidden="1" customWidth="1"/>
    <col min="15" max="15" width="10" style="21" hidden="1" customWidth="1"/>
    <col min="16" max="16" width="11.1796875" style="21" hidden="1" customWidth="1"/>
    <col min="17" max="17" width="12.7265625" style="21" hidden="1" customWidth="1"/>
    <col min="18" max="18" width="10" style="21" hidden="1" customWidth="1"/>
    <col min="19" max="19" width="12.7265625" style="21" hidden="1" customWidth="1"/>
    <col min="20" max="20" width="11.1796875" style="21" bestFit="1" customWidth="1"/>
    <col min="21" max="21" width="16.1796875" style="21" bestFit="1" customWidth="1"/>
    <col min="22" max="22" width="12.26953125" style="21" bestFit="1" customWidth="1"/>
    <col min="23" max="23" width="10" style="21" customWidth="1"/>
    <col min="24" max="24" width="12.26953125" style="21" customWidth="1"/>
    <col min="25" max="25" width="9.81640625" style="21" hidden="1" customWidth="1"/>
    <col min="26" max="26" width="8.7265625" style="21" hidden="1" customWidth="1"/>
    <col min="27" max="27" width="9.81640625" style="21" hidden="1" customWidth="1"/>
    <col min="28" max="31" width="17.453125" style="21" hidden="1" customWidth="1"/>
    <col min="32" max="32" width="8.7265625" style="21" hidden="1" customWidth="1"/>
    <col min="33" max="33" width="9.453125" style="21" hidden="1" customWidth="1"/>
    <col min="34" max="34" width="8.7265625" style="21" hidden="1" customWidth="1"/>
    <col min="35" max="35" width="10.54296875" style="21" hidden="1" customWidth="1"/>
    <col min="36" max="36" width="9.81640625" style="21" hidden="1" customWidth="1"/>
    <col min="37" max="37" width="17.453125" style="21" hidden="1" customWidth="1"/>
    <col min="38" max="38" width="9.81640625" style="21" hidden="1" customWidth="1"/>
    <col min="39" max="39" width="10.54296875" style="21" hidden="1" customWidth="1"/>
    <col min="40" max="40" width="10.81640625" style="21" hidden="1" customWidth="1"/>
    <col min="41" max="41" width="11.54296875" style="21" hidden="1" customWidth="1"/>
    <col min="42" max="42" width="10.81640625" style="21" hidden="1" customWidth="1"/>
    <col min="43" max="43" width="11.54296875" style="21" hidden="1" customWidth="1"/>
    <col min="44" max="44" width="12" style="21" hidden="1" customWidth="1"/>
    <col min="45" max="45" width="12.7265625" style="21" hidden="1" customWidth="1"/>
    <col min="46" max="46" width="12" style="21" hidden="1" customWidth="1"/>
    <col min="47" max="47" width="12.7265625" style="21" hidden="1" customWidth="1"/>
    <col min="48" max="48" width="11.7265625" style="21" hidden="1" customWidth="1"/>
    <col min="49" max="49" width="12.26953125" style="21" hidden="1" customWidth="1"/>
    <col min="50" max="50" width="12.7265625" style="21" hidden="1" customWidth="1"/>
    <col min="51" max="51" width="9.54296875" style="21" hidden="1" customWidth="1"/>
    <col min="52" max="53" width="8.54296875" style="21" hidden="1" customWidth="1"/>
    <col min="54" max="54" width="3.453125" style="21" hidden="1" customWidth="1"/>
    <col min="55" max="55" width="6" style="21" hidden="1" customWidth="1"/>
    <col min="56" max="56" width="10.54296875" style="21" hidden="1" customWidth="1"/>
    <col min="57" max="57" width="7.7265625" style="21" hidden="1" customWidth="1"/>
    <col min="58" max="58" width="10.81640625" style="21" hidden="1" customWidth="1"/>
    <col min="59" max="59" width="8.453125" style="21" hidden="1" customWidth="1"/>
    <col min="60" max="60" width="7.26953125" style="21" hidden="1" customWidth="1"/>
    <col min="61" max="61" width="4.1796875" style="21" hidden="1" customWidth="1"/>
    <col min="62" max="62" width="8.453125" style="21" hidden="1" customWidth="1"/>
    <col min="63" max="63" width="0.1796875" style="21" hidden="1" customWidth="1"/>
    <col min="64" max="64" width="11.7265625" style="21" hidden="1" customWidth="1"/>
    <col min="65" max="65" width="8.1796875" style="21" hidden="1" customWidth="1"/>
    <col min="66" max="66" width="6.81640625" style="21" hidden="1" customWidth="1"/>
    <col min="67" max="67" width="8" style="21" hidden="1" customWidth="1"/>
    <col min="68" max="68" width="6.54296875" style="21" hidden="1" customWidth="1"/>
    <col min="69" max="69" width="8.7265625" style="21" hidden="1" customWidth="1"/>
    <col min="70" max="70" width="5.54296875" style="21" hidden="1" customWidth="1"/>
    <col min="71" max="71" width="7.81640625" style="21" hidden="1" customWidth="1"/>
    <col min="72" max="73" width="8.1796875" style="21" hidden="1" customWidth="1"/>
    <col min="74" max="75" width="7.7265625" style="21" hidden="1" customWidth="1"/>
    <col min="76" max="76" width="8.1796875" style="21" hidden="1" customWidth="1"/>
    <col min="77" max="77" width="8" style="21" hidden="1" customWidth="1"/>
    <col min="78" max="78" width="8.54296875" style="21" hidden="1" customWidth="1"/>
    <col min="79" max="84" width="10.1796875" style="21" hidden="1" customWidth="1"/>
    <col min="85" max="86" width="10.1796875" style="21" bestFit="1" customWidth="1"/>
    <col min="87" max="87" width="11.1796875" style="21" bestFit="1" customWidth="1"/>
    <col min="88" max="88" width="10.1796875" style="21" bestFit="1" customWidth="1"/>
    <col min="89" max="89" width="7.81640625" style="21" bestFit="1" customWidth="1"/>
    <col min="90" max="90" width="2.26953125" style="21" bestFit="1" customWidth="1"/>
    <col min="91" max="91" width="4.81640625" style="21" customWidth="1"/>
    <col min="92" max="95" width="2.26953125" style="21" bestFit="1" customWidth="1"/>
    <col min="96" max="96" width="8" style="21" bestFit="1" customWidth="1"/>
    <col min="97" max="97" width="3.453125" style="21" bestFit="1" customWidth="1"/>
    <col min="98" max="98" width="8" style="21" bestFit="1" customWidth="1"/>
    <col min="99" max="16384" width="9.1796875" style="21"/>
  </cols>
  <sheetData>
    <row r="1" spans="1:98" x14ac:dyDescent="0.35">
      <c r="D1" s="21" t="s">
        <v>961</v>
      </c>
      <c r="X1" s="21" t="s">
        <v>1035</v>
      </c>
      <c r="BD1" s="34" t="s">
        <v>959</v>
      </c>
      <c r="CI1" s="21" t="s">
        <v>1036</v>
      </c>
    </row>
    <row r="2" spans="1:98" x14ac:dyDescent="0.35">
      <c r="A2" s="80" t="s">
        <v>778</v>
      </c>
      <c r="B2" s="80" t="s">
        <v>841</v>
      </c>
      <c r="C2" s="81" t="s">
        <v>0</v>
      </c>
      <c r="D2" s="81" t="s">
        <v>775</v>
      </c>
      <c r="E2" s="81" t="s">
        <v>776</v>
      </c>
      <c r="F2" s="81" t="s">
        <v>815</v>
      </c>
      <c r="G2" s="81" t="s">
        <v>842</v>
      </c>
      <c r="H2" s="81" t="s">
        <v>859</v>
      </c>
      <c r="I2" s="81" t="s">
        <v>871</v>
      </c>
      <c r="J2" s="81" t="s">
        <v>881</v>
      </c>
      <c r="K2" s="81" t="s">
        <v>897</v>
      </c>
      <c r="L2" s="81" t="s">
        <v>908</v>
      </c>
      <c r="M2" s="81" t="s">
        <v>963</v>
      </c>
      <c r="N2" s="81" t="s">
        <v>975</v>
      </c>
      <c r="O2" s="81" t="s">
        <v>985</v>
      </c>
      <c r="P2" s="81" t="s">
        <v>990</v>
      </c>
      <c r="Q2" s="81" t="s">
        <v>996</v>
      </c>
      <c r="R2" s="81" t="s">
        <v>1008</v>
      </c>
      <c r="S2" s="81" t="s">
        <v>1015</v>
      </c>
      <c r="T2" s="81" t="s">
        <v>1018</v>
      </c>
      <c r="U2" s="81" t="s">
        <v>908</v>
      </c>
      <c r="V2" s="81" t="s">
        <v>1</v>
      </c>
      <c r="W2" s="81" t="s">
        <v>2</v>
      </c>
      <c r="X2" s="81" t="s">
        <v>777</v>
      </c>
      <c r="Y2" s="21">
        <v>1</v>
      </c>
      <c r="Z2" s="6">
        <v>2</v>
      </c>
      <c r="AA2" s="21">
        <v>3</v>
      </c>
      <c r="AB2" s="21">
        <v>4</v>
      </c>
      <c r="AC2" s="21">
        <v>5</v>
      </c>
      <c r="AD2" s="21">
        <v>6</v>
      </c>
      <c r="AE2" s="21">
        <v>7</v>
      </c>
      <c r="AF2" s="21">
        <v>8</v>
      </c>
      <c r="AG2" s="21">
        <v>9</v>
      </c>
      <c r="AH2" s="21">
        <v>10</v>
      </c>
      <c r="AI2" s="21">
        <v>11</v>
      </c>
      <c r="AJ2" s="21">
        <v>12</v>
      </c>
      <c r="AK2" s="21">
        <v>13</v>
      </c>
      <c r="AL2" s="21">
        <v>14</v>
      </c>
      <c r="AM2" s="21">
        <v>15</v>
      </c>
      <c r="AN2" s="21">
        <v>16</v>
      </c>
      <c r="AO2" s="21">
        <v>17</v>
      </c>
      <c r="AP2" s="21">
        <v>18</v>
      </c>
      <c r="AQ2" s="21">
        <v>19</v>
      </c>
      <c r="AR2" s="21">
        <v>20</v>
      </c>
      <c r="AS2" s="21">
        <v>21</v>
      </c>
      <c r="AT2" s="21">
        <v>22</v>
      </c>
      <c r="AU2" s="21">
        <v>23</v>
      </c>
      <c r="AV2" s="21">
        <v>24</v>
      </c>
      <c r="AW2" s="21">
        <v>25</v>
      </c>
      <c r="AX2" s="21">
        <v>26</v>
      </c>
      <c r="AY2" s="21">
        <v>27</v>
      </c>
      <c r="AZ2" s="21">
        <v>28</v>
      </c>
      <c r="BA2" s="21">
        <v>29</v>
      </c>
      <c r="BB2" s="21">
        <v>30</v>
      </c>
      <c r="BC2" s="21">
        <v>31</v>
      </c>
      <c r="BD2" s="21">
        <v>1</v>
      </c>
      <c r="BE2" s="21">
        <v>2</v>
      </c>
      <c r="BF2" s="21">
        <v>3</v>
      </c>
      <c r="BG2" s="21">
        <v>4</v>
      </c>
      <c r="BH2" s="21">
        <v>5</v>
      </c>
      <c r="BI2" s="21">
        <v>6</v>
      </c>
      <c r="BJ2" s="21">
        <v>7</v>
      </c>
      <c r="BK2" s="21">
        <v>8</v>
      </c>
      <c r="BL2" s="21">
        <v>9</v>
      </c>
      <c r="BM2" s="21">
        <v>10</v>
      </c>
      <c r="BN2" s="21">
        <v>11</v>
      </c>
      <c r="BO2" s="21">
        <v>12</v>
      </c>
      <c r="BP2" s="21">
        <v>13</v>
      </c>
      <c r="BQ2" s="21">
        <v>14</v>
      </c>
      <c r="BR2" s="21">
        <v>15</v>
      </c>
      <c r="BS2" s="21">
        <v>16</v>
      </c>
      <c r="BT2" s="21">
        <v>17</v>
      </c>
      <c r="BU2" s="21">
        <v>18</v>
      </c>
      <c r="BV2" s="21">
        <v>19</v>
      </c>
      <c r="BW2" s="21">
        <v>20</v>
      </c>
      <c r="BX2" s="21">
        <v>21</v>
      </c>
      <c r="BY2" s="21">
        <v>22</v>
      </c>
      <c r="BZ2" s="21">
        <v>23</v>
      </c>
      <c r="CA2" s="21">
        <v>24</v>
      </c>
      <c r="CB2" s="21">
        <v>25</v>
      </c>
      <c r="CC2" s="21">
        <v>26</v>
      </c>
      <c r="CD2" s="21">
        <v>27</v>
      </c>
      <c r="CE2" s="21">
        <v>28</v>
      </c>
      <c r="CF2" s="21">
        <v>29</v>
      </c>
      <c r="CG2" s="21">
        <v>30</v>
      </c>
      <c r="CH2" s="21">
        <v>31</v>
      </c>
      <c r="CI2" s="21">
        <v>1</v>
      </c>
      <c r="CJ2" s="21">
        <v>2</v>
      </c>
      <c r="CK2" s="21">
        <v>3</v>
      </c>
      <c r="CL2" s="21">
        <v>4</v>
      </c>
      <c r="CM2" s="21">
        <v>5</v>
      </c>
      <c r="CN2" s="21">
        <v>6</v>
      </c>
      <c r="CO2" s="21">
        <v>7</v>
      </c>
      <c r="CP2" s="21">
        <v>8</v>
      </c>
      <c r="CQ2" s="21">
        <v>9</v>
      </c>
      <c r="CR2" s="21">
        <v>10</v>
      </c>
      <c r="CS2" s="21">
        <v>11</v>
      </c>
      <c r="CT2" s="21">
        <v>12</v>
      </c>
    </row>
    <row r="3" spans="1:98" x14ac:dyDescent="0.35">
      <c r="A3" s="23" t="s">
        <v>848</v>
      </c>
      <c r="B3" s="29"/>
      <c r="C3" s="29"/>
      <c r="D3" s="23"/>
      <c r="E3" s="23">
        <v>137700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>
        <f t="shared" ref="V3:V34" si="0">SUM(D3:U3)</f>
        <v>137700</v>
      </c>
      <c r="W3" s="23">
        <f>BO3</f>
        <v>137700</v>
      </c>
      <c r="X3" s="23">
        <f t="shared" ref="X3:X44" si="1">V3-W3</f>
        <v>0</v>
      </c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 t="s">
        <v>830</v>
      </c>
      <c r="BD3" s="46"/>
      <c r="BE3" s="46" t="s">
        <v>830</v>
      </c>
      <c r="BF3" s="46" t="s">
        <v>830</v>
      </c>
      <c r="BG3" s="46" t="s">
        <v>830</v>
      </c>
      <c r="BH3" s="46" t="s">
        <v>830</v>
      </c>
      <c r="BI3" s="46"/>
      <c r="BJ3" s="46" t="s">
        <v>830</v>
      </c>
      <c r="BK3" s="46" t="s">
        <v>830</v>
      </c>
      <c r="BL3" s="46" t="s">
        <v>830</v>
      </c>
      <c r="BM3" s="46" t="s">
        <v>830</v>
      </c>
      <c r="BN3" s="46" t="s">
        <v>830</v>
      </c>
      <c r="BO3" s="46">
        <v>137700</v>
      </c>
    </row>
    <row r="4" spans="1:98" ht="18.5" x14ac:dyDescent="0.45">
      <c r="A4" s="77" t="s">
        <v>43</v>
      </c>
      <c r="B4" s="78"/>
      <c r="C4" s="78">
        <v>9857039969</v>
      </c>
      <c r="D4" s="77">
        <v>1000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>
        <f t="shared" si="0"/>
        <v>1000</v>
      </c>
      <c r="W4" s="23"/>
      <c r="X4" s="23">
        <f t="shared" si="1"/>
        <v>1000</v>
      </c>
      <c r="Y4" s="62"/>
      <c r="Z4" s="62"/>
      <c r="AA4" s="62"/>
      <c r="AB4" s="62"/>
      <c r="AC4" s="62"/>
      <c r="AD4" s="62" t="s">
        <v>794</v>
      </c>
      <c r="AE4" s="62" t="s">
        <v>794</v>
      </c>
      <c r="AF4" s="62" t="s">
        <v>793</v>
      </c>
      <c r="AG4" s="62"/>
      <c r="AH4" s="62" t="s">
        <v>835</v>
      </c>
      <c r="AI4" s="62" t="s">
        <v>843</v>
      </c>
      <c r="AJ4" s="62" t="s">
        <v>843</v>
      </c>
      <c r="AK4" s="62"/>
      <c r="AL4" s="62" t="s">
        <v>843</v>
      </c>
      <c r="AM4" s="62" t="s">
        <v>843</v>
      </c>
      <c r="AN4" s="62"/>
      <c r="AO4" s="62" t="s">
        <v>843</v>
      </c>
      <c r="AP4" s="62" t="s">
        <v>843</v>
      </c>
      <c r="AQ4" s="62" t="s">
        <v>843</v>
      </c>
      <c r="AR4" s="62" t="s">
        <v>843</v>
      </c>
      <c r="AS4" s="62" t="s">
        <v>843</v>
      </c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35"/>
    </row>
    <row r="5" spans="1:98" ht="18.5" x14ac:dyDescent="0.45">
      <c r="A5" s="77" t="s">
        <v>29</v>
      </c>
      <c r="B5" s="78"/>
      <c r="C5" s="78">
        <v>9856031670</v>
      </c>
      <c r="D5" s="77">
        <v>41280.26</v>
      </c>
      <c r="E5" s="12"/>
      <c r="F5" s="12"/>
      <c r="G5" s="12"/>
      <c r="H5" s="12"/>
      <c r="I5" s="12"/>
      <c r="J5" s="12"/>
      <c r="K5" s="12"/>
      <c r="L5" s="12"/>
      <c r="M5" s="12"/>
      <c r="N5" s="23"/>
      <c r="O5" s="23"/>
      <c r="P5" s="23"/>
      <c r="Q5" s="23"/>
      <c r="R5" s="23"/>
      <c r="S5" s="23"/>
      <c r="T5" s="23"/>
      <c r="U5" s="23"/>
      <c r="V5" s="23">
        <f t="shared" si="0"/>
        <v>41280.26</v>
      </c>
      <c r="W5" s="23">
        <f>BM5</f>
        <v>41280</v>
      </c>
      <c r="X5" s="23">
        <f t="shared" si="1"/>
        <v>0.26000000000203727</v>
      </c>
      <c r="Y5" s="46"/>
      <c r="Z5" s="46"/>
      <c r="AA5" s="46">
        <v>10</v>
      </c>
      <c r="AB5" s="46"/>
      <c r="AC5" s="46"/>
      <c r="AD5" s="46"/>
      <c r="AE5" s="46"/>
      <c r="AF5" s="46"/>
      <c r="AG5" s="46"/>
      <c r="AH5" s="46" t="s">
        <v>792</v>
      </c>
      <c r="AI5" s="46" t="s">
        <v>792</v>
      </c>
      <c r="AJ5" s="46" t="s">
        <v>792</v>
      </c>
      <c r="AK5" s="46" t="s">
        <v>792</v>
      </c>
      <c r="AL5" s="46" t="s">
        <v>792</v>
      </c>
      <c r="AM5" s="46" t="s">
        <v>792</v>
      </c>
      <c r="AN5" s="46"/>
      <c r="AO5" s="46" t="s">
        <v>792</v>
      </c>
      <c r="AP5" s="46" t="s">
        <v>792</v>
      </c>
      <c r="AQ5" s="46">
        <v>25</v>
      </c>
      <c r="AR5" s="46"/>
      <c r="AS5" s="46"/>
      <c r="AT5" s="46"/>
      <c r="AU5" s="46"/>
      <c r="AV5" s="46"/>
      <c r="AW5" s="46" t="s">
        <v>792</v>
      </c>
      <c r="AX5" s="46" t="s">
        <v>792</v>
      </c>
      <c r="AY5" s="46" t="s">
        <v>792</v>
      </c>
      <c r="AZ5" s="46" t="s">
        <v>792</v>
      </c>
      <c r="BA5" s="46" t="s">
        <v>792</v>
      </c>
      <c r="BB5" s="46"/>
      <c r="BC5" s="46" t="s">
        <v>792</v>
      </c>
      <c r="BD5" s="46"/>
      <c r="BE5" s="46" t="s">
        <v>792</v>
      </c>
      <c r="BF5" s="46" t="s">
        <v>784</v>
      </c>
      <c r="BG5" s="46"/>
      <c r="BH5" s="46"/>
      <c r="BI5" s="46"/>
      <c r="BJ5" s="46" t="s">
        <v>792</v>
      </c>
      <c r="BK5" s="46" t="s">
        <v>792</v>
      </c>
      <c r="BL5" s="46" t="s">
        <v>792</v>
      </c>
      <c r="BM5" s="46">
        <v>41280</v>
      </c>
      <c r="BN5" s="35"/>
      <c r="BO5" s="35"/>
      <c r="BP5" s="35"/>
      <c r="BQ5" s="35"/>
      <c r="BR5" s="35"/>
      <c r="BS5" s="35"/>
      <c r="BT5" s="35"/>
    </row>
    <row r="6" spans="1:98" ht="18.5" x14ac:dyDescent="0.45">
      <c r="A6" s="77" t="s">
        <v>1019</v>
      </c>
      <c r="B6" s="78"/>
      <c r="C6" s="78">
        <v>9857033840</v>
      </c>
      <c r="D6" s="77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23"/>
      <c r="T6" s="23">
        <v>23000</v>
      </c>
      <c r="U6" s="23"/>
      <c r="V6" s="23">
        <f t="shared" si="0"/>
        <v>23000</v>
      </c>
      <c r="W6" s="23">
        <f>CB6+15000</f>
        <v>23000</v>
      </c>
      <c r="X6" s="23">
        <f t="shared" si="1"/>
        <v>0</v>
      </c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>
        <f>4000+4000</f>
        <v>8000</v>
      </c>
      <c r="CC6" s="46"/>
      <c r="CD6" s="46"/>
      <c r="CE6" s="46"/>
      <c r="CF6" s="46"/>
      <c r="CG6" s="46">
        <v>15000</v>
      </c>
    </row>
    <row r="7" spans="1:98" x14ac:dyDescent="0.35">
      <c r="A7" s="12" t="s">
        <v>887</v>
      </c>
      <c r="B7" s="18"/>
      <c r="C7" s="18"/>
      <c r="D7" s="12"/>
      <c r="E7" s="12"/>
      <c r="F7" s="12"/>
      <c r="G7" s="12"/>
      <c r="H7" s="12"/>
      <c r="I7" s="12"/>
      <c r="J7" s="12">
        <v>14506</v>
      </c>
      <c r="K7" s="12"/>
      <c r="L7" s="12"/>
      <c r="M7" s="12"/>
      <c r="N7" s="12"/>
      <c r="O7" s="12"/>
      <c r="P7" s="12"/>
      <c r="Q7" s="12"/>
      <c r="R7" s="12"/>
      <c r="S7" s="2">
        <v>52147</v>
      </c>
      <c r="T7" s="12"/>
      <c r="U7" s="12"/>
      <c r="V7" s="12">
        <f t="shared" si="0"/>
        <v>66653</v>
      </c>
      <c r="W7" s="12">
        <f>BO7</f>
        <v>14500</v>
      </c>
      <c r="X7" s="12">
        <f t="shared" si="1"/>
        <v>52153</v>
      </c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 t="s">
        <v>168</v>
      </c>
      <c r="BE7" s="34"/>
      <c r="BF7" s="34"/>
      <c r="BG7" s="34"/>
      <c r="BH7" s="34" t="s">
        <v>792</v>
      </c>
      <c r="BI7" s="34"/>
      <c r="BJ7" s="34" t="s">
        <v>792</v>
      </c>
      <c r="BK7" s="34" t="s">
        <v>792</v>
      </c>
      <c r="BL7" s="34" t="s">
        <v>792</v>
      </c>
      <c r="BM7" s="34" t="s">
        <v>792</v>
      </c>
      <c r="BN7" s="34"/>
      <c r="BO7" s="34">
        <v>14500</v>
      </c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 t="s">
        <v>854</v>
      </c>
      <c r="CI7" s="46" t="s">
        <v>854</v>
      </c>
      <c r="CJ7" s="46"/>
      <c r="CK7" s="46"/>
      <c r="CL7" s="46"/>
      <c r="CM7" s="46"/>
      <c r="CN7" s="46"/>
      <c r="CO7" s="46"/>
      <c r="CP7" s="46"/>
      <c r="CQ7" s="46"/>
      <c r="CR7" s="46" t="s">
        <v>854</v>
      </c>
    </row>
    <row r="8" spans="1:98" ht="18.5" x14ac:dyDescent="0.45">
      <c r="A8" s="77" t="s">
        <v>981</v>
      </c>
      <c r="B8" s="78"/>
      <c r="C8" s="78"/>
      <c r="D8" s="82">
        <v>3000</v>
      </c>
      <c r="E8" s="2"/>
      <c r="F8" s="12"/>
      <c r="G8" s="12"/>
      <c r="H8" s="2"/>
      <c r="I8" s="12"/>
      <c r="J8" s="12"/>
      <c r="K8" s="2"/>
      <c r="L8" s="2"/>
      <c r="M8" s="12"/>
      <c r="N8" s="12"/>
      <c r="O8" s="12"/>
      <c r="P8" s="12"/>
      <c r="Q8" s="12"/>
      <c r="R8" s="12"/>
      <c r="S8" s="12"/>
      <c r="T8" s="12"/>
      <c r="U8" s="12"/>
      <c r="V8" s="23">
        <f t="shared" si="0"/>
        <v>3000</v>
      </c>
      <c r="W8" s="12"/>
      <c r="X8" s="23">
        <f t="shared" si="1"/>
        <v>3000</v>
      </c>
      <c r="Y8" s="1"/>
      <c r="Z8" s="34"/>
      <c r="AA8" s="34"/>
      <c r="AB8" s="34"/>
      <c r="AC8" s="33"/>
      <c r="AD8" s="33"/>
      <c r="AE8" s="31"/>
      <c r="AF8" s="34"/>
      <c r="AG8" s="34"/>
      <c r="AH8" s="34"/>
      <c r="AI8" s="34"/>
      <c r="AJ8" s="34"/>
      <c r="AK8" s="34"/>
      <c r="AL8" s="62"/>
      <c r="AM8" s="34"/>
      <c r="AN8" s="34"/>
      <c r="AO8" s="62"/>
      <c r="AP8" s="1"/>
      <c r="AQ8" s="34"/>
      <c r="AR8" s="34"/>
      <c r="AS8" s="34"/>
      <c r="AT8" s="34"/>
      <c r="AU8" s="34"/>
      <c r="AV8" s="34"/>
      <c r="AW8" s="34"/>
      <c r="AX8" s="34"/>
      <c r="AY8" s="34"/>
      <c r="AZ8" s="62"/>
      <c r="BA8" s="31"/>
      <c r="BB8" s="31"/>
      <c r="BC8" s="31"/>
      <c r="BD8" s="34"/>
      <c r="BE8" s="34"/>
      <c r="BF8" s="1"/>
      <c r="BG8" s="34"/>
      <c r="BH8" s="34"/>
      <c r="BI8" s="34"/>
      <c r="BJ8" s="34"/>
      <c r="BK8" s="34"/>
      <c r="BL8" s="34"/>
      <c r="BM8" s="31"/>
      <c r="BN8" s="31" t="s">
        <v>969</v>
      </c>
      <c r="BO8" s="31" t="s">
        <v>969</v>
      </c>
      <c r="BP8" s="31" t="s">
        <v>969</v>
      </c>
      <c r="BQ8" s="31" t="s">
        <v>969</v>
      </c>
      <c r="BR8" s="31" t="s">
        <v>1002</v>
      </c>
      <c r="BS8" s="31" t="s">
        <v>1002</v>
      </c>
      <c r="BT8" s="31"/>
      <c r="BU8" s="31" t="s">
        <v>1002</v>
      </c>
      <c r="BV8" s="31" t="s">
        <v>1002</v>
      </c>
      <c r="BW8" s="31" t="s">
        <v>1002</v>
      </c>
      <c r="BX8" s="31" t="s">
        <v>1002</v>
      </c>
      <c r="BY8" s="31" t="s">
        <v>1002</v>
      </c>
      <c r="BZ8" s="31" t="s">
        <v>864</v>
      </c>
      <c r="CA8" s="31" t="s">
        <v>1002</v>
      </c>
      <c r="CB8" s="31" t="s">
        <v>1002</v>
      </c>
      <c r="CC8" s="31" t="s">
        <v>1002</v>
      </c>
      <c r="CD8" s="31"/>
      <c r="CE8" s="31" t="s">
        <v>1002</v>
      </c>
      <c r="CF8" s="31" t="s">
        <v>1002</v>
      </c>
      <c r="CG8" s="31" t="s">
        <v>1002</v>
      </c>
      <c r="CH8" s="31" t="s">
        <v>1002</v>
      </c>
      <c r="CI8" s="31"/>
      <c r="CJ8" s="31" t="s">
        <v>1002</v>
      </c>
      <c r="CK8" s="31"/>
      <c r="CL8" s="31"/>
    </row>
    <row r="9" spans="1:98" ht="18.5" x14ac:dyDescent="0.45">
      <c r="A9" s="77" t="s">
        <v>7</v>
      </c>
      <c r="B9" s="78"/>
      <c r="C9" s="78">
        <v>9858061302</v>
      </c>
      <c r="D9" s="77">
        <v>944814.1</v>
      </c>
      <c r="E9" s="2">
        <f>103252.94+164051.72</f>
        <v>267304.66000000003</v>
      </c>
      <c r="F9" s="12"/>
      <c r="G9" s="12"/>
      <c r="H9" s="2">
        <f>338855.26+322339.51</f>
        <v>661194.77</v>
      </c>
      <c r="I9" s="12"/>
      <c r="J9" s="12"/>
      <c r="K9" s="2">
        <f>384766.8+265346.4</f>
        <v>650113.19999999995</v>
      </c>
      <c r="L9" s="2">
        <f>90342.55+72152.7</f>
        <v>162495.25</v>
      </c>
      <c r="M9" s="12"/>
      <c r="N9" s="2">
        <f>93600.67+69255.17</f>
        <v>162855.84</v>
      </c>
      <c r="O9" s="12"/>
      <c r="P9" s="2">
        <f>69932+73045.41</f>
        <v>142977.41</v>
      </c>
      <c r="Q9" s="12"/>
      <c r="R9" s="12"/>
      <c r="S9" s="12"/>
      <c r="T9" s="2">
        <f>90382.55+101010.8</f>
        <v>191393.35</v>
      </c>
      <c r="U9" s="12"/>
      <c r="V9" s="23">
        <f t="shared" si="0"/>
        <v>3183148.58</v>
      </c>
      <c r="W9" s="12">
        <f>150000+200000+300000+290000+596000+162494+200000+150000</f>
        <v>2048494</v>
      </c>
      <c r="X9" s="23">
        <f t="shared" si="1"/>
        <v>1134654.58</v>
      </c>
      <c r="Y9" s="1">
        <v>150000</v>
      </c>
      <c r="Z9" s="34">
        <f>SUM(Z8)</f>
        <v>0</v>
      </c>
      <c r="AA9" s="34"/>
      <c r="AB9" s="34"/>
      <c r="AC9" s="33"/>
      <c r="AD9" s="33"/>
      <c r="AE9" s="31" t="s">
        <v>793</v>
      </c>
      <c r="AF9" s="34">
        <v>14</v>
      </c>
      <c r="AG9" s="34"/>
      <c r="AH9" s="34"/>
      <c r="AI9" s="34"/>
      <c r="AJ9" s="34"/>
      <c r="AK9" s="34"/>
      <c r="AL9" s="62">
        <v>200000</v>
      </c>
      <c r="AM9" s="34"/>
      <c r="AN9" s="34"/>
      <c r="AO9" s="62">
        <f>290000+300000</f>
        <v>590000</v>
      </c>
      <c r="AP9" s="1">
        <f>290000+300000</f>
        <v>590000</v>
      </c>
      <c r="AQ9" s="34"/>
      <c r="AR9" s="34"/>
      <c r="AS9" s="34">
        <v>28</v>
      </c>
      <c r="AT9" s="34"/>
      <c r="AU9" s="34"/>
      <c r="AV9" s="34"/>
      <c r="AW9" s="34"/>
      <c r="AX9" s="34"/>
      <c r="AY9" s="34"/>
      <c r="AZ9" s="62">
        <f>296000+300000</f>
        <v>596000</v>
      </c>
      <c r="BA9" s="31"/>
      <c r="BB9" s="31"/>
      <c r="BC9" s="31"/>
      <c r="BD9" s="34">
        <v>3</v>
      </c>
      <c r="BE9" s="34"/>
      <c r="BF9" s="1">
        <f>130000+32494.25</f>
        <v>162494.25</v>
      </c>
      <c r="BG9" s="34"/>
      <c r="BH9" s="34"/>
      <c r="BI9" s="34"/>
      <c r="BJ9" s="34"/>
      <c r="BK9" s="1">
        <v>200000</v>
      </c>
      <c r="BL9" s="34"/>
      <c r="BM9" s="31" t="s">
        <v>4</v>
      </c>
      <c r="BN9" s="34">
        <v>15</v>
      </c>
      <c r="BO9" s="34"/>
      <c r="BP9" s="34"/>
      <c r="BQ9" s="34"/>
      <c r="BR9" s="34"/>
      <c r="BS9" s="34"/>
      <c r="BT9" s="34"/>
      <c r="BU9" s="62">
        <f>107000+43000</f>
        <v>150000</v>
      </c>
      <c r="BV9" s="34"/>
      <c r="BW9" s="34"/>
      <c r="BX9" s="34"/>
      <c r="BY9" s="34"/>
      <c r="BZ9" s="34"/>
      <c r="CA9" s="34"/>
      <c r="CB9" s="34"/>
      <c r="CC9" s="31"/>
      <c r="CD9" s="31"/>
      <c r="CE9" s="31"/>
      <c r="CF9" s="31"/>
      <c r="CG9" s="34"/>
      <c r="CH9" s="34"/>
      <c r="CI9" s="34" t="s">
        <v>4</v>
      </c>
      <c r="CJ9" s="34"/>
      <c r="CK9" s="34"/>
      <c r="CL9" s="34"/>
      <c r="CM9" s="34"/>
    </row>
    <row r="10" spans="1:98" ht="18.5" x14ac:dyDescent="0.45">
      <c r="A10" s="83" t="s">
        <v>8</v>
      </c>
      <c r="B10" s="84"/>
      <c r="C10" s="84" t="s">
        <v>9</v>
      </c>
      <c r="D10" s="77">
        <v>41500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23">
        <f t="shared" si="0"/>
        <v>41500</v>
      </c>
      <c r="W10" s="12"/>
      <c r="X10" s="23">
        <f t="shared" si="1"/>
        <v>41500</v>
      </c>
      <c r="Y10" s="31"/>
      <c r="Z10" s="31"/>
      <c r="AA10" s="31" t="s">
        <v>791</v>
      </c>
      <c r="AB10" s="31" t="s">
        <v>791</v>
      </c>
      <c r="AC10" s="31" t="s">
        <v>791</v>
      </c>
      <c r="AD10" s="31" t="s">
        <v>791</v>
      </c>
      <c r="AE10" s="31" t="s">
        <v>791</v>
      </c>
      <c r="AF10" s="31" t="s">
        <v>793</v>
      </c>
      <c r="AG10" s="31"/>
      <c r="AH10" s="31" t="s">
        <v>794</v>
      </c>
      <c r="AI10" s="31" t="s">
        <v>794</v>
      </c>
      <c r="AJ10" s="31" t="s">
        <v>794</v>
      </c>
      <c r="AK10" s="31" t="s">
        <v>793</v>
      </c>
      <c r="AL10" s="31" t="s">
        <v>793</v>
      </c>
      <c r="AM10" s="31" t="s">
        <v>793</v>
      </c>
      <c r="AN10" s="31"/>
      <c r="AO10" s="31" t="s">
        <v>793</v>
      </c>
      <c r="AP10" s="31" t="s">
        <v>793</v>
      </c>
      <c r="AQ10" s="31" t="s">
        <v>793</v>
      </c>
      <c r="AR10" s="31" t="s">
        <v>793</v>
      </c>
      <c r="AS10" s="31" t="s">
        <v>793</v>
      </c>
      <c r="AT10" s="31" t="s">
        <v>793</v>
      </c>
      <c r="AU10" s="31"/>
      <c r="AV10" s="31" t="s">
        <v>793</v>
      </c>
      <c r="AW10" s="31" t="s">
        <v>802</v>
      </c>
      <c r="AX10" s="31" t="s">
        <v>802</v>
      </c>
      <c r="AY10" s="31" t="s">
        <v>793</v>
      </c>
      <c r="AZ10" s="31" t="s">
        <v>793</v>
      </c>
      <c r="BA10" s="31" t="s">
        <v>793</v>
      </c>
      <c r="BB10" s="31"/>
      <c r="BC10" s="31" t="s">
        <v>793</v>
      </c>
      <c r="BD10" s="31"/>
      <c r="BE10" s="31" t="s">
        <v>793</v>
      </c>
      <c r="BF10" s="31" t="s">
        <v>793</v>
      </c>
      <c r="BG10" s="31" t="s">
        <v>793</v>
      </c>
      <c r="BH10" s="31" t="s">
        <v>793</v>
      </c>
      <c r="BI10" s="31"/>
      <c r="BJ10" s="31" t="s">
        <v>793</v>
      </c>
      <c r="BK10" s="31" t="s">
        <v>793</v>
      </c>
      <c r="BL10" s="31" t="s">
        <v>793</v>
      </c>
      <c r="BM10" s="31" t="s">
        <v>793</v>
      </c>
      <c r="BN10" s="31" t="s">
        <v>791</v>
      </c>
      <c r="BO10" s="31" t="s">
        <v>793</v>
      </c>
      <c r="BP10" s="31"/>
      <c r="BQ10" s="31" t="s">
        <v>793</v>
      </c>
      <c r="BR10" s="31" t="s">
        <v>793</v>
      </c>
      <c r="BS10" s="31" t="s">
        <v>793</v>
      </c>
      <c r="BT10" s="31"/>
      <c r="BU10" s="31" t="s">
        <v>793</v>
      </c>
      <c r="BV10" s="31" t="s">
        <v>793</v>
      </c>
      <c r="BW10" s="31" t="s">
        <v>793</v>
      </c>
      <c r="BX10" s="31" t="s">
        <v>793</v>
      </c>
      <c r="BY10" s="31" t="s">
        <v>793</v>
      </c>
      <c r="BZ10" s="31" t="s">
        <v>793</v>
      </c>
      <c r="CA10" s="31" t="s">
        <v>816</v>
      </c>
      <c r="CB10" s="31" t="s">
        <v>816</v>
      </c>
      <c r="CC10" s="31" t="s">
        <v>816</v>
      </c>
      <c r="CD10" s="31"/>
      <c r="CE10" s="31" t="s">
        <v>793</v>
      </c>
      <c r="CF10" s="31" t="s">
        <v>793</v>
      </c>
      <c r="CG10" s="31" t="s">
        <v>791</v>
      </c>
      <c r="CH10" s="31" t="s">
        <v>791</v>
      </c>
      <c r="CI10" s="31"/>
      <c r="CJ10" s="31" t="s">
        <v>791</v>
      </c>
      <c r="CK10" s="39"/>
      <c r="CL10" s="39"/>
    </row>
    <row r="11" spans="1:98" ht="18.5" x14ac:dyDescent="0.45">
      <c r="A11" s="77" t="s">
        <v>10</v>
      </c>
      <c r="B11" s="78"/>
      <c r="C11" s="78">
        <v>9857031325</v>
      </c>
      <c r="D11" s="77">
        <v>9500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23">
        <f t="shared" si="0"/>
        <v>9500</v>
      </c>
      <c r="W11" s="12"/>
      <c r="X11" s="23">
        <f t="shared" si="1"/>
        <v>9500</v>
      </c>
      <c r="Y11" s="32">
        <v>5</v>
      </c>
      <c r="Z11" s="33"/>
      <c r="AA11" s="33"/>
      <c r="AB11" s="33"/>
      <c r="AC11" s="33">
        <v>10</v>
      </c>
      <c r="AD11" s="33"/>
      <c r="AE11" s="33"/>
      <c r="AF11" s="33"/>
      <c r="AG11" s="33"/>
      <c r="AH11" s="34">
        <v>14</v>
      </c>
      <c r="AI11" s="34"/>
      <c r="AJ11" s="34"/>
      <c r="AK11" s="34"/>
      <c r="AL11" s="34">
        <v>21</v>
      </c>
      <c r="AM11" s="34"/>
      <c r="AN11" s="34"/>
      <c r="AO11" s="34"/>
      <c r="AP11" s="34"/>
      <c r="AQ11" s="34"/>
      <c r="AR11" s="34">
        <v>26</v>
      </c>
      <c r="AS11" s="34"/>
      <c r="AT11" s="34"/>
      <c r="AU11" s="34"/>
      <c r="AV11" s="34"/>
      <c r="AW11" s="34"/>
      <c r="AX11" s="34"/>
      <c r="AY11" s="34"/>
      <c r="AZ11" s="34"/>
      <c r="BA11" s="31"/>
      <c r="BB11" s="31"/>
      <c r="BC11" s="31"/>
      <c r="BD11" s="34">
        <v>10</v>
      </c>
      <c r="BE11" s="34"/>
      <c r="BF11" s="34"/>
      <c r="BG11" s="34"/>
      <c r="BH11" s="34"/>
      <c r="BI11" s="34"/>
      <c r="BJ11" s="34"/>
      <c r="BK11" s="34"/>
      <c r="BL11" s="34"/>
      <c r="BM11" s="34">
        <v>17</v>
      </c>
      <c r="BN11" s="34"/>
      <c r="BO11" s="34"/>
      <c r="BP11" s="34"/>
      <c r="BQ11" s="34"/>
      <c r="BR11" s="34"/>
      <c r="BS11" s="34">
        <v>20</v>
      </c>
      <c r="BT11" s="31"/>
      <c r="BU11" s="31"/>
      <c r="BV11" s="31"/>
      <c r="BW11" s="31" t="s">
        <v>4</v>
      </c>
      <c r="BX11" s="34">
        <v>24</v>
      </c>
      <c r="BY11" s="34"/>
      <c r="BZ11" s="34"/>
      <c r="CA11" s="31">
        <v>29</v>
      </c>
      <c r="CB11" s="31"/>
      <c r="CC11" s="31"/>
      <c r="CD11" s="31"/>
      <c r="CE11" s="31"/>
      <c r="CF11" s="31"/>
      <c r="CG11" s="34"/>
      <c r="CH11" s="46">
        <v>5</v>
      </c>
      <c r="CI11" s="46"/>
      <c r="CJ11" s="46"/>
      <c r="CK11" s="46"/>
      <c r="CL11" s="46"/>
      <c r="CM11" s="34" t="s">
        <v>4</v>
      </c>
    </row>
    <row r="12" spans="1:98" ht="18.5" x14ac:dyDescent="0.45">
      <c r="A12" s="77" t="s">
        <v>11</v>
      </c>
      <c r="B12" s="78"/>
      <c r="C12" s="78" t="s">
        <v>12</v>
      </c>
      <c r="D12" s="77">
        <v>324065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23">
        <f t="shared" si="0"/>
        <v>324065</v>
      </c>
      <c r="W12" s="12">
        <f>BH12</f>
        <v>50000</v>
      </c>
      <c r="X12" s="23">
        <f t="shared" si="1"/>
        <v>274065</v>
      </c>
      <c r="Y12" s="32">
        <v>15</v>
      </c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4">
        <v>20</v>
      </c>
      <c r="AN12" s="34"/>
      <c r="AO12" s="34"/>
      <c r="AP12" s="34"/>
      <c r="AQ12" s="34"/>
      <c r="AR12" s="34" t="s">
        <v>4</v>
      </c>
      <c r="AS12" s="34">
        <v>25</v>
      </c>
      <c r="AT12" s="34"/>
      <c r="AU12" s="34"/>
      <c r="AV12" s="34"/>
      <c r="AW12" s="31"/>
      <c r="AX12" s="31"/>
      <c r="AY12" s="34">
        <v>30</v>
      </c>
      <c r="AZ12" s="34"/>
      <c r="BA12" s="34"/>
      <c r="BB12" s="34"/>
      <c r="BC12" s="31">
        <v>5</v>
      </c>
      <c r="BD12" s="34">
        <v>5</v>
      </c>
      <c r="BE12" s="34"/>
      <c r="BF12" s="34"/>
      <c r="BG12" s="34"/>
      <c r="BH12" s="1">
        <v>50000</v>
      </c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 t="s">
        <v>1017</v>
      </c>
      <c r="CC12" s="34"/>
      <c r="CD12" s="34"/>
      <c r="CE12" s="34"/>
      <c r="CF12" s="34"/>
      <c r="CG12" s="34"/>
      <c r="CH12" s="46">
        <v>5</v>
      </c>
      <c r="CI12" s="46"/>
      <c r="CJ12" s="46"/>
      <c r="CK12" s="46"/>
      <c r="CL12" s="46"/>
      <c r="CM12" s="34" t="s">
        <v>4</v>
      </c>
    </row>
    <row r="13" spans="1:98" ht="15.5" x14ac:dyDescent="0.35">
      <c r="A13" s="96" t="s">
        <v>56</v>
      </c>
      <c r="B13" s="97"/>
      <c r="C13" s="97">
        <v>9857059348</v>
      </c>
      <c r="D13" s="98">
        <v>19700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23">
        <f t="shared" si="0"/>
        <v>19700</v>
      </c>
      <c r="W13" s="19"/>
      <c r="X13" s="19">
        <f t="shared" si="1"/>
        <v>19700</v>
      </c>
      <c r="Y13" s="49"/>
      <c r="Z13" s="49"/>
      <c r="AA13" s="49" t="s">
        <v>794</v>
      </c>
      <c r="AB13" s="49" t="s">
        <v>791</v>
      </c>
      <c r="AC13" s="49" t="s">
        <v>794</v>
      </c>
      <c r="AD13" s="49" t="s">
        <v>794</v>
      </c>
      <c r="AE13" s="49" t="s">
        <v>794</v>
      </c>
      <c r="AF13" s="49" t="s">
        <v>793</v>
      </c>
      <c r="AG13" s="49"/>
      <c r="AH13" s="49" t="s">
        <v>794</v>
      </c>
      <c r="AI13" s="49" t="s">
        <v>791</v>
      </c>
      <c r="AJ13" s="49" t="s">
        <v>791</v>
      </c>
      <c r="AK13" s="49" t="s">
        <v>791</v>
      </c>
      <c r="AL13" s="49" t="s">
        <v>791</v>
      </c>
      <c r="AM13" s="49" t="s">
        <v>791</v>
      </c>
      <c r="AN13" s="49"/>
      <c r="AO13" s="49" t="s">
        <v>791</v>
      </c>
      <c r="AP13" s="49" t="s">
        <v>791</v>
      </c>
      <c r="AQ13" s="49" t="s">
        <v>791</v>
      </c>
      <c r="AR13" s="49" t="s">
        <v>791</v>
      </c>
      <c r="AS13" s="49" t="s">
        <v>791</v>
      </c>
      <c r="AT13" s="49" t="s">
        <v>791</v>
      </c>
      <c r="AU13" s="49"/>
      <c r="AV13" s="49" t="s">
        <v>791</v>
      </c>
      <c r="AW13" s="49" t="s">
        <v>791</v>
      </c>
      <c r="AX13" s="49" t="s">
        <v>791</v>
      </c>
      <c r="AY13" s="49" t="s">
        <v>791</v>
      </c>
      <c r="AZ13" s="49" t="s">
        <v>791</v>
      </c>
      <c r="BA13" s="49" t="s">
        <v>791</v>
      </c>
      <c r="BB13" s="49"/>
      <c r="BC13" s="49" t="s">
        <v>791</v>
      </c>
      <c r="BD13" s="31"/>
      <c r="BE13" s="31" t="s">
        <v>793</v>
      </c>
      <c r="BF13" s="31" t="s">
        <v>793</v>
      </c>
      <c r="BG13" s="31" t="s">
        <v>793</v>
      </c>
      <c r="BH13" s="31" t="s">
        <v>793</v>
      </c>
      <c r="BI13" s="31"/>
      <c r="BJ13" s="31" t="s">
        <v>793</v>
      </c>
      <c r="BK13" s="31" t="s">
        <v>793</v>
      </c>
      <c r="BL13" s="31" t="s">
        <v>793</v>
      </c>
      <c r="BM13" s="31" t="s">
        <v>793</v>
      </c>
      <c r="BN13" s="31" t="s">
        <v>793</v>
      </c>
      <c r="BO13" s="31" t="s">
        <v>793</v>
      </c>
      <c r="BP13" s="31"/>
      <c r="BQ13" s="31" t="s">
        <v>793</v>
      </c>
      <c r="BR13" s="31" t="s">
        <v>793</v>
      </c>
      <c r="BS13" s="31" t="s">
        <v>793</v>
      </c>
      <c r="BT13" s="31"/>
      <c r="BU13" s="31" t="s">
        <v>793</v>
      </c>
      <c r="BV13" s="31" t="s">
        <v>793</v>
      </c>
      <c r="BW13" s="31" t="s">
        <v>793</v>
      </c>
      <c r="BX13" s="31" t="s">
        <v>793</v>
      </c>
      <c r="BY13" s="31" t="s">
        <v>793</v>
      </c>
      <c r="BZ13" s="31" t="s">
        <v>793</v>
      </c>
      <c r="CA13" s="31" t="s">
        <v>793</v>
      </c>
      <c r="CB13" s="31" t="s">
        <v>793</v>
      </c>
      <c r="CC13" s="31" t="s">
        <v>793</v>
      </c>
      <c r="CD13" s="31"/>
      <c r="CE13" s="31" t="s">
        <v>793</v>
      </c>
      <c r="CF13" s="31" t="s">
        <v>793</v>
      </c>
      <c r="CG13" s="31" t="s">
        <v>791</v>
      </c>
      <c r="CH13" s="31" t="s">
        <v>791</v>
      </c>
      <c r="CI13" s="31"/>
      <c r="CJ13" s="31" t="s">
        <v>791</v>
      </c>
      <c r="CK13" s="39"/>
      <c r="CL13" s="39"/>
    </row>
    <row r="14" spans="1:98" x14ac:dyDescent="0.35">
      <c r="A14" s="19" t="s">
        <v>72</v>
      </c>
      <c r="B14" s="5"/>
      <c r="C14" s="48">
        <v>9857632392</v>
      </c>
      <c r="D14" s="36">
        <v>10000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23">
        <f t="shared" si="0"/>
        <v>10000</v>
      </c>
      <c r="W14" s="19"/>
      <c r="X14" s="19">
        <f t="shared" si="1"/>
        <v>10000</v>
      </c>
      <c r="Y14" s="49"/>
      <c r="Z14" s="49"/>
      <c r="AA14" s="49" t="s">
        <v>793</v>
      </c>
      <c r="AB14" s="49"/>
      <c r="AC14" s="49" t="s">
        <v>793</v>
      </c>
      <c r="AD14" s="49" t="s">
        <v>793</v>
      </c>
      <c r="AE14" s="49" t="s">
        <v>793</v>
      </c>
      <c r="AF14" s="49" t="s">
        <v>793</v>
      </c>
      <c r="AG14" s="49"/>
      <c r="AH14" s="49" t="s">
        <v>793</v>
      </c>
      <c r="AI14" s="49" t="s">
        <v>792</v>
      </c>
      <c r="AJ14" s="49" t="s">
        <v>792</v>
      </c>
      <c r="AK14" s="49" t="s">
        <v>793</v>
      </c>
      <c r="AL14" s="49" t="s">
        <v>793</v>
      </c>
      <c r="AM14" s="49" t="s">
        <v>793</v>
      </c>
      <c r="AN14" s="49"/>
      <c r="AO14" s="49" t="s">
        <v>793</v>
      </c>
      <c r="AP14" s="49" t="s">
        <v>793</v>
      </c>
      <c r="AQ14" s="49" t="s">
        <v>793</v>
      </c>
      <c r="AR14" s="49" t="s">
        <v>793</v>
      </c>
      <c r="AS14" s="49" t="s">
        <v>793</v>
      </c>
      <c r="AT14" s="49" t="s">
        <v>793</v>
      </c>
      <c r="AU14" s="49"/>
      <c r="AV14" s="49" t="s">
        <v>793</v>
      </c>
      <c r="AW14" s="49" t="s">
        <v>793</v>
      </c>
      <c r="AX14" s="49" t="s">
        <v>793</v>
      </c>
      <c r="AY14" s="49" t="s">
        <v>793</v>
      </c>
      <c r="AZ14" s="49" t="s">
        <v>793</v>
      </c>
      <c r="BA14" s="49" t="s">
        <v>793</v>
      </c>
      <c r="BB14" s="49"/>
      <c r="BC14" s="49" t="s">
        <v>793</v>
      </c>
      <c r="BD14" s="31"/>
      <c r="BE14" s="31" t="s">
        <v>794</v>
      </c>
      <c r="BF14" s="31" t="s">
        <v>794</v>
      </c>
      <c r="BG14" s="31" t="s">
        <v>794</v>
      </c>
      <c r="BH14" s="31" t="s">
        <v>794</v>
      </c>
      <c r="BI14" s="31"/>
      <c r="BJ14" s="31" t="s">
        <v>794</v>
      </c>
      <c r="BK14" s="31" t="s">
        <v>794</v>
      </c>
      <c r="BL14" s="31" t="s">
        <v>794</v>
      </c>
      <c r="BM14" s="31" t="s">
        <v>794</v>
      </c>
      <c r="BN14" s="31" t="s">
        <v>794</v>
      </c>
      <c r="BO14" s="31" t="s">
        <v>794</v>
      </c>
      <c r="BP14" s="31"/>
      <c r="BQ14" s="31" t="s">
        <v>794</v>
      </c>
      <c r="BR14" s="31" t="s">
        <v>794</v>
      </c>
      <c r="BS14" s="31" t="s">
        <v>794</v>
      </c>
      <c r="BT14" s="31"/>
      <c r="BU14" s="31" t="s">
        <v>794</v>
      </c>
      <c r="BV14" s="31" t="s">
        <v>794</v>
      </c>
      <c r="BW14" s="31" t="s">
        <v>794</v>
      </c>
      <c r="BX14" s="31" t="s">
        <v>794</v>
      </c>
      <c r="BY14" s="31" t="s">
        <v>794</v>
      </c>
      <c r="BZ14" s="31" t="s">
        <v>794</v>
      </c>
      <c r="CA14" s="31" t="s">
        <v>794</v>
      </c>
      <c r="CB14" s="31" t="s">
        <v>794</v>
      </c>
      <c r="CC14" s="31" t="s">
        <v>794</v>
      </c>
      <c r="CD14" s="31"/>
      <c r="CE14" s="31" t="s">
        <v>794</v>
      </c>
      <c r="CF14" s="31" t="s">
        <v>794</v>
      </c>
      <c r="CG14" s="31" t="s">
        <v>794</v>
      </c>
      <c r="CH14" s="31" t="s">
        <v>794</v>
      </c>
      <c r="CI14" s="31"/>
      <c r="CJ14" s="31" t="s">
        <v>794</v>
      </c>
      <c r="CK14" s="39"/>
      <c r="CL14" s="39"/>
    </row>
    <row r="15" spans="1:98" ht="18.5" x14ac:dyDescent="0.45">
      <c r="A15" s="83" t="s">
        <v>79</v>
      </c>
      <c r="B15" s="84"/>
      <c r="C15" s="84" t="s">
        <v>80</v>
      </c>
      <c r="D15" s="83">
        <v>12000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23">
        <f t="shared" si="0"/>
        <v>12000</v>
      </c>
      <c r="W15" s="19"/>
      <c r="X15" s="19">
        <f t="shared" si="1"/>
        <v>12000</v>
      </c>
      <c r="Y15" s="49"/>
      <c r="Z15" s="49"/>
      <c r="AA15" s="49" t="s">
        <v>793</v>
      </c>
      <c r="AB15" s="49"/>
      <c r="AC15" s="49" t="s">
        <v>793</v>
      </c>
      <c r="AD15" s="49" t="s">
        <v>793</v>
      </c>
      <c r="AE15" s="49" t="s">
        <v>793</v>
      </c>
      <c r="AF15" s="49" t="s">
        <v>793</v>
      </c>
      <c r="AG15" s="49"/>
      <c r="AH15" s="49" t="s">
        <v>793</v>
      </c>
      <c r="AI15" s="49" t="s">
        <v>794</v>
      </c>
      <c r="AJ15" s="49" t="s">
        <v>794</v>
      </c>
      <c r="AK15" s="49" t="s">
        <v>793</v>
      </c>
      <c r="AL15" s="49" t="s">
        <v>793</v>
      </c>
      <c r="AM15" s="49" t="s">
        <v>793</v>
      </c>
      <c r="AN15" s="49"/>
      <c r="AO15" s="49" t="s">
        <v>793</v>
      </c>
      <c r="AP15" s="49" t="s">
        <v>793</v>
      </c>
      <c r="AQ15" s="49" t="s">
        <v>793</v>
      </c>
      <c r="AR15" s="49" t="s">
        <v>793</v>
      </c>
      <c r="AS15" s="49" t="s">
        <v>793</v>
      </c>
      <c r="AT15" s="49" t="s">
        <v>793</v>
      </c>
      <c r="AU15" s="49"/>
      <c r="AV15" s="49" t="s">
        <v>793</v>
      </c>
      <c r="AW15" s="49" t="s">
        <v>793</v>
      </c>
      <c r="AX15" s="49" t="s">
        <v>793</v>
      </c>
      <c r="AY15" s="49" t="s">
        <v>794</v>
      </c>
      <c r="AZ15" s="49" t="s">
        <v>794</v>
      </c>
      <c r="BA15" s="49" t="s">
        <v>794</v>
      </c>
      <c r="BB15" s="49"/>
      <c r="BC15" s="49" t="s">
        <v>794</v>
      </c>
      <c r="BD15" s="31"/>
      <c r="BE15" s="31" t="s">
        <v>793</v>
      </c>
      <c r="BF15" s="31" t="s">
        <v>793</v>
      </c>
      <c r="BG15" s="31" t="s">
        <v>793</v>
      </c>
      <c r="BH15" s="31" t="s">
        <v>793</v>
      </c>
      <c r="BI15" s="31"/>
      <c r="BJ15" s="31" t="s">
        <v>793</v>
      </c>
      <c r="BK15" s="31" t="s">
        <v>793</v>
      </c>
      <c r="BL15" s="31" t="s">
        <v>793</v>
      </c>
      <c r="BM15" s="31" t="s">
        <v>793</v>
      </c>
      <c r="BN15" s="31" t="s">
        <v>793</v>
      </c>
      <c r="BO15" s="31" t="s">
        <v>793</v>
      </c>
      <c r="BP15" s="31"/>
      <c r="BQ15" s="31" t="s">
        <v>793</v>
      </c>
      <c r="BR15" s="31" t="s">
        <v>793</v>
      </c>
      <c r="BS15" s="31" t="s">
        <v>793</v>
      </c>
      <c r="BT15" s="31"/>
      <c r="BU15" s="31" t="s">
        <v>793</v>
      </c>
      <c r="BV15" s="31" t="s">
        <v>793</v>
      </c>
      <c r="BW15" s="31" t="s">
        <v>793</v>
      </c>
      <c r="BX15" s="31" t="s">
        <v>793</v>
      </c>
      <c r="BY15" s="31" t="s">
        <v>793</v>
      </c>
      <c r="BZ15" s="31" t="s">
        <v>793</v>
      </c>
      <c r="CA15" s="31" t="s">
        <v>793</v>
      </c>
      <c r="CB15" s="31" t="s">
        <v>793</v>
      </c>
      <c r="CC15" s="31" t="s">
        <v>793</v>
      </c>
      <c r="CD15" s="31"/>
      <c r="CE15" s="31" t="s">
        <v>793</v>
      </c>
      <c r="CF15" s="31" t="s">
        <v>793</v>
      </c>
      <c r="CG15" s="31" t="s">
        <v>793</v>
      </c>
      <c r="CH15" s="31" t="s">
        <v>793</v>
      </c>
      <c r="CI15" s="31"/>
      <c r="CJ15" s="31" t="s">
        <v>793</v>
      </c>
      <c r="CK15" s="39"/>
      <c r="CL15" s="39"/>
    </row>
    <row r="16" spans="1:98" ht="18.5" x14ac:dyDescent="0.45">
      <c r="A16" s="83" t="s">
        <v>901</v>
      </c>
      <c r="B16" s="84"/>
      <c r="C16" s="84" t="s">
        <v>85</v>
      </c>
      <c r="D16" s="83">
        <v>19248.53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23">
        <f t="shared" si="0"/>
        <v>19248.53</v>
      </c>
      <c r="W16" s="19"/>
      <c r="X16" s="19">
        <f t="shared" si="1"/>
        <v>19248.53</v>
      </c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4" t="s">
        <v>790</v>
      </c>
      <c r="AK16" s="34"/>
      <c r="AL16" s="34"/>
      <c r="AM16" s="31"/>
      <c r="AN16" s="31"/>
      <c r="AO16" s="31"/>
      <c r="AP16" s="31"/>
      <c r="AQ16" s="34">
        <v>23</v>
      </c>
      <c r="AR16" s="34"/>
      <c r="AS16" s="34"/>
      <c r="AT16" s="34"/>
      <c r="AU16" s="31"/>
      <c r="AV16" s="34"/>
      <c r="AW16" s="34" t="s">
        <v>794</v>
      </c>
      <c r="AX16" s="31" t="s">
        <v>794</v>
      </c>
      <c r="AY16" s="31" t="s">
        <v>794</v>
      </c>
      <c r="AZ16" s="31" t="s">
        <v>794</v>
      </c>
      <c r="BA16" s="31" t="s">
        <v>794</v>
      </c>
      <c r="BB16" s="31"/>
      <c r="BC16" s="31" t="s">
        <v>794</v>
      </c>
      <c r="BD16" s="31"/>
      <c r="BE16" s="31" t="s">
        <v>794</v>
      </c>
      <c r="BF16" s="31" t="s">
        <v>794</v>
      </c>
      <c r="BG16" s="31" t="s">
        <v>794</v>
      </c>
      <c r="BH16" s="31" t="s">
        <v>794</v>
      </c>
      <c r="BI16" s="31"/>
      <c r="BJ16" s="31" t="s">
        <v>794</v>
      </c>
      <c r="BK16" s="31" t="s">
        <v>794</v>
      </c>
      <c r="BL16" s="31" t="s">
        <v>794</v>
      </c>
      <c r="BM16" s="31" t="s">
        <v>794</v>
      </c>
      <c r="BN16" s="31" t="s">
        <v>794</v>
      </c>
      <c r="BO16" s="31"/>
      <c r="BP16" s="31"/>
      <c r="BQ16" s="31"/>
      <c r="BR16" s="34">
        <v>19</v>
      </c>
      <c r="BS16" s="34"/>
      <c r="BT16" s="34"/>
      <c r="BU16" s="34" t="s">
        <v>794</v>
      </c>
      <c r="BV16" s="34" t="s">
        <v>794</v>
      </c>
      <c r="BW16" s="34" t="s">
        <v>794</v>
      </c>
      <c r="BX16" s="34" t="s">
        <v>794</v>
      </c>
      <c r="BY16" s="34" t="s">
        <v>794</v>
      </c>
      <c r="BZ16" s="34" t="s">
        <v>794</v>
      </c>
      <c r="CA16" s="34" t="s">
        <v>794</v>
      </c>
      <c r="CB16" s="34" t="s">
        <v>794</v>
      </c>
      <c r="CC16" s="34" t="s">
        <v>794</v>
      </c>
      <c r="CD16" s="34"/>
      <c r="CE16" s="34" t="s">
        <v>794</v>
      </c>
      <c r="CF16" s="34" t="s">
        <v>794</v>
      </c>
      <c r="CG16" s="31" t="s">
        <v>794</v>
      </c>
      <c r="CH16" s="31" t="s">
        <v>794</v>
      </c>
      <c r="CI16" s="31"/>
      <c r="CJ16" s="31" t="s">
        <v>794</v>
      </c>
      <c r="CK16" s="39"/>
      <c r="CL16" s="39"/>
    </row>
    <row r="17" spans="1:96" ht="18.5" x14ac:dyDescent="0.45">
      <c r="A17" s="83" t="s">
        <v>94</v>
      </c>
      <c r="B17" s="84"/>
      <c r="C17" s="84">
        <v>9807576104</v>
      </c>
      <c r="D17" s="83">
        <v>31500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23">
        <f t="shared" si="0"/>
        <v>31500</v>
      </c>
      <c r="W17" s="19"/>
      <c r="X17" s="19">
        <f t="shared" si="1"/>
        <v>31500</v>
      </c>
      <c r="Y17" s="49"/>
      <c r="Z17" s="49"/>
      <c r="AA17" s="49" t="s">
        <v>793</v>
      </c>
      <c r="AB17" s="49"/>
      <c r="AC17" s="49" t="s">
        <v>793</v>
      </c>
      <c r="AD17" s="49" t="s">
        <v>793</v>
      </c>
      <c r="AE17" s="49" t="s">
        <v>793</v>
      </c>
      <c r="AF17" s="49" t="s">
        <v>793</v>
      </c>
      <c r="AG17" s="49"/>
      <c r="AH17" s="49" t="s">
        <v>794</v>
      </c>
      <c r="AI17" s="49" t="s">
        <v>792</v>
      </c>
      <c r="AJ17" s="49" t="s">
        <v>792</v>
      </c>
      <c r="AK17" s="49" t="s">
        <v>792</v>
      </c>
      <c r="AL17" s="49" t="s">
        <v>792</v>
      </c>
      <c r="AM17" s="49" t="s">
        <v>802</v>
      </c>
      <c r="AN17" s="49"/>
      <c r="AO17" s="49" t="s">
        <v>802</v>
      </c>
      <c r="AP17" s="49" t="s">
        <v>802</v>
      </c>
      <c r="AQ17" s="49" t="s">
        <v>802</v>
      </c>
      <c r="AR17" s="49" t="s">
        <v>802</v>
      </c>
      <c r="AS17" s="49" t="s">
        <v>793</v>
      </c>
      <c r="AT17" s="49" t="s">
        <v>793</v>
      </c>
      <c r="AU17" s="49"/>
      <c r="AV17" s="49" t="s">
        <v>793</v>
      </c>
      <c r="AW17" s="49" t="s">
        <v>793</v>
      </c>
      <c r="AX17" s="49" t="s">
        <v>793</v>
      </c>
      <c r="AY17" s="49" t="s">
        <v>793</v>
      </c>
      <c r="AZ17" s="49" t="s">
        <v>793</v>
      </c>
      <c r="BA17" s="49" t="s">
        <v>793</v>
      </c>
      <c r="BB17" s="49"/>
      <c r="BC17" s="49" t="s">
        <v>793</v>
      </c>
      <c r="BD17" s="31"/>
      <c r="BE17" s="31" t="s">
        <v>794</v>
      </c>
      <c r="BF17" s="31" t="s">
        <v>794</v>
      </c>
      <c r="BG17" s="31" t="s">
        <v>794</v>
      </c>
      <c r="BH17" s="31" t="s">
        <v>793</v>
      </c>
      <c r="BI17" s="31"/>
      <c r="BJ17" s="31" t="s">
        <v>793</v>
      </c>
      <c r="BK17" s="31" t="s">
        <v>793</v>
      </c>
      <c r="BL17" s="31" t="s">
        <v>793</v>
      </c>
      <c r="BM17" s="31" t="s">
        <v>793</v>
      </c>
      <c r="BN17" s="31" t="s">
        <v>793</v>
      </c>
      <c r="BO17" s="31" t="s">
        <v>793</v>
      </c>
      <c r="BP17" s="31"/>
      <c r="BQ17" s="31" t="s">
        <v>793</v>
      </c>
      <c r="BR17" s="31" t="s">
        <v>793</v>
      </c>
      <c r="BS17" s="31" t="s">
        <v>793</v>
      </c>
      <c r="BT17" s="31"/>
      <c r="BU17" s="31" t="s">
        <v>794</v>
      </c>
      <c r="BV17" s="31" t="s">
        <v>794</v>
      </c>
      <c r="BW17" s="31" t="s">
        <v>794</v>
      </c>
      <c r="BX17" s="31" t="s">
        <v>794</v>
      </c>
      <c r="BY17" s="31" t="s">
        <v>794</v>
      </c>
      <c r="BZ17" s="31" t="s">
        <v>794</v>
      </c>
      <c r="CA17" s="31" t="s">
        <v>794</v>
      </c>
      <c r="CB17" s="31" t="s">
        <v>794</v>
      </c>
      <c r="CC17" s="31" t="s">
        <v>794</v>
      </c>
      <c r="CD17" s="31"/>
      <c r="CE17" s="31" t="s">
        <v>794</v>
      </c>
      <c r="CF17" s="31" t="s">
        <v>794</v>
      </c>
      <c r="CG17" s="31" t="s">
        <v>794</v>
      </c>
      <c r="CH17" s="31" t="s">
        <v>794</v>
      </c>
      <c r="CI17" s="31"/>
      <c r="CJ17" s="31" t="s">
        <v>794</v>
      </c>
      <c r="CK17" s="39"/>
      <c r="CL17" s="39"/>
    </row>
    <row r="18" spans="1:96" ht="18.5" x14ac:dyDescent="0.45">
      <c r="A18" s="77" t="s">
        <v>13</v>
      </c>
      <c r="B18" s="78"/>
      <c r="C18" s="78" t="s">
        <v>14</v>
      </c>
      <c r="D18" s="77">
        <v>11500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23">
        <f t="shared" si="0"/>
        <v>11500</v>
      </c>
      <c r="W18" s="12"/>
      <c r="X18" s="23">
        <f t="shared" si="1"/>
        <v>11500</v>
      </c>
      <c r="Y18" s="34">
        <v>6</v>
      </c>
      <c r="Z18" s="34"/>
      <c r="AA18" s="34"/>
      <c r="AB18" s="34"/>
      <c r="AC18" s="34"/>
      <c r="AD18" s="33">
        <v>9</v>
      </c>
      <c r="AE18" s="33"/>
      <c r="AF18" s="34"/>
      <c r="AG18" s="34" t="s">
        <v>4</v>
      </c>
      <c r="AH18" s="31" t="s">
        <v>793</v>
      </c>
      <c r="AI18" s="34">
        <v>15</v>
      </c>
      <c r="AJ18" s="34"/>
      <c r="AK18" s="34"/>
      <c r="AL18" s="34">
        <v>19</v>
      </c>
      <c r="AM18" s="34"/>
      <c r="AN18" s="34"/>
      <c r="AO18" s="34"/>
      <c r="AP18" s="34">
        <v>25</v>
      </c>
      <c r="AQ18" s="34"/>
      <c r="AR18" s="34"/>
      <c r="AS18" s="34"/>
      <c r="AT18" s="34"/>
      <c r="AU18" s="34"/>
      <c r="AV18" s="34"/>
      <c r="AW18" s="34">
        <v>30</v>
      </c>
      <c r="AX18" s="34"/>
      <c r="AY18" s="34"/>
      <c r="AZ18" s="34"/>
      <c r="BA18" s="34">
        <v>5</v>
      </c>
      <c r="BB18" s="34"/>
      <c r="BC18" s="31"/>
      <c r="BD18" s="34">
        <v>5</v>
      </c>
      <c r="BE18" s="34"/>
      <c r="BF18" s="34"/>
      <c r="BG18" s="34"/>
      <c r="BH18" s="31" t="s">
        <v>794</v>
      </c>
      <c r="BI18" s="31"/>
      <c r="BJ18" s="31" t="s">
        <v>794</v>
      </c>
      <c r="BK18" s="31" t="s">
        <v>794</v>
      </c>
      <c r="BL18" s="31" t="s">
        <v>794</v>
      </c>
      <c r="BM18" s="31" t="s">
        <v>794</v>
      </c>
      <c r="BN18" s="31" t="s">
        <v>794</v>
      </c>
      <c r="BO18" s="31" t="s">
        <v>794</v>
      </c>
      <c r="BP18" s="31"/>
      <c r="BQ18" s="31" t="s">
        <v>794</v>
      </c>
      <c r="BR18" s="31" t="s">
        <v>794</v>
      </c>
      <c r="BS18" s="31">
        <v>21</v>
      </c>
      <c r="BT18" s="31"/>
      <c r="BU18" s="31"/>
      <c r="BV18" s="31"/>
      <c r="BW18" s="31"/>
      <c r="BX18" s="31" t="s">
        <v>793</v>
      </c>
      <c r="BY18" s="31" t="s">
        <v>793</v>
      </c>
      <c r="BZ18" s="31" t="s">
        <v>793</v>
      </c>
      <c r="CA18" s="31" t="s">
        <v>793</v>
      </c>
      <c r="CB18" s="31" t="s">
        <v>793</v>
      </c>
      <c r="CC18" s="31" t="s">
        <v>793</v>
      </c>
      <c r="CD18" s="31"/>
      <c r="CE18" s="31" t="s">
        <v>793</v>
      </c>
      <c r="CF18" s="31" t="s">
        <v>793</v>
      </c>
      <c r="CG18" s="34">
        <v>10</v>
      </c>
      <c r="CH18" s="46">
        <v>10</v>
      </c>
      <c r="CI18" s="46"/>
      <c r="CJ18" s="46"/>
      <c r="CK18" s="46"/>
      <c r="CL18" s="46"/>
      <c r="CM18" s="46"/>
      <c r="CN18" s="46"/>
      <c r="CO18" s="46"/>
      <c r="CP18" s="46"/>
      <c r="CQ18" s="46"/>
      <c r="CR18" s="46"/>
    </row>
    <row r="19" spans="1:96" ht="18.5" x14ac:dyDescent="0.45">
      <c r="A19" s="77" t="s">
        <v>15</v>
      </c>
      <c r="B19" s="78"/>
      <c r="C19" s="78">
        <v>9847025697</v>
      </c>
      <c r="D19" s="77">
        <v>13500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23">
        <f t="shared" si="0"/>
        <v>13500</v>
      </c>
      <c r="W19" s="12"/>
      <c r="X19" s="23">
        <f t="shared" si="1"/>
        <v>13500</v>
      </c>
      <c r="Y19" s="32">
        <v>10</v>
      </c>
      <c r="Z19" s="33"/>
      <c r="AA19" s="33"/>
      <c r="AB19" s="33"/>
      <c r="AC19" s="33"/>
      <c r="AD19" s="33"/>
      <c r="AE19" s="33"/>
      <c r="AF19" s="34"/>
      <c r="AG19" s="34"/>
      <c r="AH19" s="34">
        <v>13</v>
      </c>
      <c r="AI19" s="34"/>
      <c r="AJ19" s="34"/>
      <c r="AK19" s="34">
        <v>19</v>
      </c>
      <c r="AL19" s="34"/>
      <c r="AM19" s="34"/>
      <c r="AN19" s="34"/>
      <c r="AO19" s="34"/>
      <c r="AP19" s="34"/>
      <c r="AQ19" s="31">
        <v>22</v>
      </c>
      <c r="AR19" s="31"/>
      <c r="AS19" s="31"/>
      <c r="AT19" s="31">
        <v>26</v>
      </c>
      <c r="AU19" s="31"/>
      <c r="AV19" s="31"/>
      <c r="AW19" s="34">
        <v>30</v>
      </c>
      <c r="AX19" s="34"/>
      <c r="AY19" s="34"/>
      <c r="AZ19" s="34"/>
      <c r="BA19" s="34"/>
      <c r="BB19" s="34"/>
      <c r="BC19" s="34"/>
      <c r="BD19" s="34">
        <v>5</v>
      </c>
      <c r="BE19" s="34"/>
      <c r="BF19" s="34"/>
      <c r="BG19" s="34"/>
      <c r="BH19" s="34">
        <v>10</v>
      </c>
      <c r="BI19" s="34"/>
      <c r="BJ19" s="34"/>
      <c r="BK19" s="34"/>
      <c r="BL19" s="34"/>
      <c r="BM19" s="34">
        <v>14</v>
      </c>
      <c r="BN19" s="34"/>
      <c r="BO19" s="34"/>
      <c r="BP19" s="34"/>
      <c r="BQ19" s="34">
        <v>19</v>
      </c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>
        <v>5</v>
      </c>
      <c r="CH19" s="46">
        <v>5</v>
      </c>
      <c r="CI19" s="46"/>
      <c r="CJ19" s="46"/>
      <c r="CK19" s="46"/>
      <c r="CL19" s="46"/>
      <c r="CM19" s="46" t="s">
        <v>4</v>
      </c>
    </row>
    <row r="20" spans="1:96" ht="18.5" x14ac:dyDescent="0.45">
      <c r="A20" s="77" t="s">
        <v>16</v>
      </c>
      <c r="B20" s="78"/>
      <c r="C20" s="78">
        <v>9857023662</v>
      </c>
      <c r="D20" s="77">
        <v>58863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23">
        <f t="shared" si="0"/>
        <v>58863</v>
      </c>
      <c r="W20" s="12"/>
      <c r="X20" s="23">
        <f t="shared" si="1"/>
        <v>58863</v>
      </c>
      <c r="Y20" s="31"/>
      <c r="Z20" s="31"/>
      <c r="AA20" s="31">
        <v>5</v>
      </c>
      <c r="AB20" s="33"/>
      <c r="AC20" s="31" t="s">
        <v>793</v>
      </c>
      <c r="AD20" s="31" t="s">
        <v>793</v>
      </c>
      <c r="AE20" s="31" t="s">
        <v>793</v>
      </c>
      <c r="AF20" s="34" t="s">
        <v>825</v>
      </c>
      <c r="AG20" s="34"/>
      <c r="AH20" s="34"/>
      <c r="AI20" s="31" t="s">
        <v>4</v>
      </c>
      <c r="AJ20" s="34">
        <v>15</v>
      </c>
      <c r="AK20" s="34"/>
      <c r="AL20" s="34"/>
      <c r="AM20" s="31" t="s">
        <v>792</v>
      </c>
      <c r="AN20" s="31"/>
      <c r="AO20" s="31" t="s">
        <v>792</v>
      </c>
      <c r="AP20" s="31" t="s">
        <v>792</v>
      </c>
      <c r="AQ20" s="31" t="s">
        <v>792</v>
      </c>
      <c r="AR20" s="31" t="s">
        <v>792</v>
      </c>
      <c r="AS20" s="31" t="s">
        <v>792</v>
      </c>
      <c r="AT20" s="31" t="s">
        <v>792</v>
      </c>
      <c r="AU20" s="31"/>
      <c r="AV20" s="31" t="s">
        <v>792</v>
      </c>
      <c r="AW20" s="31" t="s">
        <v>792</v>
      </c>
      <c r="AX20" s="31" t="s">
        <v>792</v>
      </c>
      <c r="AY20" s="31" t="s">
        <v>792</v>
      </c>
      <c r="AZ20" s="31" t="s">
        <v>792</v>
      </c>
      <c r="BA20" s="31" t="s">
        <v>792</v>
      </c>
      <c r="BB20" s="31"/>
      <c r="BC20" s="31" t="s">
        <v>792</v>
      </c>
      <c r="BD20" s="31"/>
      <c r="BE20" s="34"/>
      <c r="BF20" s="34"/>
      <c r="BG20" s="34"/>
      <c r="BH20" s="34"/>
      <c r="BI20" s="31" t="s">
        <v>4</v>
      </c>
      <c r="BJ20" s="31" t="s">
        <v>792</v>
      </c>
      <c r="BK20" s="31" t="s">
        <v>792</v>
      </c>
      <c r="BL20" s="31"/>
      <c r="BM20" s="31" t="s">
        <v>792</v>
      </c>
      <c r="BN20" s="31" t="s">
        <v>792</v>
      </c>
      <c r="BO20" s="34" t="s">
        <v>814</v>
      </c>
      <c r="BP20" s="34"/>
      <c r="BQ20" s="34"/>
      <c r="BR20" s="34"/>
      <c r="BS20" s="34" t="s">
        <v>792</v>
      </c>
      <c r="BT20" s="31"/>
      <c r="BU20" s="31" t="s">
        <v>792</v>
      </c>
      <c r="BV20" s="31" t="s">
        <v>792</v>
      </c>
      <c r="BW20" s="31"/>
      <c r="BX20" s="31" t="s">
        <v>792</v>
      </c>
      <c r="BY20" s="31" t="s">
        <v>792</v>
      </c>
      <c r="BZ20" s="31" t="s">
        <v>792</v>
      </c>
      <c r="CA20" s="31" t="s">
        <v>792</v>
      </c>
      <c r="CB20" s="31" t="s">
        <v>792</v>
      </c>
      <c r="CC20" s="31" t="s">
        <v>792</v>
      </c>
      <c r="CD20" s="31"/>
      <c r="CE20" s="31" t="s">
        <v>792</v>
      </c>
      <c r="CF20" s="31" t="s">
        <v>792</v>
      </c>
      <c r="CG20" s="31" t="s">
        <v>792</v>
      </c>
      <c r="CH20" s="31" t="s">
        <v>792</v>
      </c>
      <c r="CI20" s="31"/>
      <c r="CJ20" s="31" t="s">
        <v>792</v>
      </c>
      <c r="CK20" s="39"/>
      <c r="CL20" s="39"/>
    </row>
    <row r="21" spans="1:96" ht="18.5" x14ac:dyDescent="0.45">
      <c r="A21" s="77" t="s">
        <v>17</v>
      </c>
      <c r="B21" s="78"/>
      <c r="C21" s="78">
        <v>9867755100</v>
      </c>
      <c r="D21" s="77">
        <v>6000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23">
        <f t="shared" si="0"/>
        <v>6000</v>
      </c>
      <c r="W21" s="12"/>
      <c r="X21" s="23">
        <f t="shared" si="1"/>
        <v>6000</v>
      </c>
      <c r="Y21" s="31"/>
      <c r="Z21" s="31"/>
      <c r="AA21" s="31">
        <v>10</v>
      </c>
      <c r="AB21" s="34"/>
      <c r="AC21" s="33"/>
      <c r="AD21" s="33"/>
      <c r="AE21" s="33"/>
      <c r="AF21" s="34"/>
      <c r="AG21" s="34"/>
      <c r="AH21" s="34">
        <v>12</v>
      </c>
      <c r="AI21" s="34"/>
      <c r="AJ21" s="34">
        <v>14</v>
      </c>
      <c r="AK21" s="34"/>
      <c r="AL21" s="34">
        <v>17</v>
      </c>
      <c r="AM21" s="34"/>
      <c r="AN21" s="34"/>
      <c r="AO21" s="31" t="s">
        <v>4</v>
      </c>
      <c r="AP21" s="34">
        <v>23</v>
      </c>
      <c r="AQ21" s="34"/>
      <c r="AR21" s="34"/>
      <c r="AS21" s="34"/>
      <c r="AT21" s="34"/>
      <c r="AU21" s="31"/>
      <c r="AV21" s="34"/>
      <c r="AW21" s="34" t="s">
        <v>793</v>
      </c>
      <c r="AX21" s="31" t="s">
        <v>793</v>
      </c>
      <c r="AY21" s="34">
        <v>29</v>
      </c>
      <c r="AZ21" s="34"/>
      <c r="BA21" s="31">
        <v>31</v>
      </c>
      <c r="BB21" s="31"/>
      <c r="BC21" s="31" t="s">
        <v>793</v>
      </c>
      <c r="BD21" s="31" t="s">
        <v>793</v>
      </c>
      <c r="BE21" s="34" t="s">
        <v>793</v>
      </c>
      <c r="BF21" s="31" t="s">
        <v>793</v>
      </c>
      <c r="BG21" s="31" t="s">
        <v>793</v>
      </c>
      <c r="BH21" s="31" t="s">
        <v>793</v>
      </c>
      <c r="BI21" s="31"/>
      <c r="BJ21" s="31" t="s">
        <v>793</v>
      </c>
      <c r="BK21" s="31" t="s">
        <v>793</v>
      </c>
      <c r="BL21" s="31" t="s">
        <v>793</v>
      </c>
      <c r="BM21" s="31" t="s">
        <v>793</v>
      </c>
      <c r="BN21" s="31" t="s">
        <v>793</v>
      </c>
      <c r="BO21" s="31" t="s">
        <v>829</v>
      </c>
      <c r="BP21" s="31"/>
      <c r="BQ21" s="31" t="s">
        <v>793</v>
      </c>
      <c r="BR21" s="31" t="s">
        <v>791</v>
      </c>
      <c r="BS21" s="31" t="s">
        <v>791</v>
      </c>
      <c r="BT21" s="31"/>
      <c r="BU21" s="31" t="s">
        <v>791</v>
      </c>
      <c r="BV21" s="31" t="s">
        <v>791</v>
      </c>
      <c r="BW21" s="31"/>
      <c r="BX21" s="31" t="s">
        <v>791</v>
      </c>
      <c r="BY21" s="31" t="s">
        <v>791</v>
      </c>
      <c r="BZ21" s="31" t="s">
        <v>791</v>
      </c>
      <c r="CA21" s="31" t="s">
        <v>791</v>
      </c>
      <c r="CB21" s="31" t="s">
        <v>791</v>
      </c>
      <c r="CC21" s="31" t="s">
        <v>791</v>
      </c>
      <c r="CD21" s="31"/>
      <c r="CE21" s="31" t="s">
        <v>791</v>
      </c>
      <c r="CF21" s="31" t="s">
        <v>791</v>
      </c>
      <c r="CG21" s="31" t="s">
        <v>793</v>
      </c>
      <c r="CH21" s="31" t="s">
        <v>793</v>
      </c>
      <c r="CI21" s="31"/>
      <c r="CJ21" s="31" t="s">
        <v>793</v>
      </c>
      <c r="CK21" s="39"/>
      <c r="CL21" s="39"/>
    </row>
    <row r="22" spans="1:96" ht="18.5" x14ac:dyDescent="0.45">
      <c r="A22" s="77" t="s">
        <v>18</v>
      </c>
      <c r="B22" s="78"/>
      <c r="C22" s="78"/>
      <c r="D22" s="77">
        <v>34317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23">
        <f t="shared" si="0"/>
        <v>34317</v>
      </c>
      <c r="W22" s="12">
        <f>AC22+8000</f>
        <v>16000</v>
      </c>
      <c r="X22" s="23">
        <f t="shared" si="1"/>
        <v>18317</v>
      </c>
      <c r="Y22" s="31"/>
      <c r="Z22" s="31"/>
      <c r="AA22" s="31" t="s">
        <v>783</v>
      </c>
      <c r="AB22" s="31" t="s">
        <v>792</v>
      </c>
      <c r="AC22" s="1">
        <v>8000</v>
      </c>
      <c r="AD22" s="33"/>
      <c r="AE22" s="33"/>
      <c r="AF22" s="34" t="s">
        <v>805</v>
      </c>
      <c r="AG22" s="34"/>
      <c r="AH22" s="34">
        <v>13</v>
      </c>
      <c r="AI22" s="34"/>
      <c r="AJ22" s="34"/>
      <c r="AK22" s="34" t="s">
        <v>792</v>
      </c>
      <c r="AL22" s="34">
        <v>15</v>
      </c>
      <c r="AM22" s="31" t="s">
        <v>792</v>
      </c>
      <c r="AN22" s="31"/>
      <c r="AO22" s="31" t="s">
        <v>792</v>
      </c>
      <c r="AP22" s="31" t="s">
        <v>792</v>
      </c>
      <c r="AQ22" s="31" t="s">
        <v>792</v>
      </c>
      <c r="AR22" s="31" t="s">
        <v>792</v>
      </c>
      <c r="AS22" s="31" t="s">
        <v>792</v>
      </c>
      <c r="AT22" s="31" t="s">
        <v>792</v>
      </c>
      <c r="AU22" s="31"/>
      <c r="AV22" s="34" t="s">
        <v>792</v>
      </c>
      <c r="AW22" s="34" t="s">
        <v>792</v>
      </c>
      <c r="AX22" s="31" t="s">
        <v>792</v>
      </c>
      <c r="AY22" s="31" t="s">
        <v>792</v>
      </c>
      <c r="AZ22" s="31" t="s">
        <v>792</v>
      </c>
      <c r="BA22" s="31" t="s">
        <v>792</v>
      </c>
      <c r="BB22" s="31"/>
      <c r="BC22" s="31">
        <v>1</v>
      </c>
      <c r="BD22" s="31" t="s">
        <v>4</v>
      </c>
      <c r="BE22" s="31">
        <v>3</v>
      </c>
      <c r="BF22" s="31" t="s">
        <v>792</v>
      </c>
      <c r="BG22" s="31" t="s">
        <v>792</v>
      </c>
      <c r="BH22" s="1">
        <v>8000</v>
      </c>
      <c r="BI22" s="31"/>
      <c r="BJ22" s="65" t="s">
        <v>792</v>
      </c>
      <c r="BK22" s="65" t="s">
        <v>792</v>
      </c>
      <c r="BL22" s="65" t="s">
        <v>792</v>
      </c>
      <c r="BM22" s="65" t="s">
        <v>792</v>
      </c>
      <c r="BN22" s="65" t="s">
        <v>792</v>
      </c>
      <c r="BO22" s="34" t="s">
        <v>839</v>
      </c>
      <c r="BP22" s="34"/>
      <c r="BQ22" s="34"/>
      <c r="BR22" s="34"/>
      <c r="BS22" s="34"/>
      <c r="BT22" s="34"/>
      <c r="BU22" s="34"/>
      <c r="BV22" s="34"/>
      <c r="BW22" s="34" t="s">
        <v>4</v>
      </c>
      <c r="BX22" s="31" t="s">
        <v>791</v>
      </c>
      <c r="BY22" s="31" t="s">
        <v>791</v>
      </c>
      <c r="BZ22" s="31" t="s">
        <v>879</v>
      </c>
      <c r="CA22" s="31" t="s">
        <v>879</v>
      </c>
      <c r="CB22" s="31" t="s">
        <v>792</v>
      </c>
      <c r="CC22" s="31" t="s">
        <v>792</v>
      </c>
      <c r="CD22" s="31"/>
      <c r="CE22" s="31" t="s">
        <v>792</v>
      </c>
      <c r="CF22" s="31" t="s">
        <v>792</v>
      </c>
      <c r="CG22" s="31" t="s">
        <v>792</v>
      </c>
      <c r="CH22" s="31" t="s">
        <v>792</v>
      </c>
      <c r="CI22" s="31"/>
      <c r="CJ22" s="31" t="s">
        <v>792</v>
      </c>
      <c r="CK22" s="39"/>
      <c r="CL22" s="39"/>
    </row>
    <row r="23" spans="1:96" x14ac:dyDescent="0.35">
      <c r="A23" s="12" t="s">
        <v>19</v>
      </c>
      <c r="B23" s="3"/>
      <c r="C23" s="18" t="s">
        <v>20</v>
      </c>
      <c r="D23" s="8">
        <v>87625.05</v>
      </c>
      <c r="E23" s="2">
        <f>23700.17+38551.5</f>
        <v>62251.67</v>
      </c>
      <c r="F23" s="12"/>
      <c r="G23" s="12"/>
      <c r="H23" s="12"/>
      <c r="I23" s="12"/>
      <c r="J23" s="2">
        <f>5671.06+67191.97</f>
        <v>72863.03</v>
      </c>
      <c r="K23" s="12"/>
      <c r="L23" s="2">
        <f>15800.11+15800.11</f>
        <v>31600.22</v>
      </c>
      <c r="M23" s="2">
        <v>20320</v>
      </c>
      <c r="N23" s="12"/>
      <c r="O23" s="2">
        <f>5685.03+10647.27</f>
        <v>16332.3</v>
      </c>
      <c r="P23" s="12"/>
      <c r="Q23" s="2">
        <v>19155</v>
      </c>
      <c r="R23" s="12"/>
      <c r="S23" s="12"/>
      <c r="T23" s="12"/>
      <c r="U23" s="2">
        <f>38155.81+14477.7</f>
        <v>52633.509999999995</v>
      </c>
      <c r="V23" s="23">
        <f t="shared" si="0"/>
        <v>362780.77999999997</v>
      </c>
      <c r="W23" s="12">
        <v>105000</v>
      </c>
      <c r="X23" s="23">
        <f t="shared" si="1"/>
        <v>257780.77999999997</v>
      </c>
      <c r="Y23" s="31"/>
      <c r="Z23" s="31"/>
      <c r="AA23" s="31"/>
      <c r="AB23" s="34">
        <v>12</v>
      </c>
      <c r="AC23" s="33"/>
      <c r="AD23" s="33"/>
      <c r="AE23" s="33"/>
      <c r="AF23" s="34"/>
      <c r="AG23" s="34"/>
      <c r="AH23" s="34"/>
      <c r="AI23" s="34"/>
      <c r="AJ23" s="31" t="s">
        <v>4</v>
      </c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 t="s">
        <v>794</v>
      </c>
      <c r="BD23" s="34"/>
      <c r="BE23" s="34"/>
      <c r="BF23" s="34"/>
      <c r="BG23" s="34"/>
      <c r="BH23" s="34">
        <v>10</v>
      </c>
      <c r="BI23" s="34"/>
      <c r="BJ23" s="34"/>
      <c r="BK23" s="34"/>
      <c r="BL23" s="34"/>
      <c r="BM23" s="34"/>
      <c r="BN23" s="34"/>
      <c r="BO23" s="34"/>
      <c r="BP23" s="34"/>
      <c r="BQ23" s="34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 t="s">
        <v>798</v>
      </c>
      <c r="CF23" s="31" t="s">
        <v>798</v>
      </c>
      <c r="CG23" s="31" t="s">
        <v>798</v>
      </c>
      <c r="CH23" s="1">
        <v>105000</v>
      </c>
      <c r="CI23" s="34"/>
      <c r="CJ23" s="46"/>
      <c r="CK23" s="46"/>
      <c r="CL23" s="46"/>
      <c r="CM23" s="46"/>
      <c r="CN23" s="46"/>
      <c r="CO23" s="46"/>
      <c r="CP23" s="46"/>
      <c r="CQ23" s="46"/>
      <c r="CR23" s="46"/>
    </row>
    <row r="24" spans="1:96" ht="18.5" x14ac:dyDescent="0.45">
      <c r="A24" s="77" t="s">
        <v>21</v>
      </c>
      <c r="B24" s="78"/>
      <c r="C24" s="78">
        <v>9857071707</v>
      </c>
      <c r="D24" s="77">
        <v>33107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23">
        <f t="shared" si="0"/>
        <v>33107</v>
      </c>
      <c r="W24" s="12"/>
      <c r="X24" s="23">
        <f t="shared" si="1"/>
        <v>33107</v>
      </c>
      <c r="Y24" s="31"/>
      <c r="Z24" s="31"/>
      <c r="AA24" s="31" t="s">
        <v>793</v>
      </c>
      <c r="AB24" s="31" t="s">
        <v>792</v>
      </c>
      <c r="AC24" s="31" t="s">
        <v>792</v>
      </c>
      <c r="AD24" s="31" t="s">
        <v>793</v>
      </c>
      <c r="AE24" s="31" t="s">
        <v>793</v>
      </c>
      <c r="AF24" s="31" t="s">
        <v>809</v>
      </c>
      <c r="AG24" s="34"/>
      <c r="AH24" s="31" t="s">
        <v>792</v>
      </c>
      <c r="AI24" s="31" t="s">
        <v>792</v>
      </c>
      <c r="AJ24" s="31" t="s">
        <v>793</v>
      </c>
      <c r="AK24" s="31" t="s">
        <v>793</v>
      </c>
      <c r="AL24" s="31" t="s">
        <v>793</v>
      </c>
      <c r="AM24" s="31" t="s">
        <v>793</v>
      </c>
      <c r="AN24" s="31"/>
      <c r="AO24" s="31" t="s">
        <v>793</v>
      </c>
      <c r="AP24" s="31" t="s">
        <v>793</v>
      </c>
      <c r="AQ24" s="31" t="s">
        <v>793</v>
      </c>
      <c r="AR24" s="31" t="s">
        <v>793</v>
      </c>
      <c r="AS24" s="31" t="s">
        <v>793</v>
      </c>
      <c r="AT24" s="31" t="s">
        <v>793</v>
      </c>
      <c r="AU24" s="31"/>
      <c r="AV24" s="31" t="s">
        <v>793</v>
      </c>
      <c r="AW24" s="31" t="s">
        <v>793</v>
      </c>
      <c r="AX24" s="31" t="s">
        <v>793</v>
      </c>
      <c r="AY24" s="31" t="s">
        <v>793</v>
      </c>
      <c r="AZ24" s="31" t="s">
        <v>793</v>
      </c>
      <c r="BA24" s="31" t="s">
        <v>792</v>
      </c>
      <c r="BB24" s="31"/>
      <c r="BC24" s="31" t="s">
        <v>792</v>
      </c>
      <c r="BD24" s="31"/>
      <c r="BE24" s="31" t="s">
        <v>793</v>
      </c>
      <c r="BF24" s="31" t="s">
        <v>793</v>
      </c>
      <c r="BG24" s="31" t="s">
        <v>793</v>
      </c>
      <c r="BH24" s="31" t="s">
        <v>792</v>
      </c>
      <c r="BI24" s="31"/>
      <c r="BJ24" s="31" t="s">
        <v>792</v>
      </c>
      <c r="BK24" s="31" t="s">
        <v>792</v>
      </c>
      <c r="BL24" s="31" t="s">
        <v>792</v>
      </c>
      <c r="BM24" s="31" t="s">
        <v>792</v>
      </c>
      <c r="BN24" s="31" t="s">
        <v>792</v>
      </c>
      <c r="BO24" s="31" t="s">
        <v>809</v>
      </c>
      <c r="BP24" s="31"/>
      <c r="BQ24" s="31" t="s">
        <v>793</v>
      </c>
      <c r="BR24" s="31" t="s">
        <v>793</v>
      </c>
      <c r="BS24" s="31" t="s">
        <v>793</v>
      </c>
      <c r="BT24" s="31"/>
      <c r="BU24" s="31" t="s">
        <v>793</v>
      </c>
      <c r="BV24" s="31" t="s">
        <v>793</v>
      </c>
      <c r="BW24" s="31"/>
      <c r="BX24" s="31" t="s">
        <v>793</v>
      </c>
      <c r="BY24" s="31" t="s">
        <v>793</v>
      </c>
      <c r="BZ24" s="31" t="s">
        <v>793</v>
      </c>
      <c r="CA24" s="31" t="s">
        <v>793</v>
      </c>
      <c r="CB24" s="31" t="s">
        <v>793</v>
      </c>
      <c r="CC24" s="31" t="s">
        <v>793</v>
      </c>
      <c r="CD24" s="31"/>
      <c r="CE24" s="31" t="s">
        <v>793</v>
      </c>
      <c r="CF24" s="31" t="s">
        <v>793</v>
      </c>
      <c r="CG24" s="31" t="s">
        <v>793</v>
      </c>
      <c r="CH24" s="31" t="s">
        <v>793</v>
      </c>
      <c r="CI24" s="31"/>
      <c r="CJ24" s="31" t="s">
        <v>793</v>
      </c>
      <c r="CK24" s="31"/>
      <c r="CL24" s="31"/>
    </row>
    <row r="25" spans="1:96" ht="18.5" x14ac:dyDescent="0.45">
      <c r="A25" s="77" t="s">
        <v>22</v>
      </c>
      <c r="B25" s="78"/>
      <c r="C25" s="78" t="s">
        <v>23</v>
      </c>
      <c r="D25" s="77">
        <v>275894.38</v>
      </c>
      <c r="E25" s="12"/>
      <c r="F25" s="12"/>
      <c r="G25" s="2">
        <f>114067.69+43833</f>
        <v>157900.69</v>
      </c>
      <c r="H25" s="12"/>
      <c r="I25" s="12"/>
      <c r="J25" s="12"/>
      <c r="K25" s="2">
        <v>114068.42</v>
      </c>
      <c r="L25" s="12"/>
      <c r="M25" s="12"/>
      <c r="N25" s="12"/>
      <c r="O25" s="12"/>
      <c r="P25" s="2">
        <f>166869.2+21917</f>
        <v>188786.2</v>
      </c>
      <c r="Q25" s="12"/>
      <c r="R25" s="12"/>
      <c r="S25" s="2">
        <v>116310.11</v>
      </c>
      <c r="T25" s="12"/>
      <c r="U25" s="12"/>
      <c r="V25" s="23">
        <f t="shared" si="0"/>
        <v>852959.79999999993</v>
      </c>
      <c r="W25" s="12">
        <f>5000+AY25+100000+100000+27000+23000+5000</f>
        <v>407000</v>
      </c>
      <c r="X25" s="12">
        <f t="shared" si="1"/>
        <v>445959.79999999993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2"/>
      <c r="AM25" s="12"/>
      <c r="AN25" s="12"/>
      <c r="AO25" s="12"/>
      <c r="AP25" s="8">
        <v>5000</v>
      </c>
      <c r="AQ25" s="34"/>
      <c r="AR25" s="34"/>
      <c r="AS25" s="34"/>
      <c r="AT25" s="34"/>
      <c r="AU25" s="31"/>
      <c r="AV25" s="34"/>
      <c r="AW25" s="34"/>
      <c r="AX25" s="34"/>
      <c r="AY25" s="1">
        <f>100000+47000</f>
        <v>147000</v>
      </c>
      <c r="AZ25" s="31"/>
      <c r="BA25" s="31"/>
      <c r="BB25" s="31"/>
      <c r="BC25" s="31" t="s">
        <v>794</v>
      </c>
      <c r="BD25" s="31"/>
      <c r="BE25" s="31" t="s">
        <v>794</v>
      </c>
      <c r="BF25" s="31" t="s">
        <v>794</v>
      </c>
      <c r="BG25" s="31" t="s">
        <v>794</v>
      </c>
      <c r="BH25" s="31" t="s">
        <v>794</v>
      </c>
      <c r="BI25" s="31"/>
      <c r="BJ25" s="31" t="s">
        <v>794</v>
      </c>
      <c r="BK25" s="31" t="s">
        <v>794</v>
      </c>
      <c r="BL25" s="31" t="s">
        <v>794</v>
      </c>
      <c r="BM25" s="62">
        <v>100000</v>
      </c>
      <c r="BY25" s="1">
        <v>100000</v>
      </c>
      <c r="BZ25" s="31"/>
      <c r="CA25" s="1">
        <f>27000+23000</f>
        <v>50000</v>
      </c>
      <c r="CB25" s="31"/>
      <c r="CC25" s="31"/>
      <c r="CD25" s="31"/>
      <c r="CE25" s="31"/>
      <c r="CF25" s="31"/>
      <c r="CG25" s="31"/>
      <c r="CH25" s="1">
        <v>5000</v>
      </c>
      <c r="CI25" s="34"/>
      <c r="CJ25" s="31"/>
      <c r="CK25" s="31"/>
      <c r="CL25" s="31"/>
    </row>
    <row r="26" spans="1:96" x14ac:dyDescent="0.35">
      <c r="A26" s="12" t="s">
        <v>24</v>
      </c>
      <c r="B26" s="3"/>
      <c r="C26" s="18">
        <v>9857037525</v>
      </c>
      <c r="D26" s="8">
        <v>4658.5200000000004</v>
      </c>
      <c r="E26" s="12"/>
      <c r="F26" s="2">
        <f>7878.13+132239.64</f>
        <v>140117.77000000002</v>
      </c>
      <c r="G26" s="12"/>
      <c r="H26" s="2">
        <v>7820.23</v>
      </c>
      <c r="I26" s="2">
        <f>23119.57+7200.36</f>
        <v>30319.93</v>
      </c>
      <c r="J26" s="2">
        <v>70176.39</v>
      </c>
      <c r="K26" s="12"/>
      <c r="L26" s="2">
        <f>1184.97+3032.02</f>
        <v>4216.99</v>
      </c>
      <c r="M26" s="12"/>
      <c r="N26" s="2">
        <v>7302.29</v>
      </c>
      <c r="O26" s="12"/>
      <c r="P26" s="12"/>
      <c r="Q26" s="2">
        <v>42850</v>
      </c>
      <c r="R26" s="2">
        <v>69640.429999999993</v>
      </c>
      <c r="S26" s="2">
        <f>32759.6+7302.29</f>
        <v>40061.89</v>
      </c>
      <c r="T26" s="12"/>
      <c r="U26" s="2">
        <f>2842.52</f>
        <v>2842.52</v>
      </c>
      <c r="V26" s="23">
        <f t="shared" si="0"/>
        <v>420006.96</v>
      </c>
      <c r="W26" s="12">
        <f>201000+190000</f>
        <v>391000</v>
      </c>
      <c r="X26" s="23">
        <f t="shared" si="1"/>
        <v>29006.960000000021</v>
      </c>
      <c r="Y26" s="31"/>
      <c r="Z26" s="31"/>
      <c r="AA26" s="31"/>
      <c r="AB26" s="31"/>
      <c r="AC26" s="31"/>
      <c r="AD26" s="31"/>
      <c r="AE26" s="31"/>
      <c r="AF26" s="31"/>
      <c r="AG26" s="34"/>
      <c r="AH26" s="31" t="s">
        <v>4</v>
      </c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 t="s">
        <v>792</v>
      </c>
      <c r="AT26" s="31" t="s">
        <v>792</v>
      </c>
      <c r="AU26" s="31"/>
      <c r="AV26" s="31" t="s">
        <v>792</v>
      </c>
      <c r="AW26" s="34">
        <v>29</v>
      </c>
      <c r="AX26" s="34"/>
      <c r="AY26" s="34"/>
      <c r="AZ26" s="34"/>
      <c r="BA26" s="31"/>
      <c r="BB26" s="31"/>
      <c r="BC26" s="31"/>
      <c r="BD26" s="31" t="s">
        <v>798</v>
      </c>
      <c r="BE26" s="31" t="s">
        <v>798</v>
      </c>
      <c r="BF26" s="31" t="s">
        <v>798</v>
      </c>
      <c r="BG26" s="31" t="s">
        <v>798</v>
      </c>
      <c r="BH26" s="31" t="s">
        <v>798</v>
      </c>
      <c r="BI26" s="31"/>
      <c r="BJ26" s="1">
        <v>201000</v>
      </c>
      <c r="BK26" s="34"/>
      <c r="BL26" s="34"/>
      <c r="BM26" s="34"/>
      <c r="BN26" s="34"/>
      <c r="BO26" s="34"/>
      <c r="BP26" s="34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 t="s">
        <v>798</v>
      </c>
      <c r="CH26" s="1">
        <v>190000</v>
      </c>
      <c r="CI26" s="34"/>
      <c r="CJ26" s="31"/>
      <c r="CK26" s="31"/>
      <c r="CL26" s="31"/>
    </row>
    <row r="27" spans="1:96" ht="18.5" x14ac:dyDescent="0.45">
      <c r="A27" s="77" t="s">
        <v>25</v>
      </c>
      <c r="B27" s="78"/>
      <c r="C27" s="78">
        <v>9847067470</v>
      </c>
      <c r="D27" s="77">
        <v>7600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23">
        <f t="shared" si="0"/>
        <v>7600</v>
      </c>
      <c r="W27" s="12">
        <f>AI27</f>
        <v>5000</v>
      </c>
      <c r="X27" s="23">
        <f t="shared" si="1"/>
        <v>2600</v>
      </c>
      <c r="Y27" s="31"/>
      <c r="Z27" s="31"/>
      <c r="AA27" s="31" t="s">
        <v>793</v>
      </c>
      <c r="AB27" s="31" t="s">
        <v>791</v>
      </c>
      <c r="AC27" s="31"/>
      <c r="AD27" s="33">
        <v>8</v>
      </c>
      <c r="AE27" s="33"/>
      <c r="AF27" s="34" t="s">
        <v>825</v>
      </c>
      <c r="AG27" s="34"/>
      <c r="AH27" s="34"/>
      <c r="AI27" s="62">
        <v>5000</v>
      </c>
      <c r="AJ27" s="34"/>
      <c r="AK27" s="34"/>
      <c r="AL27" s="34"/>
      <c r="AM27" s="34"/>
      <c r="AN27" s="34"/>
      <c r="AO27" s="34"/>
      <c r="AP27" s="34">
        <v>22</v>
      </c>
      <c r="AQ27" s="34"/>
      <c r="AR27" s="34"/>
      <c r="AS27" s="34"/>
      <c r="AT27" s="31" t="s">
        <v>792</v>
      </c>
      <c r="AU27" s="31"/>
      <c r="AV27" s="31" t="s">
        <v>792</v>
      </c>
      <c r="AW27" s="31" t="s">
        <v>792</v>
      </c>
      <c r="AX27" s="31" t="s">
        <v>792</v>
      </c>
      <c r="AY27" s="31" t="s">
        <v>792</v>
      </c>
      <c r="AZ27" s="31" t="s">
        <v>792</v>
      </c>
      <c r="BA27" s="31" t="s">
        <v>792</v>
      </c>
      <c r="BB27" s="31"/>
      <c r="BC27" s="31">
        <v>5</v>
      </c>
      <c r="BD27" s="34">
        <v>5</v>
      </c>
      <c r="BE27" s="34"/>
      <c r="BF27" s="34"/>
      <c r="BG27" s="34"/>
      <c r="BH27" s="31" t="s">
        <v>792</v>
      </c>
      <c r="BI27" s="31"/>
      <c r="BJ27" s="31" t="s">
        <v>792</v>
      </c>
      <c r="BK27" s="31" t="s">
        <v>792</v>
      </c>
      <c r="BL27" s="31" t="s">
        <v>792</v>
      </c>
      <c r="BM27" s="31" t="s">
        <v>792</v>
      </c>
      <c r="BN27" s="31" t="s">
        <v>792</v>
      </c>
      <c r="BO27" s="31"/>
      <c r="BP27" s="31"/>
      <c r="BQ27" s="31" t="s">
        <v>792</v>
      </c>
      <c r="BR27" s="34">
        <v>18</v>
      </c>
      <c r="BS27" s="34"/>
      <c r="BT27" s="34"/>
      <c r="BU27" s="31" t="s">
        <v>792</v>
      </c>
      <c r="BV27" s="31" t="s">
        <v>792</v>
      </c>
      <c r="BW27" s="31"/>
      <c r="BX27" s="31" t="s">
        <v>792</v>
      </c>
      <c r="BY27" s="31" t="s">
        <v>792</v>
      </c>
      <c r="BZ27" s="31" t="s">
        <v>792</v>
      </c>
      <c r="CA27" s="31" t="s">
        <v>792</v>
      </c>
      <c r="CB27" s="31" t="s">
        <v>792</v>
      </c>
      <c r="CC27" s="31" t="s">
        <v>792</v>
      </c>
      <c r="CD27" s="31"/>
      <c r="CE27" s="31" t="s">
        <v>792</v>
      </c>
      <c r="CF27" s="31" t="s">
        <v>792</v>
      </c>
      <c r="CG27" s="31" t="s">
        <v>792</v>
      </c>
      <c r="CH27" s="31" t="s">
        <v>792</v>
      </c>
      <c r="CI27" s="46"/>
      <c r="CJ27" s="46"/>
      <c r="CK27" s="46"/>
      <c r="CL27" s="46"/>
      <c r="CM27" s="46"/>
    </row>
    <row r="28" spans="1:96" x14ac:dyDescent="0.35">
      <c r="A28" s="12" t="s">
        <v>849</v>
      </c>
      <c r="B28" s="18"/>
      <c r="C28" s="18">
        <v>9847055372</v>
      </c>
      <c r="D28" s="12"/>
      <c r="E28" s="12"/>
      <c r="F28" s="12"/>
      <c r="G28" s="12">
        <v>2599.9</v>
      </c>
      <c r="H28" s="12"/>
      <c r="I28" s="12"/>
      <c r="J28" s="12">
        <v>35379.449999999997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23">
        <f t="shared" si="0"/>
        <v>37979.35</v>
      </c>
      <c r="W28" s="12"/>
      <c r="X28" s="23">
        <f t="shared" si="1"/>
        <v>37979.35</v>
      </c>
      <c r="Y28" s="31"/>
      <c r="Z28" s="31"/>
      <c r="AA28" s="31"/>
      <c r="AB28" s="31"/>
      <c r="AC28" s="31"/>
      <c r="AD28" s="33"/>
      <c r="AE28" s="33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1" t="s">
        <v>792</v>
      </c>
      <c r="AR28" s="34" t="s">
        <v>792</v>
      </c>
      <c r="AS28" s="34" t="s">
        <v>793</v>
      </c>
      <c r="AT28" s="34">
        <v>30</v>
      </c>
      <c r="AU28" s="34"/>
      <c r="AV28" s="34"/>
      <c r="AW28" s="34"/>
      <c r="AX28" s="34"/>
      <c r="AY28" s="34"/>
      <c r="AZ28" s="34"/>
      <c r="BA28" s="34"/>
      <c r="BB28" s="34"/>
      <c r="BC28" s="31" t="s">
        <v>792</v>
      </c>
      <c r="BD28" s="31" t="s">
        <v>792</v>
      </c>
      <c r="BE28" s="31" t="s">
        <v>792</v>
      </c>
      <c r="BF28" s="31" t="s">
        <v>792</v>
      </c>
      <c r="BG28" s="31" t="s">
        <v>792</v>
      </c>
      <c r="BH28" s="31" t="s">
        <v>792</v>
      </c>
      <c r="BI28" s="31"/>
      <c r="BJ28" s="31" t="s">
        <v>792</v>
      </c>
      <c r="BK28" s="34" t="s">
        <v>878</v>
      </c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1" t="s">
        <v>792</v>
      </c>
      <c r="CH28" s="31" t="s">
        <v>792</v>
      </c>
      <c r="CI28" s="31"/>
      <c r="CJ28" s="31" t="s">
        <v>792</v>
      </c>
      <c r="CK28" s="31"/>
      <c r="CL28" s="31"/>
    </row>
    <row r="29" spans="1:96" x14ac:dyDescent="0.35">
      <c r="A29" s="12" t="s">
        <v>888</v>
      </c>
      <c r="B29" s="18"/>
      <c r="C29" s="18">
        <v>9847055372</v>
      </c>
      <c r="D29" s="12"/>
      <c r="E29" s="12"/>
      <c r="F29" s="12"/>
      <c r="G29" s="12"/>
      <c r="H29" s="12"/>
      <c r="I29" s="12"/>
      <c r="J29" s="12">
        <v>32011.77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23">
        <f t="shared" si="0"/>
        <v>32011.77</v>
      </c>
      <c r="W29" s="12"/>
      <c r="X29" s="23">
        <f t="shared" si="1"/>
        <v>32011.77</v>
      </c>
      <c r="Y29" s="31"/>
      <c r="Z29" s="31"/>
      <c r="AA29" s="31"/>
      <c r="AB29" s="31"/>
      <c r="AC29" s="31"/>
      <c r="AD29" s="33"/>
      <c r="AE29" s="33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1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1" t="s">
        <v>792</v>
      </c>
      <c r="BD29" s="31" t="s">
        <v>792</v>
      </c>
      <c r="BE29" s="31" t="s">
        <v>792</v>
      </c>
      <c r="BF29" s="31" t="s">
        <v>792</v>
      </c>
      <c r="BG29" s="31" t="s">
        <v>792</v>
      </c>
      <c r="BH29" s="31" t="s">
        <v>792</v>
      </c>
      <c r="BI29" s="31"/>
      <c r="BJ29" s="31" t="s">
        <v>792</v>
      </c>
      <c r="BK29" s="34" t="s">
        <v>878</v>
      </c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1" t="s">
        <v>792</v>
      </c>
      <c r="CH29" s="31" t="s">
        <v>792</v>
      </c>
      <c r="CI29" s="31"/>
      <c r="CJ29" s="31" t="s">
        <v>792</v>
      </c>
      <c r="CK29" s="31"/>
      <c r="CL29" s="31"/>
    </row>
    <row r="30" spans="1:96" ht="18.5" x14ac:dyDescent="0.45">
      <c r="A30" s="77" t="s">
        <v>202</v>
      </c>
      <c r="B30" s="78"/>
      <c r="C30" s="78"/>
      <c r="D30" s="77">
        <v>-3759.69</v>
      </c>
      <c r="E30" s="12"/>
      <c r="F30" s="12"/>
      <c r="G30" s="12"/>
      <c r="H30" s="12"/>
      <c r="I30" s="12"/>
      <c r="J30" s="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23">
        <f t="shared" si="0"/>
        <v>-3759.69</v>
      </c>
      <c r="W30" s="12"/>
      <c r="X30" s="23">
        <f t="shared" si="1"/>
        <v>-3759.69</v>
      </c>
      <c r="Y30" s="31"/>
      <c r="Z30" s="31"/>
      <c r="AA30" s="31"/>
      <c r="AB30" s="31"/>
      <c r="AC30" s="31"/>
      <c r="AD30" s="33"/>
      <c r="AE30" s="33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1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</row>
    <row r="31" spans="1:96" ht="18.5" x14ac:dyDescent="0.45">
      <c r="A31" s="77" t="s">
        <v>26</v>
      </c>
      <c r="B31" s="78"/>
      <c r="C31" s="78" t="s">
        <v>27</v>
      </c>
      <c r="D31" s="77">
        <v>16500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23">
        <f t="shared" si="0"/>
        <v>16500</v>
      </c>
      <c r="W31" s="12"/>
      <c r="X31" s="23">
        <f t="shared" si="1"/>
        <v>16500</v>
      </c>
      <c r="Y31" s="31"/>
      <c r="Z31" s="31"/>
      <c r="AA31" s="31">
        <v>5</v>
      </c>
      <c r="AB31" s="34"/>
      <c r="AC31" s="31" t="s">
        <v>793</v>
      </c>
      <c r="AD31" s="34">
        <v>9</v>
      </c>
      <c r="AE31" s="34"/>
      <c r="AF31" s="34"/>
      <c r="AG31" s="31" t="s">
        <v>4</v>
      </c>
      <c r="AH31" s="34">
        <v>13</v>
      </c>
      <c r="AI31" s="34"/>
      <c r="AJ31" s="34"/>
      <c r="AK31" s="34">
        <v>16</v>
      </c>
      <c r="AL31" s="34"/>
      <c r="AM31" s="34"/>
      <c r="AN31" s="31"/>
      <c r="AO31" s="31"/>
      <c r="AP31" s="34">
        <v>20</v>
      </c>
      <c r="AQ31" s="34"/>
      <c r="AR31" s="31" t="s">
        <v>4</v>
      </c>
      <c r="AS31" s="31"/>
      <c r="AT31" s="31">
        <v>26</v>
      </c>
      <c r="AU31" s="31"/>
      <c r="AV31" s="31"/>
      <c r="AW31" s="31"/>
      <c r="AX31" s="31"/>
      <c r="AY31" s="34">
        <v>30</v>
      </c>
      <c r="AZ31" s="34"/>
      <c r="BA31" s="34"/>
      <c r="BB31" s="34"/>
      <c r="BC31" s="31" t="s">
        <v>792</v>
      </c>
      <c r="BD31" s="34">
        <v>5</v>
      </c>
      <c r="BE31" s="34"/>
      <c r="BF31" s="34"/>
      <c r="BG31" s="34"/>
      <c r="BH31" s="34">
        <v>8</v>
      </c>
      <c r="BI31" s="34"/>
      <c r="BJ31" s="34"/>
      <c r="BK31" s="34" t="s">
        <v>805</v>
      </c>
      <c r="BL31" s="34"/>
      <c r="BM31" s="31">
        <v>15</v>
      </c>
      <c r="BN31" s="31"/>
      <c r="BO31" s="34"/>
      <c r="BP31" s="34"/>
      <c r="BQ31" s="34"/>
      <c r="BR31" s="31" t="s">
        <v>794</v>
      </c>
      <c r="BS31" s="31" t="s">
        <v>794</v>
      </c>
      <c r="BT31" s="31"/>
      <c r="BU31" s="31" t="s">
        <v>794</v>
      </c>
      <c r="BV31" s="31" t="s">
        <v>794</v>
      </c>
      <c r="BW31" s="31"/>
      <c r="BX31" s="31" t="s">
        <v>794</v>
      </c>
      <c r="BY31" s="31" t="s">
        <v>794</v>
      </c>
      <c r="BZ31" s="31" t="s">
        <v>794</v>
      </c>
      <c r="CA31" s="31" t="s">
        <v>794</v>
      </c>
      <c r="CB31" s="31" t="s">
        <v>794</v>
      </c>
      <c r="CC31" s="31" t="s">
        <v>794</v>
      </c>
      <c r="CD31" s="31"/>
      <c r="CE31" s="31" t="s">
        <v>794</v>
      </c>
      <c r="CF31" s="31" t="s">
        <v>794</v>
      </c>
      <c r="CG31" s="31" t="s">
        <v>793</v>
      </c>
      <c r="CH31" s="31" t="s">
        <v>793</v>
      </c>
      <c r="CI31" s="31"/>
      <c r="CJ31" s="31" t="s">
        <v>793</v>
      </c>
      <c r="CK31" s="31"/>
      <c r="CL31" s="31"/>
    </row>
    <row r="32" spans="1:96" ht="18.5" x14ac:dyDescent="0.45">
      <c r="A32" s="77" t="s">
        <v>125</v>
      </c>
      <c r="B32" s="78"/>
      <c r="C32" s="78">
        <v>9847951616</v>
      </c>
      <c r="D32" s="77">
        <v>17330.009999999998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23">
        <f t="shared" si="0"/>
        <v>17330.009999999998</v>
      </c>
      <c r="W32" s="12"/>
      <c r="X32" s="12">
        <f t="shared" si="1"/>
        <v>17330.009999999998</v>
      </c>
      <c r="Y32" s="31"/>
      <c r="Z32" s="31"/>
      <c r="AA32" s="31" t="s">
        <v>796</v>
      </c>
      <c r="AB32" s="31"/>
      <c r="AC32" s="31" t="s">
        <v>796</v>
      </c>
      <c r="AD32" s="31" t="s">
        <v>796</v>
      </c>
      <c r="AE32" s="31" t="s">
        <v>796</v>
      </c>
      <c r="AF32" s="31"/>
      <c r="AG32" s="34"/>
      <c r="AH32" s="31" t="s">
        <v>796</v>
      </c>
      <c r="AI32" s="31" t="s">
        <v>796</v>
      </c>
      <c r="AJ32" s="31" t="s">
        <v>796</v>
      </c>
      <c r="AK32" s="31" t="s">
        <v>796</v>
      </c>
      <c r="AL32" s="31" t="s">
        <v>796</v>
      </c>
      <c r="AM32" s="31" t="s">
        <v>796</v>
      </c>
      <c r="AN32" s="31"/>
      <c r="AO32" s="31" t="s">
        <v>796</v>
      </c>
      <c r="AP32" s="31" t="s">
        <v>796</v>
      </c>
      <c r="AQ32" s="31" t="s">
        <v>796</v>
      </c>
      <c r="AR32" s="31" t="s">
        <v>796</v>
      </c>
      <c r="AS32" s="31" t="s">
        <v>796</v>
      </c>
      <c r="AT32" s="31" t="s">
        <v>796</v>
      </c>
      <c r="AU32" s="31"/>
      <c r="AV32" s="31" t="s">
        <v>796</v>
      </c>
      <c r="AW32" s="31" t="s">
        <v>796</v>
      </c>
      <c r="AX32" s="31" t="s">
        <v>796</v>
      </c>
      <c r="AY32" s="31" t="s">
        <v>796</v>
      </c>
      <c r="AZ32" s="31" t="s">
        <v>796</v>
      </c>
      <c r="BA32" s="31" t="s">
        <v>796</v>
      </c>
      <c r="BB32" s="31"/>
      <c r="BC32" s="31" t="s">
        <v>796</v>
      </c>
      <c r="BD32" s="31"/>
      <c r="BE32" s="31" t="s">
        <v>796</v>
      </c>
      <c r="BF32" s="31" t="s">
        <v>796</v>
      </c>
      <c r="BG32" s="31" t="s">
        <v>796</v>
      </c>
      <c r="BH32" s="31" t="s">
        <v>796</v>
      </c>
      <c r="BI32" s="31"/>
      <c r="BJ32" s="31" t="s">
        <v>796</v>
      </c>
      <c r="BK32" s="31" t="s">
        <v>796</v>
      </c>
      <c r="BL32" s="31" t="s">
        <v>796</v>
      </c>
      <c r="BM32" s="31" t="s">
        <v>796</v>
      </c>
      <c r="BN32" s="31" t="s">
        <v>796</v>
      </c>
      <c r="BO32" s="31"/>
      <c r="BP32" s="31"/>
      <c r="BQ32" s="31" t="s">
        <v>796</v>
      </c>
      <c r="BR32" s="31" t="s">
        <v>796</v>
      </c>
      <c r="BS32" s="31" t="s">
        <v>796</v>
      </c>
      <c r="BT32" s="31"/>
      <c r="BU32" s="31" t="s">
        <v>796</v>
      </c>
      <c r="BV32" s="31" t="s">
        <v>796</v>
      </c>
      <c r="BW32" s="31"/>
      <c r="BX32" s="31" t="s">
        <v>796</v>
      </c>
      <c r="BY32" s="31" t="s">
        <v>796</v>
      </c>
      <c r="BZ32" s="31" t="s">
        <v>796</v>
      </c>
      <c r="CA32" s="31" t="s">
        <v>796</v>
      </c>
      <c r="CB32" s="31" t="s">
        <v>796</v>
      </c>
      <c r="CC32" s="31" t="s">
        <v>796</v>
      </c>
      <c r="CD32" s="31"/>
      <c r="CE32" s="31" t="s">
        <v>796</v>
      </c>
      <c r="CF32" s="31" t="s">
        <v>796</v>
      </c>
      <c r="CG32" s="31" t="s">
        <v>796</v>
      </c>
      <c r="CH32" s="31" t="s">
        <v>796</v>
      </c>
      <c r="CI32" s="31"/>
      <c r="CJ32" s="31" t="s">
        <v>796</v>
      </c>
      <c r="CK32" s="31"/>
      <c r="CL32" s="31"/>
    </row>
    <row r="33" spans="1:108" ht="18.5" x14ac:dyDescent="0.45">
      <c r="A33" s="83" t="s">
        <v>28</v>
      </c>
      <c r="B33" s="84"/>
      <c r="C33" s="84">
        <v>9851255807</v>
      </c>
      <c r="D33" s="83">
        <v>189931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3">
        <f t="shared" si="0"/>
        <v>189931</v>
      </c>
      <c r="W33" s="19"/>
      <c r="X33" s="23">
        <f t="shared" si="1"/>
        <v>189931</v>
      </c>
      <c r="Y33" s="31"/>
      <c r="Z33" s="31"/>
      <c r="AA33" s="31" t="s">
        <v>794</v>
      </c>
      <c r="AB33" s="31" t="s">
        <v>791</v>
      </c>
      <c r="AC33" s="31" t="s">
        <v>791</v>
      </c>
      <c r="AD33" s="31" t="s">
        <v>791</v>
      </c>
      <c r="AE33" s="31" t="s">
        <v>791</v>
      </c>
      <c r="AF33" s="31" t="s">
        <v>826</v>
      </c>
      <c r="AG33" s="34"/>
      <c r="AH33" s="31" t="s">
        <v>794</v>
      </c>
      <c r="AI33" s="31" t="s">
        <v>794</v>
      </c>
      <c r="AJ33" s="31" t="s">
        <v>794</v>
      </c>
      <c r="AK33" s="31" t="s">
        <v>794</v>
      </c>
      <c r="AL33" s="31" t="s">
        <v>794</v>
      </c>
      <c r="AM33" s="31" t="s">
        <v>794</v>
      </c>
      <c r="AN33" s="31"/>
      <c r="AO33" s="31" t="s">
        <v>794</v>
      </c>
      <c r="AP33" s="31" t="s">
        <v>794</v>
      </c>
      <c r="AQ33" s="31" t="s">
        <v>794</v>
      </c>
      <c r="AR33" s="31" t="s">
        <v>794</v>
      </c>
      <c r="AS33" s="31" t="s">
        <v>794</v>
      </c>
      <c r="AT33" s="31" t="s">
        <v>794</v>
      </c>
      <c r="AU33" s="31"/>
      <c r="AV33" s="31" t="s">
        <v>794</v>
      </c>
      <c r="AW33" s="31" t="s">
        <v>794</v>
      </c>
      <c r="AX33" s="31" t="s">
        <v>794</v>
      </c>
      <c r="AY33" s="31" t="s">
        <v>794</v>
      </c>
      <c r="AZ33" s="31" t="s">
        <v>794</v>
      </c>
      <c r="BA33" s="31" t="s">
        <v>794</v>
      </c>
      <c r="BB33" s="31"/>
      <c r="BC33" s="31" t="s">
        <v>794</v>
      </c>
      <c r="BD33" s="31"/>
      <c r="BE33" s="31" t="s">
        <v>794</v>
      </c>
      <c r="BF33" s="31" t="s">
        <v>794</v>
      </c>
      <c r="BG33" s="31" t="s">
        <v>794</v>
      </c>
      <c r="BH33" s="31" t="s">
        <v>794</v>
      </c>
      <c r="BI33" s="31"/>
      <c r="BJ33" s="31" t="s">
        <v>794</v>
      </c>
      <c r="BK33" s="31" t="s">
        <v>794</v>
      </c>
      <c r="BL33" s="31" t="s">
        <v>794</v>
      </c>
      <c r="BM33" s="31" t="s">
        <v>794</v>
      </c>
      <c r="BN33" s="31" t="s">
        <v>794</v>
      </c>
      <c r="BO33" s="31" t="s">
        <v>794</v>
      </c>
      <c r="BP33" s="31"/>
      <c r="BQ33" s="31" t="s">
        <v>794</v>
      </c>
      <c r="BR33" s="31" t="s">
        <v>794</v>
      </c>
      <c r="BS33" s="31" t="s">
        <v>794</v>
      </c>
      <c r="BT33" s="31"/>
      <c r="BU33" s="31" t="s">
        <v>794</v>
      </c>
      <c r="BV33" s="31" t="s">
        <v>794</v>
      </c>
      <c r="BW33" s="31"/>
      <c r="BX33" s="31" t="s">
        <v>794</v>
      </c>
      <c r="BY33" s="31" t="s">
        <v>794</v>
      </c>
      <c r="BZ33" s="31" t="s">
        <v>794</v>
      </c>
      <c r="CA33" s="31" t="s">
        <v>794</v>
      </c>
      <c r="CB33" s="31" t="s">
        <v>794</v>
      </c>
      <c r="CC33" s="31" t="s">
        <v>794</v>
      </c>
      <c r="CD33" s="31"/>
      <c r="CE33" s="31" t="s">
        <v>794</v>
      </c>
      <c r="CF33" s="31" t="s">
        <v>794</v>
      </c>
      <c r="CG33" s="31" t="s">
        <v>794</v>
      </c>
      <c r="CH33" s="31" t="s">
        <v>794</v>
      </c>
      <c r="CI33" s="31"/>
      <c r="CJ33" s="31" t="s">
        <v>794</v>
      </c>
      <c r="CK33" s="31"/>
      <c r="CL33" s="31"/>
    </row>
    <row r="34" spans="1:108" ht="18.5" x14ac:dyDescent="0.45">
      <c r="A34" s="77" t="s">
        <v>30</v>
      </c>
      <c r="B34" s="78"/>
      <c r="C34" s="78">
        <v>9847007976</v>
      </c>
      <c r="D34" s="77">
        <v>15500</v>
      </c>
      <c r="E34" s="12"/>
      <c r="F34" s="12"/>
      <c r="G34" s="12"/>
      <c r="H34" s="2">
        <v>15500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23">
        <f t="shared" si="0"/>
        <v>31000</v>
      </c>
      <c r="W34" s="12">
        <f>AM34</f>
        <v>15500</v>
      </c>
      <c r="X34" s="12">
        <f t="shared" si="1"/>
        <v>15500</v>
      </c>
      <c r="Y34" s="32">
        <v>15</v>
      </c>
      <c r="Z34" s="33"/>
      <c r="AA34" s="33"/>
      <c r="AB34" s="33"/>
      <c r="AC34" s="33"/>
      <c r="AD34" s="33"/>
      <c r="AE34" s="33"/>
      <c r="AF34" s="34"/>
      <c r="AG34" s="34"/>
      <c r="AH34" s="34"/>
      <c r="AI34" s="34"/>
      <c r="AJ34" s="34"/>
      <c r="AK34" s="34"/>
      <c r="AL34" s="62"/>
      <c r="AM34" s="62">
        <v>15500</v>
      </c>
      <c r="AN34" s="31"/>
      <c r="AO34" s="31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>
        <v>4</v>
      </c>
      <c r="BE34" s="34"/>
      <c r="BF34" s="34"/>
      <c r="BG34" s="34" t="s">
        <v>4</v>
      </c>
      <c r="BH34" s="34">
        <v>18</v>
      </c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46">
        <v>5</v>
      </c>
      <c r="CI34" s="46"/>
      <c r="CJ34" s="46"/>
      <c r="CK34" s="46"/>
      <c r="CL34" s="46"/>
      <c r="CM34" s="46"/>
    </row>
    <row r="35" spans="1:108" ht="18.5" x14ac:dyDescent="0.45">
      <c r="A35" s="77" t="s">
        <v>303</v>
      </c>
      <c r="B35" s="78"/>
      <c r="C35" s="78">
        <v>9847037204</v>
      </c>
      <c r="D35" s="77">
        <v>-1713.95</v>
      </c>
      <c r="E35" s="12"/>
      <c r="F35" s="12"/>
      <c r="G35" s="12"/>
      <c r="H35" s="2"/>
      <c r="I35" s="12"/>
      <c r="J35" s="12"/>
      <c r="K35" s="12"/>
      <c r="L35" s="12"/>
      <c r="M35" s="12"/>
      <c r="N35" s="12"/>
      <c r="O35" s="12"/>
      <c r="P35" s="12"/>
      <c r="Q35" s="2">
        <v>19700</v>
      </c>
      <c r="R35" s="12"/>
      <c r="S35" s="12"/>
      <c r="T35" s="12"/>
      <c r="U35" s="12"/>
      <c r="V35" s="23">
        <f t="shared" ref="V35:V54" si="2">SUM(D35:U35)</f>
        <v>17986.05</v>
      </c>
      <c r="W35" s="12"/>
      <c r="X35" s="12">
        <f t="shared" si="1"/>
        <v>17986.05</v>
      </c>
      <c r="Y35" s="32"/>
      <c r="Z35" s="33"/>
      <c r="AA35" s="33"/>
      <c r="AB35" s="33"/>
      <c r="AC35" s="33"/>
      <c r="AD35" s="33"/>
      <c r="AE35" s="33"/>
      <c r="AF35" s="34"/>
      <c r="AG35" s="34"/>
      <c r="AH35" s="34"/>
      <c r="AI35" s="34"/>
      <c r="AJ35" s="34"/>
      <c r="AK35" s="34"/>
      <c r="AL35" s="62"/>
      <c r="AM35" s="62"/>
      <c r="AN35" s="31"/>
      <c r="AO35" s="31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 t="s">
        <v>792</v>
      </c>
      <c r="CF35" s="34" t="s">
        <v>792</v>
      </c>
      <c r="CG35" s="31" t="s">
        <v>792</v>
      </c>
      <c r="CH35" s="31" t="s">
        <v>792</v>
      </c>
      <c r="CI35" s="31"/>
      <c r="CJ35" s="31" t="s">
        <v>792</v>
      </c>
      <c r="CK35" s="31"/>
      <c r="CL35" s="31"/>
    </row>
    <row r="36" spans="1:108" ht="18.5" x14ac:dyDescent="0.45">
      <c r="A36" s="77" t="s">
        <v>31</v>
      </c>
      <c r="B36" s="78"/>
      <c r="C36" s="78" t="s">
        <v>32</v>
      </c>
      <c r="D36" s="77">
        <v>18304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23">
        <f t="shared" si="2"/>
        <v>18304</v>
      </c>
      <c r="W36" s="12"/>
      <c r="X36" s="23">
        <f t="shared" si="1"/>
        <v>18304</v>
      </c>
      <c r="Y36" s="31"/>
      <c r="Z36" s="31"/>
      <c r="AA36" s="33" t="s">
        <v>794</v>
      </c>
      <c r="AB36" s="31"/>
      <c r="AC36" s="31"/>
      <c r="AD36" s="31" t="s">
        <v>794</v>
      </c>
      <c r="AE36" s="31" t="s">
        <v>794</v>
      </c>
      <c r="AF36" s="31"/>
      <c r="AG36" s="34"/>
      <c r="AH36" s="31" t="s">
        <v>794</v>
      </c>
      <c r="AI36" s="31" t="s">
        <v>794</v>
      </c>
      <c r="AJ36" s="31" t="s">
        <v>794</v>
      </c>
      <c r="AK36" s="31"/>
      <c r="AL36" s="31"/>
      <c r="AM36" s="31" t="s">
        <v>794</v>
      </c>
      <c r="AN36" s="31" t="s">
        <v>794</v>
      </c>
      <c r="AO36" s="31" t="s">
        <v>794</v>
      </c>
      <c r="AP36" s="31" t="s">
        <v>872</v>
      </c>
      <c r="AQ36" s="31" t="s">
        <v>794</v>
      </c>
      <c r="AR36" s="31" t="s">
        <v>794</v>
      </c>
      <c r="AS36" s="31" t="s">
        <v>794</v>
      </c>
      <c r="AT36" s="31" t="s">
        <v>794</v>
      </c>
      <c r="AU36" s="31"/>
      <c r="AV36" s="31" t="s">
        <v>794</v>
      </c>
      <c r="AW36" s="31" t="s">
        <v>794</v>
      </c>
      <c r="AX36" s="31" t="s">
        <v>794</v>
      </c>
      <c r="AY36" s="31" t="s">
        <v>794</v>
      </c>
      <c r="AZ36" s="31" t="s">
        <v>794</v>
      </c>
      <c r="BA36" s="31" t="s">
        <v>794</v>
      </c>
      <c r="BB36" s="31"/>
      <c r="BC36" s="31" t="s">
        <v>794</v>
      </c>
      <c r="BD36" s="31"/>
      <c r="BE36" s="31" t="s">
        <v>794</v>
      </c>
      <c r="BF36" s="31" t="s">
        <v>794</v>
      </c>
      <c r="BG36" s="31" t="s">
        <v>794</v>
      </c>
      <c r="BH36" s="31" t="s">
        <v>794</v>
      </c>
      <c r="BI36" s="31"/>
      <c r="BJ36" s="31" t="s">
        <v>794</v>
      </c>
      <c r="BK36" s="31" t="s">
        <v>794</v>
      </c>
      <c r="BL36" s="31" t="s">
        <v>794</v>
      </c>
      <c r="BM36" s="31" t="s">
        <v>794</v>
      </c>
      <c r="BN36" s="31" t="s">
        <v>794</v>
      </c>
      <c r="BO36" s="31"/>
      <c r="BP36" s="31"/>
      <c r="BQ36" s="31" t="s">
        <v>794</v>
      </c>
      <c r="BR36" s="31" t="s">
        <v>794</v>
      </c>
      <c r="BS36" s="31" t="s">
        <v>794</v>
      </c>
      <c r="BT36" s="31"/>
      <c r="BU36" s="31" t="s">
        <v>794</v>
      </c>
      <c r="BV36" s="31" t="s">
        <v>794</v>
      </c>
      <c r="BW36" s="31"/>
      <c r="BX36" s="31" t="s">
        <v>794</v>
      </c>
      <c r="BY36" s="31" t="s">
        <v>794</v>
      </c>
      <c r="BZ36" s="31" t="s">
        <v>794</v>
      </c>
      <c r="CA36" s="31" t="s">
        <v>794</v>
      </c>
      <c r="CB36" s="31" t="s">
        <v>794</v>
      </c>
      <c r="CC36" s="31" t="s">
        <v>794</v>
      </c>
      <c r="CD36" s="31"/>
      <c r="CE36" s="31" t="s">
        <v>794</v>
      </c>
      <c r="CF36" s="31" t="s">
        <v>794</v>
      </c>
      <c r="CG36" s="31" t="s">
        <v>794</v>
      </c>
      <c r="CH36" s="31" t="s">
        <v>794</v>
      </c>
      <c r="CI36" s="31"/>
      <c r="CJ36" s="31" t="s">
        <v>794</v>
      </c>
      <c r="CK36" s="31"/>
      <c r="CL36" s="31"/>
    </row>
    <row r="37" spans="1:108" x14ac:dyDescent="0.35">
      <c r="A37" s="12" t="s">
        <v>789</v>
      </c>
      <c r="B37" s="3"/>
      <c r="C37" s="3">
        <v>9847023580</v>
      </c>
      <c r="D37" s="2"/>
      <c r="E37" s="2">
        <v>25340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23">
        <f t="shared" si="2"/>
        <v>25340</v>
      </c>
      <c r="W37" s="12"/>
      <c r="X37" s="12">
        <f t="shared" si="1"/>
        <v>25340</v>
      </c>
      <c r="Y37" s="34" t="s">
        <v>790</v>
      </c>
      <c r="Z37" s="34"/>
      <c r="AA37" s="34"/>
      <c r="AB37" s="34"/>
      <c r="AC37" s="34"/>
      <c r="AD37" s="33"/>
      <c r="AE37" s="33"/>
      <c r="AF37" s="34"/>
      <c r="AG37" s="34"/>
      <c r="AH37" s="34"/>
      <c r="AI37" s="34"/>
      <c r="AJ37" s="34"/>
      <c r="AK37" s="34"/>
      <c r="AL37" s="31"/>
      <c r="AM37" s="31" t="s">
        <v>792</v>
      </c>
      <c r="AN37" s="31"/>
      <c r="AO37" s="31"/>
      <c r="AP37" s="31" t="s">
        <v>794</v>
      </c>
      <c r="AQ37" s="31" t="s">
        <v>792</v>
      </c>
      <c r="AR37" s="31" t="s">
        <v>792</v>
      </c>
      <c r="AS37" s="31" t="s">
        <v>792</v>
      </c>
      <c r="AT37" s="31" t="s">
        <v>792</v>
      </c>
      <c r="AU37" s="31"/>
      <c r="AV37" s="31" t="s">
        <v>792</v>
      </c>
      <c r="AW37" s="31" t="s">
        <v>792</v>
      </c>
      <c r="AX37" s="31" t="s">
        <v>792</v>
      </c>
      <c r="AY37" s="31" t="s">
        <v>792</v>
      </c>
      <c r="AZ37" s="31" t="s">
        <v>792</v>
      </c>
      <c r="BA37" s="31" t="s">
        <v>792</v>
      </c>
      <c r="BB37" s="31"/>
      <c r="BC37" s="31" t="s">
        <v>792</v>
      </c>
      <c r="BD37" s="31"/>
      <c r="BE37" s="31" t="s">
        <v>792</v>
      </c>
      <c r="BF37" s="31" t="s">
        <v>792</v>
      </c>
      <c r="BG37" s="31" t="s">
        <v>792</v>
      </c>
      <c r="BH37" s="31" t="s">
        <v>794</v>
      </c>
      <c r="BI37" s="31"/>
      <c r="BJ37" s="31" t="s">
        <v>794</v>
      </c>
      <c r="BK37" s="34" t="s">
        <v>805</v>
      </c>
      <c r="BL37" s="34"/>
      <c r="BM37" s="34"/>
      <c r="BN37" s="34"/>
      <c r="BO37" s="34"/>
      <c r="BP37" s="34"/>
      <c r="BQ37" s="34"/>
      <c r="BR37" s="34"/>
      <c r="BS37" s="34"/>
      <c r="BT37" s="34"/>
      <c r="BU37" s="34" t="s">
        <v>1010</v>
      </c>
      <c r="BV37" s="34" t="s">
        <v>1010</v>
      </c>
      <c r="BW37" s="34"/>
      <c r="BX37" s="31" t="s">
        <v>792</v>
      </c>
      <c r="BY37" s="31" t="s">
        <v>792</v>
      </c>
      <c r="BZ37" s="31" t="s">
        <v>792</v>
      </c>
      <c r="CA37" s="31" t="s">
        <v>792</v>
      </c>
      <c r="CB37" s="31" t="s">
        <v>792</v>
      </c>
      <c r="CC37" s="31" t="s">
        <v>792</v>
      </c>
      <c r="CD37" s="31"/>
      <c r="CE37" s="31" t="s">
        <v>792</v>
      </c>
      <c r="CF37" s="31" t="s">
        <v>792</v>
      </c>
      <c r="CG37" s="31" t="s">
        <v>792</v>
      </c>
      <c r="CH37" s="31" t="s">
        <v>792</v>
      </c>
      <c r="CI37" s="31"/>
      <c r="CJ37" s="31" t="s">
        <v>792</v>
      </c>
      <c r="CK37" s="31"/>
      <c r="CL37" s="31"/>
    </row>
    <row r="38" spans="1:108" ht="18.5" x14ac:dyDescent="0.45">
      <c r="A38" s="77" t="s">
        <v>35</v>
      </c>
      <c r="B38" s="78"/>
      <c r="C38" s="78" t="s">
        <v>36</v>
      </c>
      <c r="D38" s="77">
        <v>40000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23">
        <f t="shared" si="2"/>
        <v>40000</v>
      </c>
      <c r="W38" s="12"/>
      <c r="X38" s="23">
        <f t="shared" si="1"/>
        <v>40000</v>
      </c>
      <c r="Y38" s="31"/>
      <c r="Z38" s="31"/>
      <c r="AA38" s="31">
        <v>10</v>
      </c>
      <c r="AB38" s="33"/>
      <c r="AC38" s="33"/>
      <c r="AD38" s="33"/>
      <c r="AE38" s="33"/>
      <c r="AF38" s="34"/>
      <c r="AG38" s="34"/>
      <c r="AH38" s="31" t="s">
        <v>793</v>
      </c>
      <c r="AI38" s="31" t="s">
        <v>793</v>
      </c>
      <c r="AJ38" s="31" t="s">
        <v>793</v>
      </c>
      <c r="AK38" s="31"/>
      <c r="AL38" s="31" t="s">
        <v>793</v>
      </c>
      <c r="AM38" s="31" t="s">
        <v>793</v>
      </c>
      <c r="AN38" s="31" t="s">
        <v>793</v>
      </c>
      <c r="AO38" s="31" t="s">
        <v>793</v>
      </c>
      <c r="AP38" s="31" t="s">
        <v>792</v>
      </c>
      <c r="AQ38" s="31" t="s">
        <v>792</v>
      </c>
      <c r="AR38" s="31" t="s">
        <v>792</v>
      </c>
      <c r="AS38" s="31" t="s">
        <v>792</v>
      </c>
      <c r="AT38" s="31" t="s">
        <v>792</v>
      </c>
      <c r="AU38" s="31"/>
      <c r="AV38" s="31" t="s">
        <v>792</v>
      </c>
      <c r="AW38" s="31" t="s">
        <v>793</v>
      </c>
      <c r="AX38" s="31" t="s">
        <v>793</v>
      </c>
      <c r="AY38" s="31" t="s">
        <v>793</v>
      </c>
      <c r="AZ38" s="31" t="s">
        <v>793</v>
      </c>
      <c r="BA38" s="31" t="s">
        <v>791</v>
      </c>
      <c r="BB38" s="31"/>
      <c r="BC38" s="31" t="s">
        <v>792</v>
      </c>
      <c r="BD38" s="31"/>
      <c r="BE38" s="31" t="s">
        <v>793</v>
      </c>
      <c r="BF38" s="31" t="s">
        <v>793</v>
      </c>
      <c r="BG38" s="31" t="s">
        <v>793</v>
      </c>
      <c r="BH38" s="31" t="s">
        <v>794</v>
      </c>
      <c r="BI38" s="31"/>
      <c r="BJ38" s="31" t="s">
        <v>794</v>
      </c>
      <c r="BK38" s="31" t="s">
        <v>794</v>
      </c>
      <c r="BL38" s="31" t="s">
        <v>794</v>
      </c>
      <c r="BM38" s="31" t="s">
        <v>794</v>
      </c>
      <c r="BN38" s="31" t="s">
        <v>794</v>
      </c>
      <c r="BO38" s="31"/>
      <c r="BP38" s="31"/>
      <c r="BQ38" s="31" t="s">
        <v>793</v>
      </c>
      <c r="BR38" s="31" t="s">
        <v>793</v>
      </c>
      <c r="BS38" s="31" t="s">
        <v>793</v>
      </c>
      <c r="BT38" s="31"/>
      <c r="BU38" s="31" t="s">
        <v>793</v>
      </c>
      <c r="BV38" s="31" t="s">
        <v>793</v>
      </c>
      <c r="BW38" s="31"/>
      <c r="BX38" s="31" t="s">
        <v>793</v>
      </c>
      <c r="BY38" s="31" t="s">
        <v>793</v>
      </c>
      <c r="BZ38" s="31" t="s">
        <v>793</v>
      </c>
      <c r="CA38" s="31" t="s">
        <v>793</v>
      </c>
      <c r="CB38" s="31" t="s">
        <v>793</v>
      </c>
      <c r="CC38" s="31" t="s">
        <v>793</v>
      </c>
      <c r="CD38" s="31"/>
      <c r="CE38" s="31" t="s">
        <v>793</v>
      </c>
      <c r="CF38" s="31" t="s">
        <v>793</v>
      </c>
      <c r="CG38" s="31" t="s">
        <v>793</v>
      </c>
      <c r="CH38" s="31" t="s">
        <v>793</v>
      </c>
      <c r="CI38" s="31"/>
      <c r="CJ38" s="31" t="s">
        <v>793</v>
      </c>
      <c r="CK38" s="31"/>
      <c r="CL38" s="31"/>
    </row>
    <row r="39" spans="1:108" ht="18.5" x14ac:dyDescent="0.45">
      <c r="A39" s="87" t="s">
        <v>1030</v>
      </c>
      <c r="B39" s="78"/>
      <c r="C39" s="78">
        <v>9857031290</v>
      </c>
      <c r="D39" s="77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2">
        <v>6400</v>
      </c>
      <c r="T39" s="12"/>
      <c r="U39" s="12"/>
      <c r="V39" s="23">
        <f t="shared" si="2"/>
        <v>6400</v>
      </c>
      <c r="W39" s="12"/>
      <c r="X39" s="23">
        <f t="shared" si="1"/>
        <v>6400</v>
      </c>
      <c r="Y39" s="31"/>
      <c r="Z39" s="31"/>
      <c r="AA39" s="31"/>
      <c r="AB39" s="33"/>
      <c r="AC39" s="33"/>
      <c r="AD39" s="33"/>
      <c r="AE39" s="33"/>
      <c r="AF39" s="34"/>
      <c r="AG39" s="34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46">
        <v>5</v>
      </c>
      <c r="CI39" s="46"/>
      <c r="CJ39" s="46"/>
      <c r="CK39" s="46"/>
      <c r="CL39" s="46"/>
      <c r="CM39" s="46"/>
    </row>
    <row r="40" spans="1:108" x14ac:dyDescent="0.35">
      <c r="A40" s="12" t="s">
        <v>148</v>
      </c>
      <c r="B40" s="3"/>
      <c r="C40" s="3"/>
      <c r="D40" s="2"/>
      <c r="E40" s="2">
        <v>5400.07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23">
        <f t="shared" si="2"/>
        <v>5400.07</v>
      </c>
      <c r="W40" s="12"/>
      <c r="X40" s="23">
        <f t="shared" si="1"/>
        <v>5400.07</v>
      </c>
      <c r="Y40" s="31"/>
      <c r="Z40" s="31"/>
      <c r="AA40" s="31"/>
      <c r="AB40" s="33"/>
      <c r="AC40" s="33"/>
      <c r="AD40" s="33"/>
      <c r="AE40" s="33"/>
      <c r="AF40" s="34"/>
      <c r="AG40" s="34"/>
      <c r="AH40" s="31"/>
      <c r="AI40" s="31"/>
      <c r="AJ40" s="31"/>
      <c r="AK40" s="31"/>
      <c r="AL40" s="34"/>
      <c r="AM40" s="34"/>
      <c r="AN40" s="34"/>
      <c r="AO40" s="34"/>
      <c r="AP40" s="34"/>
      <c r="AQ40" s="34">
        <v>25</v>
      </c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>
        <v>3</v>
      </c>
      <c r="BE40" s="34"/>
      <c r="BF40" s="34">
        <v>5</v>
      </c>
      <c r="BG40" s="34"/>
      <c r="BH40" s="34">
        <v>8</v>
      </c>
      <c r="BI40" s="34"/>
      <c r="BJ40" s="34"/>
      <c r="BK40" s="34" t="s">
        <v>978</v>
      </c>
      <c r="BL40" s="34" t="s">
        <v>978</v>
      </c>
      <c r="BM40" s="34" t="s">
        <v>978</v>
      </c>
      <c r="BN40" s="34" t="s">
        <v>798</v>
      </c>
      <c r="BO40" s="34"/>
      <c r="BP40" s="34"/>
      <c r="BQ40" s="34"/>
      <c r="BR40" s="34"/>
      <c r="BS40" s="34"/>
      <c r="BT40" s="34"/>
      <c r="BU40" s="34"/>
      <c r="BV40" s="34"/>
      <c r="BW40" s="31" t="s">
        <v>4</v>
      </c>
      <c r="BX40" s="31" t="s">
        <v>793</v>
      </c>
      <c r="BY40" s="31" t="s">
        <v>793</v>
      </c>
      <c r="BZ40" s="31" t="s">
        <v>793</v>
      </c>
      <c r="CA40" s="31" t="s">
        <v>793</v>
      </c>
      <c r="CB40" s="31" t="s">
        <v>793</v>
      </c>
      <c r="CC40" s="31" t="s">
        <v>793</v>
      </c>
      <c r="CD40" s="31"/>
      <c r="CE40" s="31" t="s">
        <v>793</v>
      </c>
      <c r="CF40" s="31" t="s">
        <v>793</v>
      </c>
      <c r="CG40" s="34">
        <v>10</v>
      </c>
      <c r="CH40" s="46">
        <v>10</v>
      </c>
      <c r="CI40" s="46"/>
      <c r="CJ40" s="46"/>
      <c r="CK40" s="46"/>
      <c r="CL40" s="46"/>
      <c r="CM40" s="46"/>
      <c r="CN40" s="46"/>
      <c r="CO40" s="46"/>
      <c r="CP40" s="46"/>
      <c r="CQ40" s="46"/>
      <c r="CR40" s="46"/>
    </row>
    <row r="41" spans="1:108" ht="18.5" x14ac:dyDescent="0.45">
      <c r="A41" s="77" t="s">
        <v>37</v>
      </c>
      <c r="B41" s="78"/>
      <c r="C41" s="78">
        <v>9847119413</v>
      </c>
      <c r="D41" s="77">
        <v>20500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23">
        <f t="shared" si="2"/>
        <v>20500</v>
      </c>
      <c r="W41" s="12"/>
      <c r="X41" s="23">
        <f t="shared" si="1"/>
        <v>20500</v>
      </c>
      <c r="Y41" s="32">
        <v>3</v>
      </c>
      <c r="Z41" s="33"/>
      <c r="AA41" s="31">
        <v>5</v>
      </c>
      <c r="AB41" s="33"/>
      <c r="AC41" s="33">
        <v>9</v>
      </c>
      <c r="AD41" s="33"/>
      <c r="AE41" s="33"/>
      <c r="AF41" s="34"/>
      <c r="AG41" s="31"/>
      <c r="AH41" s="34">
        <v>14</v>
      </c>
      <c r="AI41" s="34"/>
      <c r="AJ41" s="34"/>
      <c r="AK41" s="34"/>
      <c r="AL41" s="31"/>
      <c r="AM41" s="31"/>
      <c r="AN41" s="31"/>
      <c r="AO41" s="31"/>
      <c r="AP41" s="34">
        <v>21</v>
      </c>
      <c r="AQ41" s="34"/>
      <c r="AR41" s="34"/>
      <c r="AS41" s="31" t="s">
        <v>794</v>
      </c>
      <c r="AT41" s="31" t="s">
        <v>794</v>
      </c>
      <c r="AU41" s="31"/>
      <c r="AV41" s="31" t="s">
        <v>794</v>
      </c>
      <c r="AW41" s="34">
        <v>28</v>
      </c>
      <c r="AX41" s="34"/>
      <c r="AY41" s="34"/>
      <c r="AZ41" s="31">
        <v>30</v>
      </c>
      <c r="BA41" s="31"/>
      <c r="BB41" s="31"/>
      <c r="BC41" s="31"/>
      <c r="BD41" s="31" t="s">
        <v>4</v>
      </c>
      <c r="BE41" s="34">
        <v>11</v>
      </c>
      <c r="BF41" s="34"/>
      <c r="BG41" s="34"/>
      <c r="BH41" s="34"/>
      <c r="BI41" s="34"/>
      <c r="BJ41" s="34"/>
      <c r="BK41" s="34"/>
      <c r="BL41" s="34"/>
      <c r="BM41" s="34"/>
      <c r="BN41" s="34">
        <v>17</v>
      </c>
      <c r="BO41" s="34"/>
      <c r="BP41" s="34"/>
      <c r="BQ41" s="34"/>
      <c r="BR41" s="34"/>
      <c r="BS41" s="34"/>
      <c r="BT41" s="31" t="s">
        <v>4</v>
      </c>
      <c r="BU41" s="34">
        <v>22</v>
      </c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>
        <v>5</v>
      </c>
      <c r="CH41" s="46">
        <v>5</v>
      </c>
      <c r="CI41" s="46"/>
      <c r="CJ41" s="46"/>
      <c r="CK41" s="46"/>
      <c r="CL41" s="46"/>
      <c r="CM41" s="34" t="s">
        <v>4</v>
      </c>
    </row>
    <row r="42" spans="1:108" ht="18.5" x14ac:dyDescent="0.45">
      <c r="A42" s="83" t="s">
        <v>38</v>
      </c>
      <c r="B42" s="84"/>
      <c r="C42" s="84">
        <v>9857045260</v>
      </c>
      <c r="D42" s="83">
        <v>12000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23">
        <f t="shared" si="2"/>
        <v>12000</v>
      </c>
      <c r="W42" s="19"/>
      <c r="X42" s="19">
        <f t="shared" si="1"/>
        <v>12000</v>
      </c>
      <c r="Y42" s="31"/>
      <c r="Z42" s="31"/>
      <c r="AA42" s="31" t="s">
        <v>793</v>
      </c>
      <c r="AB42" s="31" t="s">
        <v>793</v>
      </c>
      <c r="AC42" s="31" t="s">
        <v>793</v>
      </c>
      <c r="AD42" s="31" t="s">
        <v>793</v>
      </c>
      <c r="AE42" s="31" t="s">
        <v>793</v>
      </c>
      <c r="AF42" s="31" t="s">
        <v>793</v>
      </c>
      <c r="AG42" s="34"/>
      <c r="AH42" s="31" t="s">
        <v>793</v>
      </c>
      <c r="AI42" s="31" t="s">
        <v>793</v>
      </c>
      <c r="AJ42" s="31" t="s">
        <v>793</v>
      </c>
      <c r="AK42" s="31"/>
      <c r="AL42" s="31" t="s">
        <v>793</v>
      </c>
      <c r="AM42" s="31" t="s">
        <v>793</v>
      </c>
      <c r="AN42" s="31"/>
      <c r="AO42" s="31" t="s">
        <v>793</v>
      </c>
      <c r="AP42" s="31" t="s">
        <v>792</v>
      </c>
      <c r="AQ42" s="31" t="s">
        <v>792</v>
      </c>
      <c r="AR42" s="31" t="s">
        <v>792</v>
      </c>
      <c r="AS42" s="31" t="s">
        <v>792</v>
      </c>
      <c r="AT42" s="31" t="s">
        <v>792</v>
      </c>
      <c r="AU42" s="31"/>
      <c r="AV42" s="31" t="s">
        <v>792</v>
      </c>
      <c r="AW42" s="31" t="s">
        <v>793</v>
      </c>
      <c r="AX42" s="31" t="s">
        <v>793</v>
      </c>
      <c r="AY42" s="31" t="s">
        <v>793</v>
      </c>
      <c r="AZ42" s="31" t="s">
        <v>793</v>
      </c>
      <c r="BA42" s="31" t="s">
        <v>793</v>
      </c>
      <c r="BB42" s="31"/>
      <c r="BC42" s="31" t="s">
        <v>793</v>
      </c>
      <c r="BD42" s="31"/>
      <c r="BE42" s="31" t="s">
        <v>793</v>
      </c>
      <c r="BF42" s="31" t="s">
        <v>793</v>
      </c>
      <c r="BG42" s="31" t="s">
        <v>793</v>
      </c>
      <c r="BH42" s="31" t="s">
        <v>793</v>
      </c>
      <c r="BI42" s="31"/>
      <c r="BJ42" s="31" t="s">
        <v>793</v>
      </c>
      <c r="BK42" s="31" t="s">
        <v>793</v>
      </c>
      <c r="BL42" s="31" t="s">
        <v>793</v>
      </c>
      <c r="BM42" s="31" t="s">
        <v>793</v>
      </c>
      <c r="BN42" s="31" t="s">
        <v>793</v>
      </c>
      <c r="BO42" s="31"/>
      <c r="BP42" s="31"/>
      <c r="BQ42" s="31" t="s">
        <v>793</v>
      </c>
      <c r="BR42" s="31" t="s">
        <v>793</v>
      </c>
      <c r="BS42" s="31" t="s">
        <v>793</v>
      </c>
      <c r="BT42" s="31"/>
      <c r="BU42" s="31" t="s">
        <v>793</v>
      </c>
      <c r="BV42" s="31" t="s">
        <v>793</v>
      </c>
      <c r="BW42" s="31"/>
      <c r="BX42" s="31" t="s">
        <v>793</v>
      </c>
      <c r="BY42" s="31" t="s">
        <v>793</v>
      </c>
      <c r="BZ42" s="31" t="s">
        <v>793</v>
      </c>
      <c r="CA42" s="31" t="s">
        <v>793</v>
      </c>
      <c r="CB42" s="31" t="s">
        <v>793</v>
      </c>
      <c r="CC42" s="31" t="s">
        <v>793</v>
      </c>
      <c r="CD42" s="31"/>
      <c r="CE42" s="31" t="s">
        <v>793</v>
      </c>
      <c r="CF42" s="31" t="s">
        <v>793</v>
      </c>
      <c r="CG42" s="31" t="s">
        <v>793</v>
      </c>
      <c r="CH42" s="31" t="s">
        <v>793</v>
      </c>
      <c r="CI42" s="31"/>
      <c r="CJ42" s="31" t="s">
        <v>793</v>
      </c>
      <c r="CK42" s="31"/>
      <c r="CL42" s="31"/>
    </row>
    <row r="43" spans="1:108" x14ac:dyDescent="0.35">
      <c r="A43" s="12" t="s">
        <v>998</v>
      </c>
      <c r="B43" s="3"/>
      <c r="C43" s="18">
        <v>9857060879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23">
        <f t="shared" si="2"/>
        <v>0</v>
      </c>
      <c r="W43" s="12"/>
      <c r="X43" s="12">
        <f t="shared" si="1"/>
        <v>0</v>
      </c>
      <c r="Y43" s="31"/>
      <c r="Z43" s="31"/>
      <c r="AA43" s="31"/>
      <c r="AB43" s="31"/>
      <c r="AC43" s="31"/>
      <c r="AD43" s="31"/>
      <c r="AE43" s="31"/>
      <c r="AF43" s="31"/>
      <c r="AG43" s="34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4">
        <v>10</v>
      </c>
      <c r="BE43" s="34"/>
      <c r="BF43" s="34"/>
      <c r="BG43" s="34"/>
      <c r="BH43" s="34"/>
      <c r="BI43" s="34"/>
      <c r="BJ43" s="34"/>
      <c r="BK43" s="34"/>
      <c r="BL43" s="34"/>
      <c r="BM43" s="34"/>
      <c r="BN43" s="35" t="s">
        <v>993</v>
      </c>
      <c r="BO43" s="35"/>
      <c r="BP43" s="35"/>
      <c r="BQ43" s="35" t="s">
        <v>993</v>
      </c>
      <c r="BR43" s="35" t="s">
        <v>993</v>
      </c>
      <c r="BS43" s="35" t="s">
        <v>993</v>
      </c>
      <c r="BU43" s="35" t="s">
        <v>993</v>
      </c>
      <c r="BV43" s="35" t="s">
        <v>993</v>
      </c>
    </row>
    <row r="44" spans="1:108" s="62" customFormat="1" ht="18.5" x14ac:dyDescent="0.45">
      <c r="A44" s="77" t="s">
        <v>39</v>
      </c>
      <c r="B44" s="78"/>
      <c r="C44" s="78" t="s">
        <v>40</v>
      </c>
      <c r="D44" s="77">
        <v>130460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23">
        <f t="shared" si="2"/>
        <v>130460</v>
      </c>
      <c r="W44" s="12"/>
      <c r="X44" s="23">
        <f t="shared" si="1"/>
        <v>130460</v>
      </c>
      <c r="Y44" s="31"/>
      <c r="Z44" s="31"/>
      <c r="AA44" s="31">
        <v>10</v>
      </c>
      <c r="AB44" s="33"/>
      <c r="AC44" s="33"/>
      <c r="AD44" s="33"/>
      <c r="AE44" s="33"/>
      <c r="AF44" s="34"/>
      <c r="AG44" s="34"/>
      <c r="AH44" s="34">
        <v>15</v>
      </c>
      <c r="AI44" s="34"/>
      <c r="AJ44" s="34"/>
      <c r="AK44" s="34"/>
      <c r="AL44" s="31"/>
      <c r="AM44" s="31"/>
      <c r="AN44" s="31"/>
      <c r="AO44" s="31"/>
      <c r="AP44" s="31" t="s">
        <v>791</v>
      </c>
      <c r="AQ44" s="31" t="s">
        <v>794</v>
      </c>
      <c r="AR44" s="31" t="s">
        <v>794</v>
      </c>
      <c r="AS44" s="31" t="s">
        <v>794</v>
      </c>
      <c r="AT44" s="31" t="s">
        <v>794</v>
      </c>
      <c r="AU44" s="31"/>
      <c r="AV44" s="31" t="s">
        <v>794</v>
      </c>
      <c r="AW44" s="31" t="s">
        <v>794</v>
      </c>
      <c r="AX44" s="31" t="s">
        <v>794</v>
      </c>
      <c r="AY44" s="34">
        <v>30</v>
      </c>
      <c r="AZ44" s="34"/>
      <c r="BA44" s="34"/>
      <c r="BB44" s="34"/>
      <c r="BC44" s="34" t="s">
        <v>794</v>
      </c>
      <c r="BD44" s="34"/>
      <c r="BE44" s="34"/>
      <c r="BF44" s="34"/>
      <c r="BG44" s="34"/>
      <c r="BH44" s="34">
        <v>8</v>
      </c>
      <c r="BI44" s="34"/>
      <c r="BJ44" s="34"/>
      <c r="BK44" s="31"/>
      <c r="BL44" s="31"/>
      <c r="BM44" s="31" t="s">
        <v>794</v>
      </c>
      <c r="BN44" s="31" t="s">
        <v>793</v>
      </c>
      <c r="BO44" s="31"/>
      <c r="BP44" s="31"/>
      <c r="BQ44" s="31" t="s">
        <v>793</v>
      </c>
      <c r="BR44" s="31" t="s">
        <v>793</v>
      </c>
      <c r="BS44" s="31" t="s">
        <v>793</v>
      </c>
      <c r="BT44" s="31"/>
      <c r="BU44" s="31" t="s">
        <v>793</v>
      </c>
      <c r="BV44" s="31" t="s">
        <v>793</v>
      </c>
      <c r="BW44" s="31"/>
      <c r="BX44" s="31" t="s">
        <v>793</v>
      </c>
      <c r="BY44" s="31" t="s">
        <v>793</v>
      </c>
      <c r="BZ44" s="31" t="s">
        <v>793</v>
      </c>
      <c r="CA44" s="31" t="s">
        <v>793</v>
      </c>
      <c r="CB44" s="31" t="s">
        <v>793</v>
      </c>
      <c r="CC44" s="31" t="s">
        <v>793</v>
      </c>
      <c r="CD44" s="31"/>
      <c r="CE44" s="31" t="s">
        <v>793</v>
      </c>
      <c r="CF44" s="31" t="s">
        <v>793</v>
      </c>
      <c r="CG44" s="31" t="s">
        <v>793</v>
      </c>
      <c r="CH44" s="31" t="s">
        <v>793</v>
      </c>
      <c r="CI44" s="31"/>
      <c r="CJ44" s="31" t="s">
        <v>794</v>
      </c>
      <c r="CK44" s="31"/>
      <c r="CL44" s="31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</row>
    <row r="45" spans="1:108" ht="18.5" x14ac:dyDescent="0.45">
      <c r="A45" s="77" t="s">
        <v>980</v>
      </c>
      <c r="B45" s="78"/>
      <c r="C45" s="78"/>
      <c r="D45" s="77">
        <v>-5101.18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3">
        <f t="shared" si="2"/>
        <v>-5101.18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35"/>
      <c r="AO45" s="2"/>
      <c r="AP45" s="2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79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</row>
    <row r="46" spans="1:108" s="35" customFormat="1" x14ac:dyDescent="0.35">
      <c r="A46" s="15" t="s">
        <v>135</v>
      </c>
      <c r="B46" s="16"/>
      <c r="C46" s="16">
        <v>9857021735</v>
      </c>
      <c r="D46" s="19">
        <v>-4000</v>
      </c>
      <c r="E46" s="12"/>
      <c r="F46" s="12"/>
      <c r="G46" s="12"/>
      <c r="H46" s="12"/>
      <c r="I46" s="12"/>
      <c r="J46" s="12"/>
      <c r="K46" s="12"/>
      <c r="L46" s="12"/>
      <c r="M46" s="15"/>
      <c r="N46" s="15"/>
      <c r="O46" s="15"/>
      <c r="P46" s="15"/>
      <c r="Q46" s="15"/>
      <c r="R46" s="15"/>
      <c r="S46" s="15"/>
      <c r="T46" s="15"/>
      <c r="U46" s="15"/>
      <c r="V46" s="23">
        <f t="shared" si="2"/>
        <v>-4000</v>
      </c>
      <c r="W46" s="15">
        <f>AQ46</f>
        <v>2250</v>
      </c>
      <c r="X46" s="15">
        <f t="shared" ref="X46:X54" si="3">V46-W46</f>
        <v>-6250</v>
      </c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31"/>
      <c r="AO46" s="14"/>
      <c r="AP46" s="14"/>
      <c r="AQ46" s="62">
        <v>2250</v>
      </c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49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</row>
    <row r="47" spans="1:108" ht="18.5" x14ac:dyDescent="0.45">
      <c r="A47" s="87" t="s">
        <v>1031</v>
      </c>
      <c r="B47" s="78"/>
      <c r="C47" s="78">
        <v>9846628111</v>
      </c>
      <c r="D47" s="77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2">
        <v>106585.79</v>
      </c>
      <c r="T47" s="12"/>
      <c r="U47" s="2">
        <v>85238.399999999994</v>
      </c>
      <c r="V47" s="23">
        <f t="shared" si="2"/>
        <v>191824.19</v>
      </c>
      <c r="W47" s="12">
        <v>50000</v>
      </c>
      <c r="X47" s="23">
        <f t="shared" si="3"/>
        <v>141824.19</v>
      </c>
      <c r="Y47" s="31"/>
      <c r="Z47" s="31"/>
      <c r="AA47" s="31"/>
      <c r="AB47" s="31"/>
      <c r="AC47" s="31"/>
      <c r="AD47" s="31"/>
      <c r="AE47" s="31"/>
      <c r="AF47" s="31"/>
      <c r="AG47" s="34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46">
        <v>50000</v>
      </c>
      <c r="CD47" s="31"/>
      <c r="CE47" s="31"/>
      <c r="CF47" s="31"/>
      <c r="CG47" s="34"/>
      <c r="CH47" s="34" t="s">
        <v>878</v>
      </c>
      <c r="CI47" s="34"/>
      <c r="CJ47" s="34"/>
      <c r="CK47" s="34"/>
      <c r="CL47" s="34"/>
      <c r="CM47" s="34"/>
      <c r="CN47" s="34"/>
      <c r="CO47" s="34"/>
      <c r="CP47" s="34"/>
      <c r="CQ47" s="34"/>
      <c r="CR47" s="34" t="s">
        <v>878</v>
      </c>
    </row>
    <row r="48" spans="1:108" ht="18.5" x14ac:dyDescent="0.45">
      <c r="A48" s="77" t="s">
        <v>42</v>
      </c>
      <c r="B48" s="78"/>
      <c r="C48" s="78">
        <v>9703547071</v>
      </c>
      <c r="D48" s="77">
        <v>37500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23">
        <f t="shared" si="2"/>
        <v>37500</v>
      </c>
      <c r="W48" s="12"/>
      <c r="X48" s="23">
        <f t="shared" si="3"/>
        <v>37500</v>
      </c>
      <c r="Y48" s="31"/>
      <c r="Z48" s="31"/>
      <c r="AA48" s="31" t="s">
        <v>794</v>
      </c>
      <c r="AB48" s="31" t="s">
        <v>793</v>
      </c>
      <c r="AC48" s="31" t="s">
        <v>794</v>
      </c>
      <c r="AD48" s="31" t="s">
        <v>794</v>
      </c>
      <c r="AE48" s="31" t="s">
        <v>794</v>
      </c>
      <c r="AF48" s="31" t="s">
        <v>793</v>
      </c>
      <c r="AG48" s="34"/>
      <c r="AH48" s="31" t="s">
        <v>794</v>
      </c>
      <c r="AI48" s="31" t="s">
        <v>794</v>
      </c>
      <c r="AJ48" s="31" t="s">
        <v>794</v>
      </c>
      <c r="AK48" s="31"/>
      <c r="AL48" s="31" t="s">
        <v>794</v>
      </c>
      <c r="AM48" s="31" t="s">
        <v>794</v>
      </c>
      <c r="AN48" s="31"/>
      <c r="AO48" s="31" t="s">
        <v>794</v>
      </c>
      <c r="AP48" s="31" t="s">
        <v>794</v>
      </c>
      <c r="AQ48" s="31" t="s">
        <v>794</v>
      </c>
      <c r="AR48" s="31" t="s">
        <v>794</v>
      </c>
      <c r="AS48" s="31" t="s">
        <v>794</v>
      </c>
      <c r="AT48" s="31" t="s">
        <v>794</v>
      </c>
      <c r="AU48" s="31"/>
      <c r="AV48" s="31" t="s">
        <v>794</v>
      </c>
      <c r="AW48" s="31" t="s">
        <v>794</v>
      </c>
      <c r="AX48" s="31" t="s">
        <v>794</v>
      </c>
      <c r="AY48" s="31" t="s">
        <v>794</v>
      </c>
      <c r="AZ48" s="31" t="s">
        <v>794</v>
      </c>
      <c r="BA48" s="31" t="s">
        <v>794</v>
      </c>
      <c r="BB48" s="31"/>
      <c r="BC48" s="31" t="s">
        <v>794</v>
      </c>
      <c r="BD48" s="31"/>
      <c r="BE48" s="31" t="s">
        <v>793</v>
      </c>
      <c r="BF48" s="31" t="s">
        <v>794</v>
      </c>
      <c r="BG48" s="31" t="s">
        <v>794</v>
      </c>
      <c r="BH48" s="31" t="s">
        <v>794</v>
      </c>
      <c r="BI48" s="31"/>
      <c r="BJ48" s="31" t="s">
        <v>794</v>
      </c>
      <c r="BK48" s="31" t="s">
        <v>794</v>
      </c>
      <c r="BL48" s="31" t="s">
        <v>794</v>
      </c>
      <c r="BM48" s="31" t="s">
        <v>794</v>
      </c>
      <c r="BN48" s="31" t="s">
        <v>794</v>
      </c>
      <c r="BO48" s="31" t="s">
        <v>793</v>
      </c>
      <c r="BP48" s="31"/>
      <c r="BQ48" s="31" t="s">
        <v>794</v>
      </c>
      <c r="BR48" s="31" t="s">
        <v>794</v>
      </c>
      <c r="BS48" s="31" t="s">
        <v>794</v>
      </c>
      <c r="BT48" s="31"/>
      <c r="BU48" s="31" t="s">
        <v>794</v>
      </c>
      <c r="BV48" s="31" t="s">
        <v>794</v>
      </c>
      <c r="BW48" s="31"/>
      <c r="BX48" s="31" t="s">
        <v>794</v>
      </c>
      <c r="BY48" s="31" t="s">
        <v>794</v>
      </c>
      <c r="BZ48" s="31" t="s">
        <v>794</v>
      </c>
      <c r="CA48" s="31" t="s">
        <v>794</v>
      </c>
      <c r="CB48" s="31" t="s">
        <v>794</v>
      </c>
      <c r="CC48" s="31" t="s">
        <v>794</v>
      </c>
      <c r="CD48" s="31"/>
      <c r="CE48" s="31" t="s">
        <v>794</v>
      </c>
      <c r="CF48" s="31" t="s">
        <v>794</v>
      </c>
      <c r="CG48" s="31" t="s">
        <v>794</v>
      </c>
      <c r="CH48" s="46" t="s">
        <v>794</v>
      </c>
      <c r="CI48" s="46"/>
      <c r="CJ48" s="31" t="s">
        <v>794</v>
      </c>
      <c r="CK48" s="31"/>
      <c r="CL48" s="31"/>
    </row>
    <row r="49" spans="1:98" ht="18.5" x14ac:dyDescent="0.45">
      <c r="A49" s="77" t="s">
        <v>1016</v>
      </c>
      <c r="B49" s="78"/>
      <c r="C49" s="78" t="s">
        <v>44</v>
      </c>
      <c r="D49" s="77">
        <v>263294.42</v>
      </c>
      <c r="E49" s="12"/>
      <c r="F49" s="12"/>
      <c r="G49" s="12"/>
      <c r="H49" s="12"/>
      <c r="I49" s="12"/>
      <c r="J49" s="12"/>
      <c r="K49" s="2">
        <v>27061</v>
      </c>
      <c r="L49" s="12"/>
      <c r="M49" s="12"/>
      <c r="N49" s="12"/>
      <c r="O49" s="12"/>
      <c r="P49" s="12"/>
      <c r="Q49" s="12"/>
      <c r="R49" s="12"/>
      <c r="S49" s="12"/>
      <c r="T49" s="2">
        <v>20506.009999999998</v>
      </c>
      <c r="U49" s="2">
        <v>29008</v>
      </c>
      <c r="V49" s="23">
        <f t="shared" si="2"/>
        <v>339869.43</v>
      </c>
      <c r="W49" s="12">
        <f>AX49+20000</f>
        <v>45000</v>
      </c>
      <c r="X49" s="23">
        <f t="shared" si="3"/>
        <v>294869.43</v>
      </c>
      <c r="Y49" s="31"/>
      <c r="Z49" s="31"/>
      <c r="AA49" s="33">
        <v>6</v>
      </c>
      <c r="AB49" s="33"/>
      <c r="AC49" s="33"/>
      <c r="AD49" s="34">
        <v>9</v>
      </c>
      <c r="AE49" s="34"/>
      <c r="AF49" s="34"/>
      <c r="AG49" s="31"/>
      <c r="AH49" s="34">
        <v>15</v>
      </c>
      <c r="AI49" s="34"/>
      <c r="AJ49" s="34"/>
      <c r="AK49" s="34"/>
      <c r="AL49" s="34">
        <v>19</v>
      </c>
      <c r="AM49" s="34"/>
      <c r="AN49" s="34"/>
      <c r="AO49" s="34"/>
      <c r="AP49" s="34"/>
      <c r="AQ49" s="34">
        <v>23</v>
      </c>
      <c r="AR49" s="34"/>
      <c r="AS49" s="34"/>
      <c r="AT49" s="34"/>
      <c r="AU49" s="31"/>
      <c r="AV49" s="34"/>
      <c r="AW49" s="34"/>
      <c r="AX49" s="1">
        <v>25000</v>
      </c>
      <c r="AY49" s="34"/>
      <c r="AZ49" s="34"/>
      <c r="BA49" s="34"/>
      <c r="BB49" s="34"/>
      <c r="BC49" s="34"/>
      <c r="BD49" s="34">
        <v>5</v>
      </c>
      <c r="BE49" s="34"/>
      <c r="BF49" s="34"/>
      <c r="BG49" s="34"/>
      <c r="BH49" s="34"/>
      <c r="BI49" s="34"/>
      <c r="BJ49" s="34"/>
      <c r="BK49" s="31" t="s">
        <v>793</v>
      </c>
      <c r="BL49" s="31" t="s">
        <v>793</v>
      </c>
      <c r="BM49" s="31" t="s">
        <v>793</v>
      </c>
      <c r="BN49" s="31" t="s">
        <v>793</v>
      </c>
      <c r="BO49" s="31" t="s">
        <v>793</v>
      </c>
      <c r="BP49" s="31"/>
      <c r="BQ49" s="31" t="s">
        <v>793</v>
      </c>
      <c r="BR49" s="31" t="s">
        <v>793</v>
      </c>
      <c r="BS49" s="31" t="s">
        <v>793</v>
      </c>
      <c r="BT49" s="31"/>
      <c r="BU49" s="31" t="s">
        <v>793</v>
      </c>
      <c r="BV49" s="31" t="s">
        <v>793</v>
      </c>
      <c r="BW49" s="31"/>
      <c r="BX49" s="31" t="s">
        <v>793</v>
      </c>
      <c r="BY49" s="31" t="s">
        <v>793</v>
      </c>
      <c r="BZ49" s="31" t="s">
        <v>793</v>
      </c>
      <c r="CA49" s="31" t="s">
        <v>793</v>
      </c>
      <c r="CB49" s="31" t="s">
        <v>793</v>
      </c>
      <c r="CC49" s="31" t="s">
        <v>793</v>
      </c>
      <c r="CD49" s="31"/>
      <c r="CE49" s="31" t="s">
        <v>793</v>
      </c>
      <c r="CF49" s="31" t="s">
        <v>793</v>
      </c>
      <c r="CG49" s="31" t="s">
        <v>793</v>
      </c>
      <c r="CH49" s="1">
        <v>20000</v>
      </c>
      <c r="CI49" s="34"/>
      <c r="CJ49" s="34">
        <v>4</v>
      </c>
      <c r="CK49" s="34"/>
      <c r="CL49" s="34"/>
    </row>
    <row r="50" spans="1:98" x14ac:dyDescent="0.35">
      <c r="A50" s="12" t="s">
        <v>45</v>
      </c>
      <c r="B50" s="3"/>
      <c r="C50" s="24">
        <v>9857058123</v>
      </c>
      <c r="D50" s="12">
        <v>84244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23">
        <f t="shared" si="2"/>
        <v>84244</v>
      </c>
      <c r="W50" s="12"/>
      <c r="X50" s="23">
        <f t="shared" si="3"/>
        <v>84244</v>
      </c>
      <c r="Y50" s="31"/>
      <c r="Z50" s="31"/>
      <c r="AA50" s="31" t="s">
        <v>794</v>
      </c>
      <c r="AB50" s="31" t="s">
        <v>794</v>
      </c>
      <c r="AC50" s="31" t="s">
        <v>794</v>
      </c>
      <c r="AD50" s="31" t="s">
        <v>794</v>
      </c>
      <c r="AE50" s="31" t="s">
        <v>794</v>
      </c>
      <c r="AF50" s="34" t="s">
        <v>790</v>
      </c>
      <c r="AG50" s="34"/>
      <c r="AH50" s="34"/>
      <c r="AI50" s="34"/>
      <c r="AJ50" s="34"/>
      <c r="AK50" s="34"/>
      <c r="AL50" s="34"/>
      <c r="AM50" s="31" t="s">
        <v>794</v>
      </c>
      <c r="AN50" s="31"/>
      <c r="AO50" s="31" t="s">
        <v>794</v>
      </c>
      <c r="AP50" s="31" t="s">
        <v>794</v>
      </c>
      <c r="AQ50" s="31" t="s">
        <v>794</v>
      </c>
      <c r="AR50" s="31" t="s">
        <v>794</v>
      </c>
      <c r="AS50" s="31" t="s">
        <v>794</v>
      </c>
      <c r="AT50" s="31" t="s">
        <v>794</v>
      </c>
      <c r="AU50" s="31"/>
      <c r="AV50" s="31" t="s">
        <v>794</v>
      </c>
      <c r="AW50" s="31" t="s">
        <v>792</v>
      </c>
      <c r="AX50" s="31" t="s">
        <v>792</v>
      </c>
      <c r="AY50" s="31" t="s">
        <v>792</v>
      </c>
      <c r="AZ50" s="31" t="s">
        <v>792</v>
      </c>
      <c r="BA50" s="31" t="s">
        <v>792</v>
      </c>
      <c r="BB50" s="31"/>
      <c r="BC50" s="31" t="s">
        <v>792</v>
      </c>
      <c r="BD50" s="31"/>
      <c r="BE50" s="31" t="s">
        <v>794</v>
      </c>
      <c r="BF50" s="31" t="s">
        <v>794</v>
      </c>
      <c r="BG50" s="31" t="s">
        <v>794</v>
      </c>
      <c r="BH50" s="31" t="s">
        <v>794</v>
      </c>
      <c r="BI50" s="31"/>
      <c r="BJ50" s="31" t="s">
        <v>794</v>
      </c>
      <c r="BK50" s="31" t="s">
        <v>794</v>
      </c>
      <c r="BL50" s="31" t="s">
        <v>794</v>
      </c>
      <c r="BM50" s="31" t="s">
        <v>794</v>
      </c>
      <c r="BN50" s="31" t="s">
        <v>794</v>
      </c>
      <c r="BO50" s="31" t="s">
        <v>794</v>
      </c>
      <c r="BP50" s="31"/>
      <c r="BQ50" s="31" t="s">
        <v>794</v>
      </c>
      <c r="BR50" s="31" t="s">
        <v>794</v>
      </c>
      <c r="BS50" s="31" t="s">
        <v>794</v>
      </c>
      <c r="BT50" s="31"/>
      <c r="BU50" s="31" t="s">
        <v>794</v>
      </c>
      <c r="BV50" s="31" t="s">
        <v>794</v>
      </c>
      <c r="BW50" s="31"/>
      <c r="BX50" s="31" t="s">
        <v>794</v>
      </c>
      <c r="BY50" s="31" t="s">
        <v>794</v>
      </c>
      <c r="BZ50" s="31" t="s">
        <v>794</v>
      </c>
      <c r="CA50" s="31" t="s">
        <v>794</v>
      </c>
      <c r="CB50" s="31" t="s">
        <v>794</v>
      </c>
      <c r="CC50" s="31" t="s">
        <v>794</v>
      </c>
      <c r="CD50" s="31"/>
      <c r="CE50" s="31" t="s">
        <v>794</v>
      </c>
      <c r="CF50" s="31" t="s">
        <v>794</v>
      </c>
      <c r="CG50" s="31" t="s">
        <v>794</v>
      </c>
      <c r="CH50" s="46" t="s">
        <v>781</v>
      </c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</row>
    <row r="51" spans="1:98" x14ac:dyDescent="0.35">
      <c r="A51" s="19" t="s">
        <v>136</v>
      </c>
      <c r="B51" s="5"/>
      <c r="C51" s="20">
        <v>9857060125</v>
      </c>
      <c r="D51" s="36">
        <v>5000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23">
        <f t="shared" si="2"/>
        <v>5000</v>
      </c>
      <c r="W51" s="19"/>
      <c r="X51" s="19">
        <f t="shared" si="3"/>
        <v>5000</v>
      </c>
      <c r="Y51" s="49"/>
      <c r="Z51" s="49"/>
      <c r="AA51" s="49" t="s">
        <v>797</v>
      </c>
      <c r="AB51" s="49"/>
      <c r="AC51" s="49" t="s">
        <v>797</v>
      </c>
      <c r="AD51" s="49" t="s">
        <v>797</v>
      </c>
      <c r="AE51" s="49" t="s">
        <v>797</v>
      </c>
      <c r="AF51" s="49" t="s">
        <v>797</v>
      </c>
      <c r="AG51" s="49"/>
      <c r="AH51" s="49" t="s">
        <v>797</v>
      </c>
      <c r="AI51" s="49" t="s">
        <v>797</v>
      </c>
      <c r="AJ51" s="49" t="s">
        <v>797</v>
      </c>
      <c r="AK51" s="49" t="s">
        <v>797</v>
      </c>
      <c r="AL51" s="49" t="s">
        <v>797</v>
      </c>
      <c r="AM51" s="49" t="s">
        <v>797</v>
      </c>
      <c r="AN51" s="49"/>
      <c r="AO51" s="49" t="s">
        <v>797</v>
      </c>
      <c r="AP51" s="49" t="s">
        <v>797</v>
      </c>
      <c r="AQ51" s="49" t="s">
        <v>797</v>
      </c>
      <c r="AR51" s="49" t="s">
        <v>797</v>
      </c>
      <c r="AS51" s="49" t="s">
        <v>797</v>
      </c>
      <c r="AT51" s="49" t="s">
        <v>797</v>
      </c>
      <c r="AU51" s="49"/>
      <c r="AV51" s="49" t="s">
        <v>797</v>
      </c>
      <c r="AW51" s="49" t="s">
        <v>797</v>
      </c>
      <c r="AX51" s="49" t="s">
        <v>797</v>
      </c>
      <c r="AY51" s="49" t="s">
        <v>797</v>
      </c>
      <c r="AZ51" s="49" t="s">
        <v>797</v>
      </c>
      <c r="BA51" s="49" t="s">
        <v>797</v>
      </c>
      <c r="BB51" s="49"/>
      <c r="BC51" s="49" t="s">
        <v>797</v>
      </c>
      <c r="BD51" s="31"/>
      <c r="BE51" s="31" t="s">
        <v>797</v>
      </c>
      <c r="BF51" s="31" t="s">
        <v>797</v>
      </c>
      <c r="BG51" s="31" t="s">
        <v>797</v>
      </c>
      <c r="BH51" s="31" t="s">
        <v>797</v>
      </c>
      <c r="BI51" s="31"/>
      <c r="BJ51" s="31" t="s">
        <v>797</v>
      </c>
      <c r="BK51" s="31" t="s">
        <v>797</v>
      </c>
      <c r="BL51" s="31" t="s">
        <v>797</v>
      </c>
      <c r="BM51" s="31" t="s">
        <v>797</v>
      </c>
      <c r="BN51" s="31" t="s">
        <v>797</v>
      </c>
      <c r="BO51" s="31"/>
      <c r="BP51" s="31"/>
      <c r="BQ51" s="31" t="s">
        <v>797</v>
      </c>
      <c r="BR51" s="31" t="s">
        <v>797</v>
      </c>
      <c r="BS51" s="31" t="s">
        <v>797</v>
      </c>
      <c r="BT51" s="31"/>
      <c r="BU51" s="31" t="s">
        <v>797</v>
      </c>
      <c r="BV51" s="31" t="s">
        <v>797</v>
      </c>
      <c r="BW51" s="31"/>
      <c r="BX51" s="31" t="s">
        <v>797</v>
      </c>
      <c r="BY51" s="31" t="s">
        <v>797</v>
      </c>
      <c r="BZ51" s="31" t="s">
        <v>797</v>
      </c>
      <c r="CA51" s="31" t="s">
        <v>797</v>
      </c>
      <c r="CB51" s="31" t="s">
        <v>797</v>
      </c>
      <c r="CC51" s="31" t="s">
        <v>797</v>
      </c>
      <c r="CD51" s="31"/>
      <c r="CE51" s="31" t="s">
        <v>797</v>
      </c>
      <c r="CF51" s="31" t="s">
        <v>797</v>
      </c>
      <c r="CG51" s="31" t="s">
        <v>797</v>
      </c>
      <c r="CH51" s="31" t="s">
        <v>797</v>
      </c>
      <c r="CI51" s="31"/>
      <c r="CJ51" s="31" t="s">
        <v>797</v>
      </c>
      <c r="CK51" s="31"/>
      <c r="CL51" s="31"/>
    </row>
    <row r="52" spans="1:98" s="50" customFormat="1" ht="18.5" x14ac:dyDescent="0.45">
      <c r="A52" s="77" t="s">
        <v>46</v>
      </c>
      <c r="B52" s="78"/>
      <c r="C52" s="78" t="s">
        <v>47</v>
      </c>
      <c r="D52" s="77">
        <v>21512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23">
        <f t="shared" si="2"/>
        <v>21512</v>
      </c>
      <c r="W52" s="12"/>
      <c r="X52" s="23">
        <f t="shared" si="3"/>
        <v>21512</v>
      </c>
      <c r="Y52" s="31"/>
      <c r="Z52" s="31"/>
      <c r="AA52" s="31" t="s">
        <v>794</v>
      </c>
      <c r="AB52" s="31" t="s">
        <v>794</v>
      </c>
      <c r="AC52" s="31" t="s">
        <v>794</v>
      </c>
      <c r="AD52" s="31" t="s">
        <v>794</v>
      </c>
      <c r="AE52" s="31" t="s">
        <v>794</v>
      </c>
      <c r="AF52" s="31" t="s">
        <v>794</v>
      </c>
      <c r="AG52" s="31"/>
      <c r="AH52" s="31" t="s">
        <v>794</v>
      </c>
      <c r="AI52" s="31" t="s">
        <v>794</v>
      </c>
      <c r="AJ52" s="31" t="s">
        <v>794</v>
      </c>
      <c r="AK52" s="31" t="s">
        <v>794</v>
      </c>
      <c r="AL52" s="31" t="s">
        <v>794</v>
      </c>
      <c r="AM52" s="31" t="s">
        <v>794</v>
      </c>
      <c r="AN52" s="31"/>
      <c r="AO52" s="31" t="s">
        <v>794</v>
      </c>
      <c r="AP52" s="31" t="s">
        <v>794</v>
      </c>
      <c r="AQ52" s="31" t="s">
        <v>794</v>
      </c>
      <c r="AR52" s="31" t="s">
        <v>794</v>
      </c>
      <c r="AS52" s="31" t="s">
        <v>794</v>
      </c>
      <c r="AT52" s="31" t="s">
        <v>794</v>
      </c>
      <c r="AU52" s="31"/>
      <c r="AV52" s="31" t="s">
        <v>794</v>
      </c>
      <c r="AW52" s="31" t="s">
        <v>794</v>
      </c>
      <c r="AX52" s="31" t="s">
        <v>794</v>
      </c>
      <c r="AY52" s="31" t="s">
        <v>794</v>
      </c>
      <c r="AZ52" s="31" t="s">
        <v>794</v>
      </c>
      <c r="BA52" s="31" t="s">
        <v>794</v>
      </c>
      <c r="BB52" s="31"/>
      <c r="BC52" s="31" t="s">
        <v>794</v>
      </c>
      <c r="BD52" s="31"/>
      <c r="BE52" s="31" t="s">
        <v>794</v>
      </c>
      <c r="BF52" s="31" t="s">
        <v>794</v>
      </c>
      <c r="BG52" s="31" t="s">
        <v>794</v>
      </c>
      <c r="BH52" s="31" t="s">
        <v>794</v>
      </c>
      <c r="BI52" s="31"/>
      <c r="BJ52" s="31" t="s">
        <v>794</v>
      </c>
      <c r="BK52" s="31" t="s">
        <v>794</v>
      </c>
      <c r="BL52" s="31" t="s">
        <v>794</v>
      </c>
      <c r="BM52" s="31" t="s">
        <v>794</v>
      </c>
      <c r="BN52" s="31" t="s">
        <v>794</v>
      </c>
      <c r="BO52" s="31" t="s">
        <v>794</v>
      </c>
      <c r="BP52" s="31"/>
      <c r="BQ52" s="31" t="s">
        <v>794</v>
      </c>
      <c r="BR52" s="31" t="s">
        <v>794</v>
      </c>
      <c r="BS52" s="31" t="s">
        <v>794</v>
      </c>
      <c r="BT52" s="49"/>
      <c r="BU52" s="31" t="s">
        <v>794</v>
      </c>
      <c r="BV52" s="31" t="s">
        <v>794</v>
      </c>
      <c r="BW52" s="49"/>
      <c r="BX52" s="31" t="s">
        <v>794</v>
      </c>
      <c r="BY52" s="31" t="s">
        <v>794</v>
      </c>
      <c r="BZ52" s="31" t="s">
        <v>794</v>
      </c>
      <c r="CA52" s="31" t="s">
        <v>794</v>
      </c>
      <c r="CB52" s="31" t="s">
        <v>794</v>
      </c>
      <c r="CC52" s="31" t="s">
        <v>794</v>
      </c>
      <c r="CD52" s="49"/>
      <c r="CE52" s="31" t="s">
        <v>794</v>
      </c>
      <c r="CF52" s="31" t="s">
        <v>794</v>
      </c>
      <c r="CG52" s="31" t="s">
        <v>794</v>
      </c>
      <c r="CH52" s="31" t="s">
        <v>794</v>
      </c>
      <c r="CI52" s="49"/>
      <c r="CJ52" s="31" t="s">
        <v>794</v>
      </c>
      <c r="CK52" s="49"/>
      <c r="CL52" s="49"/>
    </row>
    <row r="53" spans="1:98" x14ac:dyDescent="0.35">
      <c r="A53" s="12" t="s">
        <v>48</v>
      </c>
      <c r="B53" s="3"/>
      <c r="C53" s="18" t="s">
        <v>49</v>
      </c>
      <c r="D53" s="12">
        <v>8930.4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23">
        <f t="shared" si="2"/>
        <v>8930.4</v>
      </c>
      <c r="W53" s="12"/>
      <c r="X53" s="23">
        <f t="shared" si="3"/>
        <v>8930.4</v>
      </c>
      <c r="Y53" s="31"/>
      <c r="Z53" s="31"/>
      <c r="AA53" s="31" t="s">
        <v>794</v>
      </c>
      <c r="AB53" s="31" t="s">
        <v>792</v>
      </c>
      <c r="AC53" s="31" t="s">
        <v>792</v>
      </c>
      <c r="AD53" s="31" t="s">
        <v>792</v>
      </c>
      <c r="AE53" s="31" t="s">
        <v>792</v>
      </c>
      <c r="AF53" s="31" t="s">
        <v>793</v>
      </c>
      <c r="AG53" s="31"/>
      <c r="AH53" s="31" t="s">
        <v>793</v>
      </c>
      <c r="AI53" s="31" t="s">
        <v>793</v>
      </c>
      <c r="AJ53" s="31" t="s">
        <v>793</v>
      </c>
      <c r="AK53" s="31" t="s">
        <v>793</v>
      </c>
      <c r="AL53" s="31" t="s">
        <v>793</v>
      </c>
      <c r="AM53" s="31" t="s">
        <v>793</v>
      </c>
      <c r="AN53" s="31"/>
      <c r="AO53" s="31" t="s">
        <v>793</v>
      </c>
      <c r="AP53" s="31" t="s">
        <v>793</v>
      </c>
      <c r="AQ53" s="31" t="s">
        <v>792</v>
      </c>
      <c r="AR53" s="31" t="s">
        <v>792</v>
      </c>
      <c r="AS53" s="31" t="s">
        <v>792</v>
      </c>
      <c r="AT53" s="31" t="s">
        <v>792</v>
      </c>
      <c r="AU53" s="31"/>
      <c r="AV53" s="31" t="s">
        <v>792</v>
      </c>
      <c r="AW53" s="31" t="s">
        <v>792</v>
      </c>
      <c r="AX53" s="31" t="s">
        <v>792</v>
      </c>
      <c r="AY53" s="31" t="s">
        <v>792</v>
      </c>
      <c r="AZ53" s="31" t="s">
        <v>792</v>
      </c>
      <c r="BA53" s="31" t="s">
        <v>792</v>
      </c>
      <c r="BB53" s="31"/>
      <c r="BC53" s="31" t="s">
        <v>792</v>
      </c>
      <c r="BD53" s="31"/>
      <c r="BE53" s="49" t="s">
        <v>794</v>
      </c>
      <c r="BF53" s="49" t="s">
        <v>794</v>
      </c>
      <c r="BG53" s="49" t="s">
        <v>794</v>
      </c>
      <c r="BH53" s="49" t="s">
        <v>794</v>
      </c>
      <c r="BI53" s="49"/>
      <c r="BJ53" s="49" t="s">
        <v>794</v>
      </c>
      <c r="BK53" s="49" t="s">
        <v>794</v>
      </c>
      <c r="BL53" s="49" t="s">
        <v>794</v>
      </c>
      <c r="BM53" s="49" t="s">
        <v>794</v>
      </c>
      <c r="BN53" s="49" t="s">
        <v>794</v>
      </c>
      <c r="BO53" s="49" t="s">
        <v>794</v>
      </c>
      <c r="BP53" s="49"/>
      <c r="BQ53" s="49" t="s">
        <v>794</v>
      </c>
      <c r="BR53" s="49" t="s">
        <v>794</v>
      </c>
      <c r="BS53" s="49" t="s">
        <v>794</v>
      </c>
      <c r="BT53" s="31"/>
      <c r="BU53" s="49" t="s">
        <v>794</v>
      </c>
      <c r="BV53" s="49" t="s">
        <v>794</v>
      </c>
      <c r="BW53" s="31"/>
      <c r="BX53" s="49" t="s">
        <v>794</v>
      </c>
      <c r="BY53" s="49" t="s">
        <v>794</v>
      </c>
      <c r="BZ53" s="49" t="s">
        <v>794</v>
      </c>
      <c r="CA53" s="49" t="s">
        <v>794</v>
      </c>
      <c r="CB53" s="49" t="s">
        <v>794</v>
      </c>
      <c r="CC53" s="49" t="s">
        <v>794</v>
      </c>
      <c r="CD53" s="31"/>
      <c r="CE53" s="49" t="s">
        <v>794</v>
      </c>
      <c r="CF53" s="49" t="s">
        <v>794</v>
      </c>
      <c r="CG53" s="49" t="s">
        <v>794</v>
      </c>
      <c r="CH53" s="49" t="s">
        <v>794</v>
      </c>
      <c r="CI53" s="31"/>
      <c r="CJ53" s="49" t="s">
        <v>794</v>
      </c>
      <c r="CK53" s="31"/>
      <c r="CL53" s="31"/>
    </row>
    <row r="54" spans="1:98" ht="18.5" x14ac:dyDescent="0.45">
      <c r="A54" s="77" t="s">
        <v>50</v>
      </c>
      <c r="B54" s="78"/>
      <c r="C54" s="78" t="s">
        <v>51</v>
      </c>
      <c r="D54" s="77">
        <v>127395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23">
        <f t="shared" si="2"/>
        <v>127395</v>
      </c>
      <c r="W54" s="12"/>
      <c r="X54" s="23">
        <f t="shared" si="3"/>
        <v>127395</v>
      </c>
      <c r="Y54" s="31"/>
      <c r="Z54" s="31"/>
      <c r="AA54" s="31" t="s">
        <v>795</v>
      </c>
      <c r="AB54" s="31" t="s">
        <v>792</v>
      </c>
      <c r="AC54" s="31" t="s">
        <v>792</v>
      </c>
      <c r="AD54" s="31" t="s">
        <v>792</v>
      </c>
      <c r="AE54" s="31" t="s">
        <v>792</v>
      </c>
      <c r="AF54" s="31" t="s">
        <v>793</v>
      </c>
      <c r="AG54" s="31"/>
      <c r="AH54" s="31" t="s">
        <v>793</v>
      </c>
      <c r="AI54" s="31" t="s">
        <v>793</v>
      </c>
      <c r="AJ54" s="31" t="s">
        <v>793</v>
      </c>
      <c r="AK54" s="31" t="s">
        <v>793</v>
      </c>
      <c r="AL54" s="31" t="s">
        <v>793</v>
      </c>
      <c r="AM54" s="31" t="s">
        <v>793</v>
      </c>
      <c r="AN54" s="31"/>
      <c r="AO54" s="31" t="s">
        <v>793</v>
      </c>
      <c r="AP54" s="31" t="s">
        <v>793</v>
      </c>
      <c r="AQ54" s="31" t="s">
        <v>792</v>
      </c>
      <c r="AR54" s="31" t="s">
        <v>792</v>
      </c>
      <c r="AS54" s="31" t="s">
        <v>792</v>
      </c>
      <c r="AT54" s="31" t="s">
        <v>792</v>
      </c>
      <c r="AU54" s="31"/>
      <c r="AV54" s="31" t="s">
        <v>792</v>
      </c>
      <c r="AW54" s="31" t="s">
        <v>792</v>
      </c>
      <c r="AX54" s="31" t="s">
        <v>792</v>
      </c>
      <c r="AY54" s="31" t="s">
        <v>792</v>
      </c>
      <c r="AZ54" s="31" t="s">
        <v>792</v>
      </c>
      <c r="BA54" s="31" t="s">
        <v>792</v>
      </c>
      <c r="BB54" s="31"/>
      <c r="BC54" s="31" t="s">
        <v>792</v>
      </c>
      <c r="BD54" s="49"/>
      <c r="BE54" s="31" t="s">
        <v>793</v>
      </c>
      <c r="BF54" s="31" t="s">
        <v>793</v>
      </c>
      <c r="BG54" s="31" t="s">
        <v>793</v>
      </c>
      <c r="BH54" s="31" t="s">
        <v>793</v>
      </c>
      <c r="BI54" s="31"/>
      <c r="BJ54" s="31" t="s">
        <v>793</v>
      </c>
      <c r="BK54" s="31" t="s">
        <v>793</v>
      </c>
      <c r="BL54" s="31" t="s">
        <v>793</v>
      </c>
      <c r="BM54" s="31" t="s">
        <v>793</v>
      </c>
      <c r="BN54" s="31" t="s">
        <v>793</v>
      </c>
      <c r="BO54" s="31" t="s">
        <v>793</v>
      </c>
      <c r="BP54" s="31"/>
      <c r="BQ54" s="31" t="s">
        <v>793</v>
      </c>
      <c r="BR54" s="31" t="s">
        <v>793</v>
      </c>
      <c r="BS54" s="31" t="s">
        <v>793</v>
      </c>
      <c r="BT54" s="31"/>
      <c r="BU54" s="31" t="s">
        <v>793</v>
      </c>
      <c r="BV54" s="31" t="s">
        <v>793</v>
      </c>
      <c r="BW54" s="31"/>
      <c r="BX54" s="31" t="s">
        <v>793</v>
      </c>
      <c r="BY54" s="31" t="s">
        <v>793</v>
      </c>
      <c r="BZ54" s="31" t="s">
        <v>793</v>
      </c>
      <c r="CA54" s="31" t="s">
        <v>793</v>
      </c>
      <c r="CB54" s="31" t="s">
        <v>793</v>
      </c>
      <c r="CC54" s="31" t="s">
        <v>793</v>
      </c>
      <c r="CD54" s="31"/>
      <c r="CE54" s="31" t="s">
        <v>793</v>
      </c>
      <c r="CF54" s="31" t="s">
        <v>793</v>
      </c>
      <c r="CG54" s="31" t="s">
        <v>793</v>
      </c>
      <c r="CH54" s="31" t="s">
        <v>793</v>
      </c>
      <c r="CI54" s="31"/>
      <c r="CJ54" s="31" t="s">
        <v>793</v>
      </c>
      <c r="CK54" s="31"/>
      <c r="CL54" s="31"/>
    </row>
    <row r="55" spans="1:98" x14ac:dyDescent="0.35">
      <c r="A55" s="8" t="s">
        <v>5</v>
      </c>
      <c r="B55" s="24"/>
      <c r="C55" s="24">
        <v>9856052361</v>
      </c>
      <c r="D55" s="8">
        <v>22500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23">
        <f t="shared" ref="V55:V70" si="4">SUM(D55:U55)</f>
        <v>22500</v>
      </c>
      <c r="W55" s="8"/>
      <c r="X55" s="8">
        <f t="shared" ref="X55" si="5">V55-W55</f>
        <v>22500</v>
      </c>
      <c r="Y55" s="34"/>
      <c r="Z55" s="34"/>
      <c r="AA55" s="34"/>
      <c r="AB55" s="31" t="s">
        <v>804</v>
      </c>
      <c r="AC55" s="31" t="s">
        <v>804</v>
      </c>
      <c r="AD55" s="31" t="str">
        <f>AC55</f>
        <v>BATTERY RETURN</v>
      </c>
      <c r="AE55" s="21" t="str">
        <f>AD55</f>
        <v>BATTERY RETURN</v>
      </c>
      <c r="AJ55" s="31"/>
      <c r="AK55" s="31"/>
      <c r="AL55" s="31" t="s">
        <v>864</v>
      </c>
      <c r="AM55" s="31" t="s">
        <v>864</v>
      </c>
      <c r="AN55" s="31" t="s">
        <v>864</v>
      </c>
      <c r="AO55" s="31" t="s">
        <v>864</v>
      </c>
      <c r="AP55" s="31" t="s">
        <v>864</v>
      </c>
      <c r="AQ55" s="31" t="s">
        <v>864</v>
      </c>
      <c r="AR55" s="31" t="s">
        <v>864</v>
      </c>
      <c r="AS55" s="31" t="s">
        <v>864</v>
      </c>
      <c r="AT55" s="31" t="s">
        <v>864</v>
      </c>
      <c r="AU55" s="31"/>
      <c r="AV55" s="31" t="s">
        <v>864</v>
      </c>
      <c r="AW55" s="31" t="s">
        <v>864</v>
      </c>
      <c r="AX55" s="31" t="s">
        <v>864</v>
      </c>
      <c r="AY55" s="31" t="s">
        <v>864</v>
      </c>
      <c r="AZ55" s="31" t="s">
        <v>864</v>
      </c>
      <c r="BA55" s="31" t="s">
        <v>864</v>
      </c>
      <c r="BB55" s="31"/>
      <c r="BC55" s="31" t="s">
        <v>864</v>
      </c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</row>
    <row r="56" spans="1:98" x14ac:dyDescent="0.35">
      <c r="A56" s="15" t="s">
        <v>33</v>
      </c>
      <c r="B56" s="16"/>
      <c r="C56" s="16" t="s">
        <v>34</v>
      </c>
      <c r="D56" s="23">
        <v>-10038</v>
      </c>
      <c r="E56" s="8"/>
      <c r="F56" s="8"/>
      <c r="G56" s="8"/>
      <c r="H56" s="8"/>
      <c r="I56" s="8"/>
      <c r="J56" s="8"/>
      <c r="K56" s="8"/>
      <c r="L56" s="8"/>
      <c r="M56" s="15"/>
      <c r="N56" s="15"/>
      <c r="O56" s="15"/>
      <c r="P56" s="15"/>
      <c r="Q56" s="15"/>
      <c r="R56" s="15"/>
      <c r="S56" s="15"/>
      <c r="T56" s="15"/>
      <c r="U56" s="15"/>
      <c r="V56" s="23">
        <f t="shared" si="4"/>
        <v>-10038</v>
      </c>
      <c r="W56" s="15"/>
      <c r="X56" s="15">
        <f t="shared" ref="X56:X75" si="6">V56-W56</f>
        <v>-10038</v>
      </c>
      <c r="Y56" s="31"/>
      <c r="Z56" s="31"/>
      <c r="AA56" s="33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S56"/>
      <c r="BU56"/>
      <c r="BV56"/>
      <c r="CJ56" s="31"/>
      <c r="CK56" s="31"/>
      <c r="CL56" s="31"/>
    </row>
    <row r="57" spans="1:98" ht="18.5" x14ac:dyDescent="0.45">
      <c r="A57" s="77" t="s">
        <v>52</v>
      </c>
      <c r="B57" s="78"/>
      <c r="C57" s="78" t="s">
        <v>53</v>
      </c>
      <c r="D57" s="77">
        <v>30500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23">
        <f t="shared" si="4"/>
        <v>30500</v>
      </c>
      <c r="W57" s="6"/>
      <c r="X57" s="23">
        <f t="shared" si="6"/>
        <v>30500</v>
      </c>
      <c r="Y57" s="31"/>
      <c r="Z57" s="31"/>
      <c r="AA57" s="31" t="s">
        <v>794</v>
      </c>
      <c r="AB57" s="31" t="s">
        <v>791</v>
      </c>
      <c r="AC57" s="31"/>
      <c r="AD57" s="31" t="s">
        <v>791</v>
      </c>
      <c r="AE57" s="31" t="s">
        <v>791</v>
      </c>
      <c r="AF57" s="31" t="s">
        <v>810</v>
      </c>
      <c r="AG57" s="31"/>
      <c r="AH57" s="31" t="s">
        <v>810</v>
      </c>
      <c r="AI57" s="31" t="s">
        <v>810</v>
      </c>
      <c r="AJ57" s="31" t="s">
        <v>810</v>
      </c>
      <c r="AK57" s="31" t="s">
        <v>791</v>
      </c>
      <c r="AL57" s="31" t="s">
        <v>791</v>
      </c>
      <c r="AM57" s="31" t="s">
        <v>791</v>
      </c>
      <c r="AN57" s="31"/>
      <c r="AO57" s="31" t="s">
        <v>791</v>
      </c>
      <c r="AP57" s="31" t="s">
        <v>791</v>
      </c>
      <c r="AQ57" s="31" t="s">
        <v>791</v>
      </c>
      <c r="AR57" s="31" t="s">
        <v>791</v>
      </c>
      <c r="AS57" s="31" t="s">
        <v>791</v>
      </c>
      <c r="AT57" s="31" t="s">
        <v>791</v>
      </c>
      <c r="AU57" s="31"/>
      <c r="AV57" s="31" t="s">
        <v>791</v>
      </c>
      <c r="AW57" s="31" t="s">
        <v>791</v>
      </c>
      <c r="AX57" s="31" t="s">
        <v>791</v>
      </c>
      <c r="AY57" s="31" t="s">
        <v>791</v>
      </c>
      <c r="AZ57" s="31" t="s">
        <v>791</v>
      </c>
      <c r="BA57" s="31" t="s">
        <v>791</v>
      </c>
      <c r="BB57" s="31"/>
      <c r="BC57" s="31" t="s">
        <v>791</v>
      </c>
      <c r="BD57" s="31"/>
      <c r="BE57" s="31" t="s">
        <v>791</v>
      </c>
      <c r="BF57" s="31" t="s">
        <v>791</v>
      </c>
      <c r="BG57" s="31" t="s">
        <v>791</v>
      </c>
      <c r="BH57" s="31" t="s">
        <v>791</v>
      </c>
      <c r="BI57" s="31"/>
      <c r="BJ57" s="31" t="s">
        <v>791</v>
      </c>
      <c r="BK57" s="31" t="s">
        <v>791</v>
      </c>
      <c r="BL57" s="31" t="s">
        <v>791</v>
      </c>
      <c r="BM57" s="31" t="s">
        <v>791</v>
      </c>
      <c r="BN57" s="31" t="s">
        <v>791</v>
      </c>
      <c r="BO57" s="31"/>
      <c r="BP57" s="31"/>
      <c r="BQ57" s="31" t="s">
        <v>791</v>
      </c>
      <c r="BR57" s="31" t="s">
        <v>791</v>
      </c>
      <c r="BS57" s="31" t="s">
        <v>791</v>
      </c>
      <c r="BT57" s="31"/>
      <c r="BU57" s="31" t="s">
        <v>791</v>
      </c>
      <c r="BV57" s="31" t="s">
        <v>791</v>
      </c>
      <c r="BW57" s="31"/>
      <c r="BX57" s="31" t="s">
        <v>791</v>
      </c>
      <c r="BY57" s="31" t="s">
        <v>791</v>
      </c>
      <c r="BZ57" s="31" t="s">
        <v>791</v>
      </c>
      <c r="CA57" s="31" t="s">
        <v>791</v>
      </c>
      <c r="CB57" s="31" t="s">
        <v>791</v>
      </c>
      <c r="CC57" s="31" t="s">
        <v>791</v>
      </c>
      <c r="CD57" s="31"/>
      <c r="CE57" s="31" t="s">
        <v>791</v>
      </c>
      <c r="CF57" s="31" t="s">
        <v>791</v>
      </c>
      <c r="CG57" s="31" t="s">
        <v>791</v>
      </c>
      <c r="CH57" s="31" t="s">
        <v>791</v>
      </c>
      <c r="CI57" s="31"/>
      <c r="CJ57" s="31" t="s">
        <v>791</v>
      </c>
      <c r="CK57" s="31"/>
      <c r="CL57" s="31"/>
    </row>
    <row r="58" spans="1:98" ht="18.5" x14ac:dyDescent="0.45">
      <c r="A58" s="77" t="s">
        <v>54</v>
      </c>
      <c r="B58" s="78"/>
      <c r="C58" s="78">
        <v>9857030891</v>
      </c>
      <c r="D58" s="77">
        <v>5000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23">
        <f t="shared" si="4"/>
        <v>5000</v>
      </c>
      <c r="W58" s="6"/>
      <c r="X58" s="23">
        <f t="shared" si="6"/>
        <v>5000</v>
      </c>
      <c r="Y58" s="31"/>
      <c r="Z58" s="31"/>
      <c r="AA58" s="31" t="s">
        <v>794</v>
      </c>
      <c r="AB58" s="31"/>
      <c r="AC58" s="31"/>
      <c r="AD58" s="31" t="s">
        <v>794</v>
      </c>
      <c r="AE58" s="31" t="s">
        <v>794</v>
      </c>
      <c r="AF58" s="31" t="s">
        <v>794</v>
      </c>
      <c r="AG58" s="31"/>
      <c r="AH58" s="31" t="s">
        <v>794</v>
      </c>
      <c r="AI58" s="31" t="s">
        <v>794</v>
      </c>
      <c r="AJ58" s="31" t="s">
        <v>794</v>
      </c>
      <c r="AK58" s="31" t="s">
        <v>794</v>
      </c>
      <c r="AL58" s="31" t="s">
        <v>794</v>
      </c>
      <c r="AM58" s="31" t="s">
        <v>794</v>
      </c>
      <c r="AN58" s="31"/>
      <c r="AO58" s="31" t="s">
        <v>794</v>
      </c>
      <c r="AP58" s="31" t="s">
        <v>794</v>
      </c>
      <c r="AQ58" s="31" t="s">
        <v>794</v>
      </c>
      <c r="AR58" s="31" t="s">
        <v>794</v>
      </c>
      <c r="AS58" s="31" t="s">
        <v>794</v>
      </c>
      <c r="AT58" s="31" t="s">
        <v>794</v>
      </c>
      <c r="AU58" s="31"/>
      <c r="AV58" s="31" t="s">
        <v>794</v>
      </c>
      <c r="AW58" s="31" t="s">
        <v>794</v>
      </c>
      <c r="AX58" s="31" t="s">
        <v>794</v>
      </c>
      <c r="AY58" s="31" t="s">
        <v>794</v>
      </c>
      <c r="AZ58" s="31" t="s">
        <v>794</v>
      </c>
      <c r="BA58" s="31" t="s">
        <v>794</v>
      </c>
      <c r="BB58" s="31"/>
      <c r="BC58" s="31" t="s">
        <v>794</v>
      </c>
      <c r="BD58" s="31"/>
      <c r="BE58" s="31" t="s">
        <v>794</v>
      </c>
      <c r="BF58" s="31" t="s">
        <v>794</v>
      </c>
      <c r="BG58" s="31" t="s">
        <v>794</v>
      </c>
      <c r="BH58" s="31" t="s">
        <v>794</v>
      </c>
      <c r="BI58" s="31"/>
      <c r="BJ58" s="31" t="s">
        <v>794</v>
      </c>
      <c r="BK58" s="31" t="s">
        <v>794</v>
      </c>
      <c r="BL58" s="31" t="s">
        <v>794</v>
      </c>
      <c r="BM58" s="31" t="s">
        <v>794</v>
      </c>
      <c r="BN58" s="31" t="s">
        <v>794</v>
      </c>
      <c r="BO58" s="31"/>
      <c r="BP58" s="31"/>
      <c r="BQ58" s="31" t="s">
        <v>794</v>
      </c>
      <c r="BR58" s="31" t="s">
        <v>794</v>
      </c>
      <c r="BS58" s="31" t="s">
        <v>794</v>
      </c>
      <c r="BT58" s="31"/>
      <c r="BU58" s="31" t="s">
        <v>794</v>
      </c>
      <c r="BV58" s="31" t="s">
        <v>794</v>
      </c>
      <c r="BW58" s="31"/>
      <c r="BX58" s="31" t="s">
        <v>794</v>
      </c>
      <c r="BY58" s="31" t="s">
        <v>794</v>
      </c>
      <c r="BZ58" s="31" t="s">
        <v>794</v>
      </c>
      <c r="CA58" s="31" t="s">
        <v>794</v>
      </c>
      <c r="CB58" s="31" t="s">
        <v>794</v>
      </c>
      <c r="CC58" s="31" t="s">
        <v>794</v>
      </c>
      <c r="CD58" s="31"/>
      <c r="CE58" s="31" t="s">
        <v>794</v>
      </c>
      <c r="CF58" s="31" t="s">
        <v>794</v>
      </c>
      <c r="CG58" s="31" t="s">
        <v>794</v>
      </c>
      <c r="CH58" s="31" t="s">
        <v>794</v>
      </c>
      <c r="CI58" s="31"/>
      <c r="CJ58" s="31" t="s">
        <v>794</v>
      </c>
      <c r="CK58" s="31"/>
      <c r="CL58" s="31"/>
    </row>
    <row r="59" spans="1:98" x14ac:dyDescent="0.35">
      <c r="A59" s="15" t="s">
        <v>55</v>
      </c>
      <c r="B59" s="16"/>
      <c r="C59" s="16">
        <v>9847532785</v>
      </c>
      <c r="D59" s="23">
        <v>-1000</v>
      </c>
      <c r="E59" s="8"/>
      <c r="F59" s="8"/>
      <c r="G59" s="8"/>
      <c r="H59" s="8"/>
      <c r="I59" s="8"/>
      <c r="J59" s="8"/>
      <c r="K59" s="8"/>
      <c r="L59" s="8"/>
      <c r="M59" s="15"/>
      <c r="N59" s="15"/>
      <c r="O59" s="15"/>
      <c r="P59" s="15"/>
      <c r="Q59" s="15"/>
      <c r="R59" s="15"/>
      <c r="S59" s="15"/>
      <c r="T59" s="15"/>
      <c r="U59" s="15"/>
      <c r="V59" s="23">
        <f t="shared" si="4"/>
        <v>-1000</v>
      </c>
      <c r="W59" s="15"/>
      <c r="X59" s="15">
        <f t="shared" si="6"/>
        <v>-1000</v>
      </c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S59"/>
      <c r="BU59"/>
      <c r="BV59"/>
    </row>
    <row r="60" spans="1:98" ht="18.5" x14ac:dyDescent="0.45">
      <c r="A60" s="77" t="s">
        <v>57</v>
      </c>
      <c r="B60" s="78"/>
      <c r="C60" s="78" t="s">
        <v>58</v>
      </c>
      <c r="D60" s="77">
        <v>13000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23">
        <f t="shared" si="4"/>
        <v>13000</v>
      </c>
      <c r="W60" s="6"/>
      <c r="X60" s="23">
        <f t="shared" si="6"/>
        <v>13000</v>
      </c>
      <c r="Y60" s="31"/>
      <c r="Z60" s="31"/>
      <c r="AA60" s="31" t="s">
        <v>794</v>
      </c>
      <c r="AB60" s="31"/>
      <c r="AC60" s="31" t="s">
        <v>794</v>
      </c>
      <c r="AD60" s="31" t="s">
        <v>794</v>
      </c>
      <c r="AE60" s="31" t="s">
        <v>794</v>
      </c>
      <c r="AF60" s="31" t="s">
        <v>794</v>
      </c>
      <c r="AG60" s="31"/>
      <c r="AH60" s="31" t="s">
        <v>794</v>
      </c>
      <c r="AI60" s="31" t="s">
        <v>794</v>
      </c>
      <c r="AJ60" s="31" t="s">
        <v>794</v>
      </c>
      <c r="AK60" s="31" t="s">
        <v>794</v>
      </c>
      <c r="AL60" s="31" t="s">
        <v>794</v>
      </c>
      <c r="AM60" s="31" t="s">
        <v>794</v>
      </c>
      <c r="AN60" s="31"/>
      <c r="AO60" s="31" t="s">
        <v>794</v>
      </c>
      <c r="AP60" s="31" t="s">
        <v>794</v>
      </c>
      <c r="AQ60" s="31" t="s">
        <v>794</v>
      </c>
      <c r="AR60" s="31" t="s">
        <v>794</v>
      </c>
      <c r="AS60" s="31" t="s">
        <v>794</v>
      </c>
      <c r="AT60" s="31" t="s">
        <v>794</v>
      </c>
      <c r="AU60" s="31"/>
      <c r="AV60" s="31" t="s">
        <v>794</v>
      </c>
      <c r="AW60" s="31" t="s">
        <v>794</v>
      </c>
      <c r="AX60" s="31" t="s">
        <v>794</v>
      </c>
      <c r="AY60" s="31" t="s">
        <v>794</v>
      </c>
      <c r="AZ60" s="31" t="s">
        <v>794</v>
      </c>
      <c r="BA60" s="31" t="s">
        <v>794</v>
      </c>
      <c r="BB60" s="31"/>
      <c r="BC60" s="31" t="s">
        <v>794</v>
      </c>
      <c r="BD60" s="31"/>
      <c r="BE60" s="31" t="s">
        <v>793</v>
      </c>
      <c r="BF60" s="31" t="s">
        <v>794</v>
      </c>
      <c r="BG60" s="31" t="s">
        <v>794</v>
      </c>
      <c r="BH60" s="31" t="s">
        <v>794</v>
      </c>
      <c r="BI60" s="31"/>
      <c r="BJ60" s="31" t="s">
        <v>794</v>
      </c>
      <c r="BK60" s="31" t="s">
        <v>794</v>
      </c>
      <c r="BL60" s="31" t="s">
        <v>794</v>
      </c>
      <c r="BM60" s="31" t="s">
        <v>794</v>
      </c>
      <c r="BN60" s="31" t="s">
        <v>794</v>
      </c>
      <c r="BO60" s="31"/>
      <c r="BP60" s="31"/>
      <c r="BQ60" s="31" t="s">
        <v>794</v>
      </c>
      <c r="BR60" s="31" t="s">
        <v>794</v>
      </c>
      <c r="BS60" s="31" t="s">
        <v>794</v>
      </c>
      <c r="BT60" s="31"/>
      <c r="BU60" s="31" t="s">
        <v>794</v>
      </c>
      <c r="BV60" s="31" t="s">
        <v>794</v>
      </c>
      <c r="BW60" s="31"/>
      <c r="BX60" s="31" t="s">
        <v>794</v>
      </c>
      <c r="BY60" s="31" t="s">
        <v>794</v>
      </c>
      <c r="BZ60" s="31" t="s">
        <v>794</v>
      </c>
      <c r="CA60" s="31" t="s">
        <v>794</v>
      </c>
      <c r="CB60" s="31" t="s">
        <v>794</v>
      </c>
      <c r="CC60" s="31" t="s">
        <v>794</v>
      </c>
      <c r="CD60" s="31"/>
      <c r="CE60" s="31" t="s">
        <v>794</v>
      </c>
      <c r="CF60" s="31" t="s">
        <v>794</v>
      </c>
      <c r="CG60" s="31" t="s">
        <v>794</v>
      </c>
      <c r="CH60" s="31" t="s">
        <v>794</v>
      </c>
      <c r="CI60" s="31"/>
      <c r="CJ60" s="31" t="s">
        <v>794</v>
      </c>
      <c r="CK60" s="31"/>
      <c r="CL60" s="31"/>
    </row>
    <row r="61" spans="1:98" s="50" customFormat="1" ht="18.5" x14ac:dyDescent="0.45">
      <c r="A61" s="77" t="s">
        <v>59</v>
      </c>
      <c r="B61" s="78"/>
      <c r="C61" s="78" t="s">
        <v>60</v>
      </c>
      <c r="D61" s="77">
        <v>25100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23">
        <f t="shared" si="4"/>
        <v>25100</v>
      </c>
      <c r="W61" s="6"/>
      <c r="X61" s="23">
        <f t="shared" si="6"/>
        <v>25100</v>
      </c>
      <c r="Y61" s="31"/>
      <c r="Z61" s="31"/>
      <c r="AA61" s="31"/>
      <c r="AB61" s="31"/>
      <c r="AC61" s="31"/>
      <c r="AD61" s="31"/>
      <c r="AE61" s="31"/>
      <c r="AF61" s="31" t="s">
        <v>794</v>
      </c>
      <c r="AG61" s="31"/>
      <c r="AH61" s="31" t="s">
        <v>794</v>
      </c>
      <c r="AI61" s="31" t="s">
        <v>794</v>
      </c>
      <c r="AJ61" s="31" t="s">
        <v>794</v>
      </c>
      <c r="AK61" s="31" t="s">
        <v>794</v>
      </c>
      <c r="AL61" s="31" t="s">
        <v>794</v>
      </c>
      <c r="AM61" s="31" t="s">
        <v>794</v>
      </c>
      <c r="AN61" s="31"/>
      <c r="AO61" s="31" t="s">
        <v>794</v>
      </c>
      <c r="AP61" s="31" t="s">
        <v>794</v>
      </c>
      <c r="AQ61" s="31" t="s">
        <v>794</v>
      </c>
      <c r="AR61" s="31" t="s">
        <v>794</v>
      </c>
      <c r="AS61" s="31" t="s">
        <v>794</v>
      </c>
      <c r="AT61" s="31" t="s">
        <v>794</v>
      </c>
      <c r="AU61" s="31"/>
      <c r="AV61" s="31" t="s">
        <v>794</v>
      </c>
      <c r="AW61" s="31" t="s">
        <v>794</v>
      </c>
      <c r="AX61" s="31" t="s">
        <v>794</v>
      </c>
      <c r="AY61" s="31" t="s">
        <v>794</v>
      </c>
      <c r="AZ61" s="31" t="s">
        <v>794</v>
      </c>
      <c r="BA61" s="31" t="s">
        <v>794</v>
      </c>
      <c r="BB61" s="31"/>
      <c r="BC61" s="31" t="s">
        <v>794</v>
      </c>
      <c r="BD61" s="31"/>
      <c r="BE61" s="49" t="s">
        <v>794</v>
      </c>
      <c r="BF61" s="49" t="s">
        <v>794</v>
      </c>
      <c r="BG61" s="49" t="s">
        <v>794</v>
      </c>
      <c r="BH61" s="49" t="s">
        <v>794</v>
      </c>
      <c r="BI61" s="49"/>
      <c r="BJ61" s="49" t="s">
        <v>794</v>
      </c>
      <c r="BK61" s="49" t="s">
        <v>794</v>
      </c>
      <c r="BL61" s="49" t="s">
        <v>794</v>
      </c>
      <c r="BM61" s="49" t="s">
        <v>794</v>
      </c>
      <c r="BN61" s="49" t="s">
        <v>794</v>
      </c>
      <c r="BO61" s="49"/>
      <c r="BP61" s="49"/>
      <c r="BQ61" s="49" t="s">
        <v>794</v>
      </c>
      <c r="BR61" s="49" t="s">
        <v>794</v>
      </c>
      <c r="BS61" s="49" t="s">
        <v>794</v>
      </c>
      <c r="BT61" s="49"/>
      <c r="BU61" s="49" t="s">
        <v>794</v>
      </c>
      <c r="BV61" s="49" t="s">
        <v>794</v>
      </c>
      <c r="BW61" s="49"/>
      <c r="BX61" s="49" t="s">
        <v>794</v>
      </c>
      <c r="BY61" s="49" t="s">
        <v>794</v>
      </c>
      <c r="BZ61" s="49" t="s">
        <v>794</v>
      </c>
      <c r="CA61" s="49" t="s">
        <v>794</v>
      </c>
      <c r="CB61" s="49" t="s">
        <v>794</v>
      </c>
      <c r="CC61" s="49" t="s">
        <v>794</v>
      </c>
      <c r="CD61" s="49"/>
      <c r="CE61" s="49" t="s">
        <v>794</v>
      </c>
      <c r="CF61" s="49" t="s">
        <v>794</v>
      </c>
      <c r="CG61" s="49" t="s">
        <v>794</v>
      </c>
      <c r="CH61" s="49" t="s">
        <v>794</v>
      </c>
      <c r="CI61" s="49"/>
      <c r="CJ61" s="49" t="s">
        <v>794</v>
      </c>
      <c r="CK61" s="49"/>
      <c r="CL61" s="49"/>
    </row>
    <row r="62" spans="1:98" ht="18.5" x14ac:dyDescent="0.45">
      <c r="A62" s="77" t="s">
        <v>61</v>
      </c>
      <c r="B62" s="78"/>
      <c r="C62" s="78" t="s">
        <v>62</v>
      </c>
      <c r="D62" s="77">
        <v>5679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23">
        <f t="shared" si="4"/>
        <v>5679</v>
      </c>
      <c r="W62" s="6"/>
      <c r="X62" s="23">
        <f t="shared" si="6"/>
        <v>5679</v>
      </c>
      <c r="Y62" s="31"/>
      <c r="Z62" s="31"/>
      <c r="AA62" s="31"/>
      <c r="AB62" s="31"/>
      <c r="AC62" s="31"/>
      <c r="AD62" s="31"/>
      <c r="AE62" s="31"/>
      <c r="AF62" s="31" t="s">
        <v>794</v>
      </c>
      <c r="AG62" s="31"/>
      <c r="AH62" s="31" t="s">
        <v>794</v>
      </c>
      <c r="AI62" s="31" t="s">
        <v>794</v>
      </c>
      <c r="AJ62" s="31" t="s">
        <v>794</v>
      </c>
      <c r="AK62" s="31" t="s">
        <v>794</v>
      </c>
      <c r="AL62" s="31" t="s">
        <v>794</v>
      </c>
      <c r="AM62" s="31" t="s">
        <v>794</v>
      </c>
      <c r="AN62" s="31"/>
      <c r="AO62" s="31" t="s">
        <v>794</v>
      </c>
      <c r="AP62" s="31" t="s">
        <v>794</v>
      </c>
      <c r="AQ62" s="31" t="s">
        <v>794</v>
      </c>
      <c r="AR62" s="31" t="s">
        <v>794</v>
      </c>
      <c r="AS62" s="31" t="s">
        <v>794</v>
      </c>
      <c r="AT62" s="31" t="s">
        <v>794</v>
      </c>
      <c r="AU62" s="31"/>
      <c r="AV62" s="31" t="s">
        <v>794</v>
      </c>
      <c r="AW62" s="31" t="s">
        <v>794</v>
      </c>
      <c r="AX62" s="31" t="s">
        <v>794</v>
      </c>
      <c r="AY62" s="31" t="s">
        <v>794</v>
      </c>
      <c r="AZ62" s="31" t="s">
        <v>794</v>
      </c>
      <c r="BA62" s="31" t="s">
        <v>794</v>
      </c>
      <c r="BB62" s="31"/>
      <c r="BC62" s="31" t="s">
        <v>794</v>
      </c>
      <c r="BD62" s="31"/>
      <c r="BE62" s="31" t="s">
        <v>794</v>
      </c>
      <c r="BF62" s="31" t="s">
        <v>794</v>
      </c>
      <c r="BG62" s="31" t="s">
        <v>794</v>
      </c>
      <c r="BH62" s="31" t="s">
        <v>794</v>
      </c>
      <c r="BI62" s="31"/>
      <c r="BJ62" s="31" t="s">
        <v>794</v>
      </c>
      <c r="BK62" s="31" t="s">
        <v>794</v>
      </c>
      <c r="BL62" s="31" t="s">
        <v>794</v>
      </c>
      <c r="BM62" s="31" t="s">
        <v>794</v>
      </c>
      <c r="BN62" s="31" t="s">
        <v>794</v>
      </c>
      <c r="BO62" s="31"/>
      <c r="BP62" s="31"/>
      <c r="BQ62" s="31" t="s">
        <v>794</v>
      </c>
      <c r="BR62" s="31" t="s">
        <v>794</v>
      </c>
      <c r="BS62" s="31" t="s">
        <v>794</v>
      </c>
      <c r="BT62" s="31"/>
      <c r="BU62" s="31" t="s">
        <v>794</v>
      </c>
      <c r="BV62" s="31" t="s">
        <v>794</v>
      </c>
      <c r="BW62" s="31"/>
      <c r="BX62" s="31" t="s">
        <v>794</v>
      </c>
      <c r="BY62" s="31" t="s">
        <v>794</v>
      </c>
      <c r="BZ62" s="31" t="s">
        <v>794</v>
      </c>
      <c r="CA62" s="31" t="s">
        <v>794</v>
      </c>
      <c r="CB62" s="31" t="s">
        <v>794</v>
      </c>
      <c r="CC62" s="31" t="s">
        <v>794</v>
      </c>
      <c r="CD62" s="31"/>
      <c r="CE62" s="31" t="s">
        <v>794</v>
      </c>
      <c r="CF62" s="31" t="s">
        <v>794</v>
      </c>
      <c r="CG62" s="31" t="s">
        <v>794</v>
      </c>
      <c r="CH62" s="31" t="s">
        <v>794</v>
      </c>
      <c r="CI62" s="31"/>
      <c r="CJ62" s="31" t="s">
        <v>794</v>
      </c>
      <c r="CK62" s="31"/>
      <c r="CL62" s="31"/>
    </row>
    <row r="63" spans="1:98" ht="18.5" x14ac:dyDescent="0.45">
      <c r="A63" s="77" t="s">
        <v>63</v>
      </c>
      <c r="B63" s="78"/>
      <c r="C63" s="78" t="s">
        <v>64</v>
      </c>
      <c r="D63" s="77">
        <v>4218.55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23">
        <f t="shared" si="4"/>
        <v>4218.55</v>
      </c>
      <c r="W63" s="6"/>
      <c r="X63" s="23">
        <f t="shared" si="6"/>
        <v>4218.55</v>
      </c>
      <c r="Y63" s="31"/>
      <c r="Z63" s="31"/>
      <c r="AA63" s="31"/>
      <c r="AB63" s="31"/>
      <c r="AC63" s="31"/>
      <c r="AD63" s="31"/>
      <c r="AE63" s="31"/>
      <c r="AF63" s="31" t="s">
        <v>793</v>
      </c>
      <c r="AG63" s="31"/>
      <c r="AH63" s="31" t="s">
        <v>793</v>
      </c>
      <c r="AI63" s="31" t="s">
        <v>793</v>
      </c>
      <c r="AJ63" s="31" t="s">
        <v>793</v>
      </c>
      <c r="AK63" s="31" t="s">
        <v>793</v>
      </c>
      <c r="AL63" s="31" t="s">
        <v>793</v>
      </c>
      <c r="AM63" s="31" t="s">
        <v>793</v>
      </c>
      <c r="AN63" s="31"/>
      <c r="AO63" s="31" t="s">
        <v>793</v>
      </c>
      <c r="AP63" s="31" t="s">
        <v>793</v>
      </c>
      <c r="AQ63" s="31" t="s">
        <v>794</v>
      </c>
      <c r="AR63" s="31" t="s">
        <v>794</v>
      </c>
      <c r="AS63" s="31" t="s">
        <v>794</v>
      </c>
      <c r="AT63" s="31" t="s">
        <v>794</v>
      </c>
      <c r="AU63" s="31"/>
      <c r="AV63" s="31" t="s">
        <v>794</v>
      </c>
      <c r="AW63" s="31" t="s">
        <v>794</v>
      </c>
      <c r="AX63" s="31" t="s">
        <v>794</v>
      </c>
      <c r="AY63" s="31" t="s">
        <v>794</v>
      </c>
      <c r="AZ63" s="31" t="s">
        <v>794</v>
      </c>
      <c r="BA63" s="31" t="s">
        <v>794</v>
      </c>
      <c r="BB63" s="31"/>
      <c r="BC63" s="31" t="s">
        <v>794</v>
      </c>
      <c r="BD63" s="49"/>
      <c r="BE63" s="31" t="s">
        <v>794</v>
      </c>
      <c r="BF63" s="31" t="s">
        <v>794</v>
      </c>
      <c r="BG63" s="31" t="s">
        <v>794</v>
      </c>
      <c r="BH63" s="31" t="s">
        <v>794</v>
      </c>
      <c r="BI63" s="31"/>
      <c r="BJ63" s="31" t="s">
        <v>794</v>
      </c>
      <c r="BK63" s="31" t="s">
        <v>794</v>
      </c>
      <c r="BL63" s="31" t="s">
        <v>794</v>
      </c>
      <c r="BM63" s="31" t="s">
        <v>794</v>
      </c>
      <c r="BN63" s="31" t="s">
        <v>794</v>
      </c>
      <c r="BO63" s="31"/>
      <c r="BP63" s="31"/>
      <c r="BQ63" s="31" t="s">
        <v>794</v>
      </c>
      <c r="BR63" s="31" t="s">
        <v>794</v>
      </c>
      <c r="BS63" s="31" t="s">
        <v>794</v>
      </c>
      <c r="BT63" s="31"/>
      <c r="BU63" s="31" t="s">
        <v>794</v>
      </c>
      <c r="BV63" s="31" t="s">
        <v>794</v>
      </c>
      <c r="BW63" s="31"/>
      <c r="BX63" s="31" t="s">
        <v>794</v>
      </c>
      <c r="BY63" s="31" t="s">
        <v>794</v>
      </c>
      <c r="BZ63" s="31" t="s">
        <v>794</v>
      </c>
      <c r="CA63" s="31" t="s">
        <v>794</v>
      </c>
      <c r="CB63" s="31" t="s">
        <v>794</v>
      </c>
      <c r="CC63" s="31" t="s">
        <v>794</v>
      </c>
      <c r="CD63" s="31"/>
      <c r="CE63" s="31" t="s">
        <v>794</v>
      </c>
      <c r="CF63" s="31" t="s">
        <v>794</v>
      </c>
      <c r="CG63" s="31" t="s">
        <v>794</v>
      </c>
      <c r="CH63" s="31" t="s">
        <v>794</v>
      </c>
      <c r="CI63" s="31"/>
      <c r="CJ63" s="31" t="s">
        <v>794</v>
      </c>
      <c r="CK63" s="31"/>
      <c r="CL63" s="31"/>
    </row>
    <row r="64" spans="1:98" ht="18.5" x14ac:dyDescent="0.45">
      <c r="A64" s="77" t="s">
        <v>65</v>
      </c>
      <c r="B64" s="78"/>
      <c r="C64" s="78" t="s">
        <v>66</v>
      </c>
      <c r="D64" s="77">
        <v>11000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23">
        <f t="shared" si="4"/>
        <v>11000</v>
      </c>
      <c r="W64" s="6"/>
      <c r="X64" s="23">
        <f t="shared" si="6"/>
        <v>11000</v>
      </c>
      <c r="Y64" s="31"/>
      <c r="Z64" s="31"/>
      <c r="AA64" s="31"/>
      <c r="AB64" s="31"/>
      <c r="AC64" s="31"/>
      <c r="AD64" s="31"/>
      <c r="AE64" s="31"/>
      <c r="AF64" s="31" t="s">
        <v>810</v>
      </c>
      <c r="AG64" s="31"/>
      <c r="AH64" s="31" t="s">
        <v>810</v>
      </c>
      <c r="AI64" s="31" t="s">
        <v>810</v>
      </c>
      <c r="AJ64" s="31" t="s">
        <v>810</v>
      </c>
      <c r="AK64" s="31" t="s">
        <v>791</v>
      </c>
      <c r="AL64" s="31" t="s">
        <v>791</v>
      </c>
      <c r="AM64" s="31" t="s">
        <v>791</v>
      </c>
      <c r="AN64" s="31"/>
      <c r="AO64" s="31" t="s">
        <v>791</v>
      </c>
      <c r="AP64" s="31" t="s">
        <v>791</v>
      </c>
      <c r="AQ64" s="31" t="s">
        <v>794</v>
      </c>
      <c r="AR64" s="31" t="s">
        <v>794</v>
      </c>
      <c r="AS64" s="31" t="s">
        <v>794</v>
      </c>
      <c r="AT64" s="31" t="s">
        <v>794</v>
      </c>
      <c r="AU64" s="31"/>
      <c r="AV64" s="31" t="s">
        <v>794</v>
      </c>
      <c r="AW64" s="31" t="s">
        <v>794</v>
      </c>
      <c r="AX64" s="31" t="s">
        <v>794</v>
      </c>
      <c r="AY64" s="31" t="s">
        <v>794</v>
      </c>
      <c r="AZ64" s="31" t="s">
        <v>794</v>
      </c>
      <c r="BA64" s="31" t="s">
        <v>794</v>
      </c>
      <c r="BB64" s="31"/>
      <c r="BC64" s="31" t="s">
        <v>794</v>
      </c>
      <c r="BD64" s="31"/>
      <c r="BE64" s="31" t="s">
        <v>794</v>
      </c>
      <c r="BF64" s="31" t="s">
        <v>794</v>
      </c>
      <c r="BG64" s="31" t="s">
        <v>794</v>
      </c>
      <c r="BH64" s="31" t="s">
        <v>794</v>
      </c>
      <c r="BI64" s="31"/>
      <c r="BJ64" s="31" t="s">
        <v>794</v>
      </c>
      <c r="BK64" s="31" t="s">
        <v>794</v>
      </c>
      <c r="BL64" s="31" t="s">
        <v>794</v>
      </c>
      <c r="BM64" s="31" t="s">
        <v>794</v>
      </c>
      <c r="BN64" s="31" t="s">
        <v>794</v>
      </c>
      <c r="BO64" s="31"/>
      <c r="BP64" s="31"/>
      <c r="BQ64" s="31" t="s">
        <v>794</v>
      </c>
      <c r="BR64" s="31" t="s">
        <v>794</v>
      </c>
      <c r="BS64" s="31" t="s">
        <v>794</v>
      </c>
      <c r="BT64" s="31"/>
      <c r="BU64" s="31" t="s">
        <v>794</v>
      </c>
      <c r="BV64" s="31" t="s">
        <v>794</v>
      </c>
      <c r="BW64" s="31"/>
      <c r="BX64" s="31" t="s">
        <v>794</v>
      </c>
      <c r="BY64" s="31" t="s">
        <v>794</v>
      </c>
      <c r="BZ64" s="31" t="s">
        <v>794</v>
      </c>
      <c r="CA64" s="31" t="s">
        <v>794</v>
      </c>
      <c r="CB64" s="31" t="s">
        <v>794</v>
      </c>
      <c r="CC64" s="31" t="s">
        <v>794</v>
      </c>
      <c r="CD64" s="31"/>
      <c r="CE64" s="31" t="s">
        <v>794</v>
      </c>
      <c r="CF64" s="31" t="s">
        <v>794</v>
      </c>
      <c r="CG64" s="31" t="s">
        <v>794</v>
      </c>
      <c r="CH64" s="31" t="s">
        <v>794</v>
      </c>
      <c r="CI64" s="31"/>
      <c r="CJ64" s="31" t="s">
        <v>794</v>
      </c>
      <c r="CK64" s="31"/>
      <c r="CL64" s="31"/>
    </row>
    <row r="65" spans="1:90" s="50" customFormat="1" ht="18.5" x14ac:dyDescent="0.45">
      <c r="A65" s="77" t="s">
        <v>67</v>
      </c>
      <c r="B65" s="78"/>
      <c r="C65" s="78">
        <v>9857020336</v>
      </c>
      <c r="D65" s="77">
        <v>31701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23">
        <f t="shared" si="4"/>
        <v>31701</v>
      </c>
      <c r="W65" s="6"/>
      <c r="X65" s="23">
        <f t="shared" si="6"/>
        <v>31701</v>
      </c>
      <c r="Y65" s="31"/>
      <c r="Z65" s="31"/>
      <c r="AA65" s="31" t="s">
        <v>794</v>
      </c>
      <c r="AB65" s="31"/>
      <c r="AC65" s="31" t="s">
        <v>794</v>
      </c>
      <c r="AD65" s="31" t="s">
        <v>794</v>
      </c>
      <c r="AE65" s="31" t="s">
        <v>794</v>
      </c>
      <c r="AF65" s="31" t="s">
        <v>794</v>
      </c>
      <c r="AG65" s="31"/>
      <c r="AH65" s="31" t="s">
        <v>794</v>
      </c>
      <c r="AI65" s="31" t="s">
        <v>794</v>
      </c>
      <c r="AJ65" s="31" t="s">
        <v>794</v>
      </c>
      <c r="AK65" s="31" t="s">
        <v>794</v>
      </c>
      <c r="AL65" s="31" t="s">
        <v>794</v>
      </c>
      <c r="AM65" s="31" t="s">
        <v>794</v>
      </c>
      <c r="AN65" s="31"/>
      <c r="AO65" s="31" t="s">
        <v>794</v>
      </c>
      <c r="AP65" s="31" t="s">
        <v>794</v>
      </c>
      <c r="AQ65" s="31" t="s">
        <v>794</v>
      </c>
      <c r="AR65" s="31" t="s">
        <v>794</v>
      </c>
      <c r="AS65" s="31" t="s">
        <v>794</v>
      </c>
      <c r="AT65" s="31" t="s">
        <v>794</v>
      </c>
      <c r="AU65" s="31"/>
      <c r="AV65" s="31" t="s">
        <v>794</v>
      </c>
      <c r="AW65" s="31" t="s">
        <v>794</v>
      </c>
      <c r="AX65" s="31" t="s">
        <v>794</v>
      </c>
      <c r="AY65" s="31" t="s">
        <v>794</v>
      </c>
      <c r="AZ65" s="31" t="s">
        <v>794</v>
      </c>
      <c r="BA65" s="31" t="s">
        <v>794</v>
      </c>
      <c r="BB65" s="31"/>
      <c r="BC65" s="31" t="s">
        <v>794</v>
      </c>
      <c r="BD65" s="31"/>
      <c r="BE65" s="49" t="s">
        <v>794</v>
      </c>
      <c r="BF65" s="49" t="s">
        <v>794</v>
      </c>
      <c r="BG65" s="49" t="s">
        <v>794</v>
      </c>
      <c r="BH65" s="49" t="s">
        <v>794</v>
      </c>
      <c r="BI65" s="49"/>
      <c r="BJ65" s="49" t="s">
        <v>794</v>
      </c>
      <c r="BK65" s="49" t="s">
        <v>794</v>
      </c>
      <c r="BL65" s="49" t="s">
        <v>794</v>
      </c>
      <c r="BM65" s="49" t="s">
        <v>794</v>
      </c>
      <c r="BN65" s="49" t="s">
        <v>794</v>
      </c>
      <c r="BO65" s="49"/>
      <c r="BP65" s="49"/>
      <c r="BQ65" s="49" t="s">
        <v>794</v>
      </c>
      <c r="BR65" s="49" t="s">
        <v>794</v>
      </c>
      <c r="BS65" s="49" t="s">
        <v>794</v>
      </c>
      <c r="BT65" s="49"/>
      <c r="BU65" s="49" t="s">
        <v>794</v>
      </c>
      <c r="BV65" s="49" t="s">
        <v>794</v>
      </c>
      <c r="BW65" s="49"/>
      <c r="BX65" s="49" t="s">
        <v>794</v>
      </c>
      <c r="BY65" s="49" t="s">
        <v>794</v>
      </c>
      <c r="BZ65" s="49" t="s">
        <v>794</v>
      </c>
      <c r="CA65" s="49" t="s">
        <v>794</v>
      </c>
      <c r="CB65" s="49" t="s">
        <v>794</v>
      </c>
      <c r="CC65" s="49" t="s">
        <v>794</v>
      </c>
      <c r="CD65" s="49"/>
      <c r="CE65" s="49" t="s">
        <v>794</v>
      </c>
      <c r="CF65" s="49" t="s">
        <v>794</v>
      </c>
      <c r="CG65" s="49" t="s">
        <v>794</v>
      </c>
      <c r="CH65" s="49" t="s">
        <v>794</v>
      </c>
      <c r="CI65" s="49"/>
      <c r="CJ65" s="49" t="s">
        <v>794</v>
      </c>
      <c r="CK65" s="49"/>
      <c r="CL65" s="49"/>
    </row>
    <row r="66" spans="1:90" ht="18.5" x14ac:dyDescent="0.45">
      <c r="A66" s="77" t="s">
        <v>68</v>
      </c>
      <c r="B66" s="78"/>
      <c r="C66" s="78" t="s">
        <v>69</v>
      </c>
      <c r="D66" s="77">
        <v>4950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23">
        <f t="shared" si="4"/>
        <v>4950</v>
      </c>
      <c r="W66" s="6"/>
      <c r="X66" s="23">
        <f t="shared" si="6"/>
        <v>4950</v>
      </c>
      <c r="Y66" s="31"/>
      <c r="Z66" s="31"/>
      <c r="AA66" s="31"/>
      <c r="AB66" s="31"/>
      <c r="AC66" s="31"/>
      <c r="AD66" s="31"/>
      <c r="AE66" s="31"/>
      <c r="AF66" s="31" t="s">
        <v>794</v>
      </c>
      <c r="AG66" s="31"/>
      <c r="AH66" s="31" t="s">
        <v>794</v>
      </c>
      <c r="AI66" s="31" t="s">
        <v>794</v>
      </c>
      <c r="AJ66" s="31" t="s">
        <v>794</v>
      </c>
      <c r="AK66" s="31" t="s">
        <v>794</v>
      </c>
      <c r="AL66" s="31" t="s">
        <v>794</v>
      </c>
      <c r="AM66" s="31" t="s">
        <v>794</v>
      </c>
      <c r="AN66" s="31"/>
      <c r="AO66" s="31" t="s">
        <v>794</v>
      </c>
      <c r="AP66" s="31" t="s">
        <v>794</v>
      </c>
      <c r="AQ66" s="31" t="s">
        <v>794</v>
      </c>
      <c r="AR66" s="31" t="s">
        <v>794</v>
      </c>
      <c r="AS66" s="31" t="s">
        <v>794</v>
      </c>
      <c r="AT66" s="31" t="s">
        <v>794</v>
      </c>
      <c r="AU66" s="31"/>
      <c r="AV66" s="31" t="s">
        <v>794</v>
      </c>
      <c r="AW66" s="31" t="s">
        <v>794</v>
      </c>
      <c r="AX66" s="31" t="s">
        <v>794</v>
      </c>
      <c r="AY66" s="31" t="s">
        <v>794</v>
      </c>
      <c r="AZ66" s="31" t="s">
        <v>794</v>
      </c>
      <c r="BA66" s="31" t="s">
        <v>794</v>
      </c>
      <c r="BB66" s="31"/>
      <c r="BC66" s="31" t="s">
        <v>794</v>
      </c>
      <c r="BD66" s="31"/>
      <c r="BE66" s="31" t="s">
        <v>794</v>
      </c>
      <c r="BF66" s="31" t="s">
        <v>794</v>
      </c>
      <c r="BG66" s="31" t="s">
        <v>794</v>
      </c>
      <c r="BH66" s="31" t="s">
        <v>794</v>
      </c>
      <c r="BI66" s="31"/>
      <c r="BJ66" s="31" t="s">
        <v>794</v>
      </c>
      <c r="BK66" s="31" t="s">
        <v>794</v>
      </c>
      <c r="BL66" s="31" t="s">
        <v>794</v>
      </c>
      <c r="BM66" s="31" t="s">
        <v>794</v>
      </c>
      <c r="BN66" s="31" t="s">
        <v>794</v>
      </c>
      <c r="BO66" s="31"/>
      <c r="BP66" s="31"/>
      <c r="BQ66" s="31" t="s">
        <v>794</v>
      </c>
      <c r="BR66" s="31" t="s">
        <v>794</v>
      </c>
      <c r="BS66" s="31" t="s">
        <v>794</v>
      </c>
      <c r="BT66" s="31"/>
      <c r="BU66" s="31" t="s">
        <v>794</v>
      </c>
      <c r="BV66" s="31" t="s">
        <v>794</v>
      </c>
      <c r="BW66" s="31"/>
      <c r="BX66" s="31" t="s">
        <v>794</v>
      </c>
      <c r="BY66" s="31" t="s">
        <v>794</v>
      </c>
      <c r="BZ66" s="31" t="s">
        <v>794</v>
      </c>
      <c r="CA66" s="31" t="s">
        <v>794</v>
      </c>
      <c r="CB66" s="31" t="s">
        <v>794</v>
      </c>
      <c r="CC66" s="31" t="s">
        <v>794</v>
      </c>
      <c r="CD66" s="31"/>
      <c r="CE66" s="31" t="s">
        <v>794</v>
      </c>
      <c r="CF66" s="31" t="s">
        <v>794</v>
      </c>
      <c r="CG66" s="31" t="s">
        <v>794</v>
      </c>
      <c r="CH66" s="31" t="s">
        <v>794</v>
      </c>
      <c r="CI66" s="31"/>
      <c r="CJ66" s="31" t="s">
        <v>794</v>
      </c>
      <c r="CK66" s="31"/>
      <c r="CL66" s="31"/>
    </row>
    <row r="67" spans="1:90" ht="18.5" x14ac:dyDescent="0.45">
      <c r="A67" s="77" t="s">
        <v>70</v>
      </c>
      <c r="B67" s="78"/>
      <c r="C67" s="78" t="s">
        <v>71</v>
      </c>
      <c r="D67" s="77">
        <v>8500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23">
        <f t="shared" si="4"/>
        <v>8500</v>
      </c>
      <c r="W67" s="6"/>
      <c r="X67" s="23">
        <f t="shared" si="6"/>
        <v>8500</v>
      </c>
      <c r="Y67" s="31"/>
      <c r="Z67" s="31"/>
      <c r="AA67" s="31"/>
      <c r="AB67" s="31"/>
      <c r="AC67" s="31"/>
      <c r="AD67" s="31"/>
      <c r="AE67" s="31"/>
      <c r="AF67" s="31" t="s">
        <v>793</v>
      </c>
      <c r="AG67" s="31"/>
      <c r="AH67" s="31" t="s">
        <v>793</v>
      </c>
      <c r="AI67" s="31" t="s">
        <v>793</v>
      </c>
      <c r="AJ67" s="31" t="s">
        <v>793</v>
      </c>
      <c r="AK67" s="31" t="s">
        <v>793</v>
      </c>
      <c r="AL67" s="31" t="s">
        <v>793</v>
      </c>
      <c r="AM67" s="31" t="s">
        <v>793</v>
      </c>
      <c r="AN67" s="31"/>
      <c r="AO67" s="31" t="s">
        <v>793</v>
      </c>
      <c r="AP67" s="31" t="s">
        <v>793</v>
      </c>
      <c r="AQ67" s="31" t="s">
        <v>794</v>
      </c>
      <c r="AR67" s="31" t="s">
        <v>794</v>
      </c>
      <c r="AS67" s="31" t="s">
        <v>794</v>
      </c>
      <c r="AT67" s="31" t="s">
        <v>794</v>
      </c>
      <c r="AU67" s="31"/>
      <c r="AV67" s="31" t="s">
        <v>794</v>
      </c>
      <c r="AW67" s="31" t="s">
        <v>794</v>
      </c>
      <c r="AX67" s="31" t="s">
        <v>794</v>
      </c>
      <c r="AY67" s="31" t="s">
        <v>794</v>
      </c>
      <c r="AZ67" s="31" t="s">
        <v>794</v>
      </c>
      <c r="BA67" s="31" t="s">
        <v>794</v>
      </c>
      <c r="BB67" s="31"/>
      <c r="BC67" s="31" t="s">
        <v>794</v>
      </c>
      <c r="BD67" s="49"/>
      <c r="BE67" s="31" t="s">
        <v>794</v>
      </c>
      <c r="BF67" s="31" t="s">
        <v>794</v>
      </c>
      <c r="BG67" s="31" t="s">
        <v>794</v>
      </c>
      <c r="BH67" s="31" t="s">
        <v>794</v>
      </c>
      <c r="BI67" s="31"/>
      <c r="BJ67" s="31" t="s">
        <v>794</v>
      </c>
      <c r="BK67" s="31" t="s">
        <v>794</v>
      </c>
      <c r="BL67" s="31" t="s">
        <v>794</v>
      </c>
      <c r="BM67" s="31" t="s">
        <v>794</v>
      </c>
      <c r="BN67" s="31" t="s">
        <v>794</v>
      </c>
      <c r="BO67" s="31"/>
      <c r="BP67" s="31"/>
      <c r="BQ67" s="31" t="s">
        <v>794</v>
      </c>
      <c r="BR67" s="31" t="s">
        <v>794</v>
      </c>
      <c r="BS67" s="31" t="s">
        <v>794</v>
      </c>
      <c r="BT67" s="31"/>
      <c r="BU67" s="31" t="s">
        <v>794</v>
      </c>
      <c r="BV67" s="31" t="s">
        <v>794</v>
      </c>
      <c r="BW67" s="31"/>
      <c r="BX67" s="31" t="s">
        <v>794</v>
      </c>
      <c r="BY67" s="31" t="s">
        <v>794</v>
      </c>
      <c r="BZ67" s="31" t="s">
        <v>794</v>
      </c>
      <c r="CA67" s="31" t="s">
        <v>794</v>
      </c>
      <c r="CB67" s="31" t="s">
        <v>794</v>
      </c>
      <c r="CC67" s="31" t="s">
        <v>794</v>
      </c>
      <c r="CD67" s="31"/>
      <c r="CE67" s="31" t="s">
        <v>794</v>
      </c>
      <c r="CF67" s="31" t="s">
        <v>794</v>
      </c>
      <c r="CG67" s="31" t="s">
        <v>794</v>
      </c>
      <c r="CH67" s="31" t="s">
        <v>794</v>
      </c>
      <c r="CI67" s="31"/>
      <c r="CJ67" s="31" t="s">
        <v>794</v>
      </c>
      <c r="CK67" s="31"/>
      <c r="CL67" s="31"/>
    </row>
    <row r="68" spans="1:90" ht="18.5" x14ac:dyDescent="0.45">
      <c r="A68" s="77" t="s">
        <v>73</v>
      </c>
      <c r="B68" s="78"/>
      <c r="C68" s="78" t="s">
        <v>74</v>
      </c>
      <c r="D68" s="77">
        <v>25000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23">
        <f t="shared" si="4"/>
        <v>25000</v>
      </c>
      <c r="W68" s="6"/>
      <c r="X68" s="23">
        <f t="shared" si="6"/>
        <v>25000</v>
      </c>
      <c r="Y68" s="31"/>
      <c r="Z68" s="31"/>
      <c r="AA68" s="31"/>
      <c r="AB68" s="31"/>
      <c r="AC68" s="31"/>
      <c r="AD68" s="31"/>
      <c r="AE68" s="31"/>
      <c r="AF68" s="31" t="s">
        <v>794</v>
      </c>
      <c r="AG68" s="31"/>
      <c r="AH68" s="31" t="s">
        <v>794</v>
      </c>
      <c r="AI68" s="31" t="s">
        <v>794</v>
      </c>
      <c r="AJ68" s="31" t="s">
        <v>794</v>
      </c>
      <c r="AK68" s="31" t="s">
        <v>794</v>
      </c>
      <c r="AL68" s="31" t="s">
        <v>794</v>
      </c>
      <c r="AM68" s="31" t="s">
        <v>794</v>
      </c>
      <c r="AN68" s="31"/>
      <c r="AO68" s="31" t="s">
        <v>794</v>
      </c>
      <c r="AP68" s="31" t="s">
        <v>794</v>
      </c>
      <c r="AQ68" s="31" t="s">
        <v>794</v>
      </c>
      <c r="AR68" s="31" t="s">
        <v>794</v>
      </c>
      <c r="AS68" s="31" t="s">
        <v>794</v>
      </c>
      <c r="AT68" s="31" t="s">
        <v>794</v>
      </c>
      <c r="AU68" s="31"/>
      <c r="AV68" s="31" t="s">
        <v>794</v>
      </c>
      <c r="AW68" s="31" t="s">
        <v>794</v>
      </c>
      <c r="AX68" s="31" t="s">
        <v>794</v>
      </c>
      <c r="AY68" s="31" t="s">
        <v>794</v>
      </c>
      <c r="AZ68" s="31" t="s">
        <v>794</v>
      </c>
      <c r="BA68" s="31" t="s">
        <v>794</v>
      </c>
      <c r="BB68" s="31"/>
      <c r="BC68" s="31" t="s">
        <v>794</v>
      </c>
      <c r="BD68" s="31"/>
      <c r="BE68" s="31" t="s">
        <v>794</v>
      </c>
      <c r="BF68" s="31" t="s">
        <v>794</v>
      </c>
      <c r="BG68" s="31" t="s">
        <v>794</v>
      </c>
      <c r="BH68" s="31" t="s">
        <v>794</v>
      </c>
      <c r="BI68" s="31"/>
      <c r="BJ68" s="31" t="s">
        <v>794</v>
      </c>
      <c r="BK68" s="31" t="s">
        <v>794</v>
      </c>
      <c r="BL68" s="31" t="s">
        <v>794</v>
      </c>
      <c r="BM68" s="31" t="s">
        <v>794</v>
      </c>
      <c r="BN68" s="31" t="s">
        <v>794</v>
      </c>
      <c r="BO68" s="31"/>
      <c r="BP68" s="31"/>
      <c r="BQ68" s="31" t="s">
        <v>794</v>
      </c>
      <c r="BR68" s="31" t="s">
        <v>794</v>
      </c>
      <c r="BS68" s="31" t="s">
        <v>794</v>
      </c>
      <c r="BT68" s="31"/>
      <c r="BU68" s="31" t="s">
        <v>794</v>
      </c>
      <c r="BV68" s="31" t="s">
        <v>794</v>
      </c>
      <c r="BW68" s="31"/>
      <c r="BX68" s="31" t="s">
        <v>794</v>
      </c>
      <c r="BY68" s="31" t="s">
        <v>794</v>
      </c>
      <c r="BZ68" s="31" t="s">
        <v>794</v>
      </c>
      <c r="CA68" s="31" t="s">
        <v>794</v>
      </c>
      <c r="CB68" s="31" t="s">
        <v>794</v>
      </c>
      <c r="CC68" s="31" t="s">
        <v>794</v>
      </c>
      <c r="CD68" s="31"/>
      <c r="CE68" s="31" t="s">
        <v>794</v>
      </c>
      <c r="CF68" s="31" t="s">
        <v>794</v>
      </c>
      <c r="CG68" s="31" t="s">
        <v>794</v>
      </c>
      <c r="CH68" s="31" t="s">
        <v>794</v>
      </c>
      <c r="CI68" s="31"/>
      <c r="CJ68" s="31" t="s">
        <v>794</v>
      </c>
      <c r="CK68" s="31"/>
      <c r="CL68" s="31"/>
    </row>
    <row r="69" spans="1:90" x14ac:dyDescent="0.35">
      <c r="A69" s="2" t="s">
        <v>75</v>
      </c>
      <c r="B69" s="3"/>
      <c r="C69" s="3" t="s">
        <v>76</v>
      </c>
      <c r="D69" s="6">
        <v>4000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23">
        <f t="shared" si="4"/>
        <v>4000</v>
      </c>
      <c r="W69" s="6"/>
      <c r="X69" s="23">
        <f t="shared" si="6"/>
        <v>4000</v>
      </c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 t="s">
        <v>794</v>
      </c>
      <c r="AR69" s="31" t="s">
        <v>794</v>
      </c>
      <c r="AS69" s="31" t="s">
        <v>794</v>
      </c>
      <c r="AT69" s="31" t="s">
        <v>794</v>
      </c>
      <c r="AU69" s="31"/>
      <c r="AV69" s="31" t="s">
        <v>794</v>
      </c>
      <c r="AW69" s="31" t="s">
        <v>794</v>
      </c>
      <c r="AX69" s="31" t="s">
        <v>794</v>
      </c>
      <c r="AY69" s="31" t="s">
        <v>794</v>
      </c>
      <c r="AZ69" s="31" t="s">
        <v>794</v>
      </c>
      <c r="BA69" s="31" t="s">
        <v>794</v>
      </c>
      <c r="BB69" s="31"/>
      <c r="BC69" s="31" t="s">
        <v>794</v>
      </c>
      <c r="BD69" s="31"/>
      <c r="BE69" s="31" t="s">
        <v>794</v>
      </c>
      <c r="BF69" s="31" t="s">
        <v>794</v>
      </c>
      <c r="BG69" s="31" t="s">
        <v>794</v>
      </c>
      <c r="BH69" s="31" t="s">
        <v>794</v>
      </c>
      <c r="BI69" s="31"/>
      <c r="BJ69" s="31" t="s">
        <v>794</v>
      </c>
      <c r="BK69" s="31" t="s">
        <v>794</v>
      </c>
      <c r="BL69" s="31" t="s">
        <v>794</v>
      </c>
      <c r="BM69" s="31" t="s">
        <v>794</v>
      </c>
      <c r="BN69" s="31" t="s">
        <v>794</v>
      </c>
      <c r="BO69" s="31"/>
      <c r="BP69" s="31"/>
      <c r="BQ69" s="31" t="s">
        <v>794</v>
      </c>
      <c r="BR69" s="31" t="s">
        <v>794</v>
      </c>
      <c r="BS69" s="31" t="s">
        <v>794</v>
      </c>
      <c r="BT69" s="31"/>
      <c r="BU69" s="31" t="s">
        <v>794</v>
      </c>
      <c r="BV69" s="31" t="s">
        <v>794</v>
      </c>
      <c r="BW69" s="31"/>
      <c r="BX69" s="31" t="s">
        <v>794</v>
      </c>
      <c r="BY69" s="31" t="s">
        <v>794</v>
      </c>
      <c r="BZ69" s="31" t="s">
        <v>794</v>
      </c>
      <c r="CA69" s="31" t="s">
        <v>794</v>
      </c>
      <c r="CB69" s="31" t="s">
        <v>794</v>
      </c>
      <c r="CC69" s="31" t="s">
        <v>794</v>
      </c>
      <c r="CD69" s="31"/>
      <c r="CE69" s="31" t="s">
        <v>794</v>
      </c>
      <c r="CF69" s="31" t="s">
        <v>794</v>
      </c>
      <c r="CG69" s="31" t="s">
        <v>794</v>
      </c>
      <c r="CH69" s="31" t="s">
        <v>794</v>
      </c>
      <c r="CI69" s="31"/>
      <c r="CJ69" s="31" t="s">
        <v>794</v>
      </c>
      <c r="CK69" s="31"/>
      <c r="CL69" s="31"/>
    </row>
    <row r="70" spans="1:90" ht="18.5" x14ac:dyDescent="0.45">
      <c r="A70" s="77" t="s">
        <v>1038</v>
      </c>
      <c r="B70" s="78"/>
      <c r="C70" s="78">
        <v>9847478287</v>
      </c>
      <c r="D70" s="77">
        <v>10000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23">
        <f t="shared" si="4"/>
        <v>10000</v>
      </c>
      <c r="W70" s="6"/>
      <c r="X70" s="23">
        <f t="shared" si="6"/>
        <v>10000</v>
      </c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</row>
    <row r="71" spans="1:90" x14ac:dyDescent="0.35">
      <c r="A71" s="2" t="s">
        <v>77</v>
      </c>
      <c r="B71" s="3"/>
      <c r="C71" s="3" t="s">
        <v>78</v>
      </c>
      <c r="D71" s="6">
        <v>1000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23">
        <f t="shared" ref="V71:V133" si="7">SUM(D71:U71)</f>
        <v>1000</v>
      </c>
      <c r="W71" s="6"/>
      <c r="X71" s="23">
        <f t="shared" si="6"/>
        <v>1000</v>
      </c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 t="s">
        <v>794</v>
      </c>
      <c r="AR71" s="31" t="s">
        <v>794</v>
      </c>
      <c r="AS71" s="31" t="s">
        <v>794</v>
      </c>
      <c r="AT71" s="31" t="s">
        <v>794</v>
      </c>
      <c r="AU71" s="31"/>
      <c r="AV71" s="31" t="s">
        <v>794</v>
      </c>
      <c r="AW71" s="31" t="s">
        <v>794</v>
      </c>
      <c r="AX71" s="31" t="s">
        <v>794</v>
      </c>
      <c r="AY71" s="31" t="s">
        <v>794</v>
      </c>
      <c r="AZ71" s="31" t="s">
        <v>794</v>
      </c>
      <c r="BA71" s="31" t="s">
        <v>794</v>
      </c>
      <c r="BB71" s="31"/>
      <c r="BC71" s="31" t="s">
        <v>794</v>
      </c>
      <c r="BD71" s="31"/>
      <c r="BE71" s="31" t="s">
        <v>794</v>
      </c>
      <c r="BF71" s="31" t="s">
        <v>794</v>
      </c>
      <c r="BG71" s="31" t="s">
        <v>794</v>
      </c>
      <c r="BH71" s="31" t="s">
        <v>794</v>
      </c>
      <c r="BI71" s="31"/>
      <c r="BJ71" s="31" t="s">
        <v>794</v>
      </c>
      <c r="BK71" s="31" t="s">
        <v>794</v>
      </c>
      <c r="BL71" s="31" t="s">
        <v>794</v>
      </c>
      <c r="BM71" s="31" t="s">
        <v>794</v>
      </c>
      <c r="BN71" s="31" t="s">
        <v>794</v>
      </c>
      <c r="BO71" s="31"/>
      <c r="BP71" s="31"/>
      <c r="BQ71" s="31" t="s">
        <v>794</v>
      </c>
      <c r="BR71" s="31" t="s">
        <v>794</v>
      </c>
      <c r="BS71" s="31" t="s">
        <v>794</v>
      </c>
      <c r="BT71" s="31"/>
      <c r="BU71" s="31" t="s">
        <v>794</v>
      </c>
      <c r="BV71" s="31" t="s">
        <v>794</v>
      </c>
      <c r="BW71" s="31"/>
      <c r="BX71" s="31" t="s">
        <v>794</v>
      </c>
      <c r="BY71" s="31" t="s">
        <v>794</v>
      </c>
      <c r="BZ71" s="31" t="s">
        <v>794</v>
      </c>
      <c r="CA71" s="31" t="s">
        <v>794</v>
      </c>
      <c r="CB71" s="31" t="s">
        <v>794</v>
      </c>
      <c r="CC71" s="31" t="s">
        <v>794</v>
      </c>
      <c r="CD71" s="31"/>
      <c r="CE71" s="31" t="s">
        <v>794</v>
      </c>
      <c r="CF71" s="31" t="s">
        <v>794</v>
      </c>
      <c r="CG71" s="31" t="s">
        <v>794</v>
      </c>
      <c r="CH71" s="31" t="s">
        <v>794</v>
      </c>
      <c r="CI71" s="31"/>
      <c r="CJ71" s="31" t="s">
        <v>794</v>
      </c>
      <c r="CK71" s="31"/>
      <c r="CL71" s="31"/>
    </row>
    <row r="72" spans="1:90" ht="15.5" x14ac:dyDescent="0.35">
      <c r="A72" s="98" t="s">
        <v>81</v>
      </c>
      <c r="B72" s="99"/>
      <c r="C72" s="99">
        <v>9847199175</v>
      </c>
      <c r="D72" s="98">
        <v>5000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23">
        <f t="shared" si="7"/>
        <v>5000</v>
      </c>
      <c r="W72" s="6"/>
      <c r="X72" s="23">
        <f t="shared" si="6"/>
        <v>5000</v>
      </c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 t="s">
        <v>794</v>
      </c>
      <c r="AR72" s="31" t="s">
        <v>794</v>
      </c>
      <c r="AS72" s="31" t="s">
        <v>794</v>
      </c>
      <c r="AT72" s="31" t="s">
        <v>794</v>
      </c>
      <c r="AU72" s="31"/>
      <c r="AV72" s="31" t="s">
        <v>794</v>
      </c>
      <c r="AW72" s="31" t="s">
        <v>794</v>
      </c>
      <c r="AX72" s="31" t="s">
        <v>794</v>
      </c>
      <c r="AY72" s="31" t="s">
        <v>794</v>
      </c>
      <c r="AZ72" s="31" t="s">
        <v>794</v>
      </c>
      <c r="BA72" s="31" t="s">
        <v>794</v>
      </c>
      <c r="BB72" s="31"/>
      <c r="BC72" s="31" t="s">
        <v>794</v>
      </c>
      <c r="BD72" s="31"/>
      <c r="BE72" s="31" t="s">
        <v>794</v>
      </c>
      <c r="BF72" s="31" t="s">
        <v>794</v>
      </c>
      <c r="BG72" s="31" t="s">
        <v>794</v>
      </c>
      <c r="BH72" s="31" t="s">
        <v>794</v>
      </c>
      <c r="BI72" s="31"/>
      <c r="BJ72" s="31" t="s">
        <v>794</v>
      </c>
      <c r="BK72" s="31" t="s">
        <v>794</v>
      </c>
      <c r="BL72" s="31" t="s">
        <v>794</v>
      </c>
      <c r="BM72" s="31" t="s">
        <v>794</v>
      </c>
      <c r="BN72" s="31" t="s">
        <v>794</v>
      </c>
      <c r="BO72" s="31"/>
      <c r="BP72" s="31"/>
      <c r="BQ72" s="31" t="s">
        <v>794</v>
      </c>
      <c r="BR72" s="31" t="s">
        <v>794</v>
      </c>
      <c r="BS72" s="31" t="s">
        <v>794</v>
      </c>
      <c r="BT72" s="31"/>
      <c r="BU72" s="31" t="s">
        <v>794</v>
      </c>
      <c r="BV72" s="31" t="s">
        <v>794</v>
      </c>
      <c r="BW72" s="31"/>
      <c r="BX72" s="31" t="s">
        <v>794</v>
      </c>
      <c r="BY72" s="31" t="s">
        <v>794</v>
      </c>
      <c r="BZ72" s="31" t="s">
        <v>794</v>
      </c>
      <c r="CA72" s="31" t="s">
        <v>794</v>
      </c>
      <c r="CB72" s="31" t="s">
        <v>794</v>
      </c>
      <c r="CC72" s="31" t="s">
        <v>794</v>
      </c>
      <c r="CD72" s="31"/>
      <c r="CE72" s="31" t="s">
        <v>794</v>
      </c>
      <c r="CF72" s="31" t="s">
        <v>794</v>
      </c>
      <c r="CG72" s="31" t="s">
        <v>794</v>
      </c>
      <c r="CH72" s="31" t="s">
        <v>794</v>
      </c>
      <c r="CI72" s="31"/>
      <c r="CJ72" s="31" t="s">
        <v>794</v>
      </c>
      <c r="CK72" s="31"/>
      <c r="CL72" s="31"/>
    </row>
    <row r="73" spans="1:90" x14ac:dyDescent="0.35">
      <c r="A73" s="2" t="s">
        <v>832</v>
      </c>
      <c r="B73" s="3"/>
      <c r="C73" s="3" t="s">
        <v>82</v>
      </c>
      <c r="D73" s="8">
        <v>9011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23">
        <f t="shared" si="7"/>
        <v>9011</v>
      </c>
      <c r="W73" s="6"/>
      <c r="X73" s="23">
        <f t="shared" si="6"/>
        <v>9011</v>
      </c>
      <c r="Y73" s="14"/>
      <c r="Z73" s="14"/>
      <c r="AA73" s="14"/>
      <c r="AB73" s="14"/>
      <c r="AC73" s="14"/>
      <c r="AD73" s="14"/>
      <c r="AE73" s="14"/>
      <c r="AF73" s="14" t="s">
        <v>794</v>
      </c>
      <c r="AG73" s="14"/>
      <c r="AH73" s="14" t="s">
        <v>794</v>
      </c>
      <c r="AI73" s="14" t="s">
        <v>794</v>
      </c>
      <c r="AJ73" s="14" t="s">
        <v>794</v>
      </c>
      <c r="AK73" s="14" t="s">
        <v>794</v>
      </c>
      <c r="AL73" s="14" t="s">
        <v>794</v>
      </c>
      <c r="AM73" s="14" t="s">
        <v>794</v>
      </c>
      <c r="AN73" s="31"/>
      <c r="AO73" s="14" t="s">
        <v>794</v>
      </c>
      <c r="AP73" s="14" t="s">
        <v>794</v>
      </c>
      <c r="AQ73" s="31" t="s">
        <v>791</v>
      </c>
      <c r="AR73" s="31" t="s">
        <v>791</v>
      </c>
      <c r="AS73" s="31" t="s">
        <v>791</v>
      </c>
      <c r="AT73" s="31" t="s">
        <v>791</v>
      </c>
      <c r="AU73" s="31"/>
      <c r="AV73" s="31" t="s">
        <v>791</v>
      </c>
      <c r="AW73" s="31" t="s">
        <v>791</v>
      </c>
      <c r="AX73" s="31" t="s">
        <v>791</v>
      </c>
      <c r="AY73" s="31" t="s">
        <v>791</v>
      </c>
      <c r="AZ73" s="31" t="s">
        <v>791</v>
      </c>
      <c r="BA73" s="31" t="s">
        <v>791</v>
      </c>
      <c r="BB73" s="31"/>
      <c r="BC73" s="31" t="s">
        <v>791</v>
      </c>
      <c r="BD73" s="31"/>
      <c r="BE73" s="31" t="s">
        <v>794</v>
      </c>
      <c r="BF73" s="31" t="s">
        <v>794</v>
      </c>
      <c r="BG73" s="31" t="s">
        <v>794</v>
      </c>
      <c r="BH73" s="31" t="s">
        <v>794</v>
      </c>
      <c r="BI73" s="31"/>
      <c r="BJ73" s="31" t="s">
        <v>794</v>
      </c>
      <c r="BK73" s="31" t="s">
        <v>794</v>
      </c>
      <c r="BL73" s="31" t="s">
        <v>794</v>
      </c>
      <c r="BM73" s="31" t="s">
        <v>794</v>
      </c>
      <c r="BN73" s="31" t="s">
        <v>794</v>
      </c>
      <c r="BO73" s="31"/>
      <c r="BP73" s="31"/>
      <c r="BQ73" s="31" t="s">
        <v>794</v>
      </c>
      <c r="BR73" s="31" t="s">
        <v>794</v>
      </c>
      <c r="BS73" s="31" t="s">
        <v>794</v>
      </c>
      <c r="BT73" s="31"/>
      <c r="BU73" s="31" t="s">
        <v>794</v>
      </c>
      <c r="BV73" s="31" t="s">
        <v>794</v>
      </c>
      <c r="BW73" s="31"/>
      <c r="BX73" s="31" t="s">
        <v>794</v>
      </c>
      <c r="BY73" s="31" t="s">
        <v>794</v>
      </c>
      <c r="BZ73" s="31" t="s">
        <v>794</v>
      </c>
      <c r="CA73" s="31" t="s">
        <v>794</v>
      </c>
      <c r="CB73" s="31" t="s">
        <v>794</v>
      </c>
      <c r="CC73" s="31" t="s">
        <v>794</v>
      </c>
      <c r="CD73" s="31"/>
      <c r="CE73" s="31" t="s">
        <v>794</v>
      </c>
      <c r="CF73" s="31" t="s">
        <v>794</v>
      </c>
      <c r="CG73" s="31" t="s">
        <v>794</v>
      </c>
      <c r="CH73" s="31" t="s">
        <v>794</v>
      </c>
      <c r="CI73" s="31"/>
      <c r="CJ73" s="31" t="s">
        <v>794</v>
      </c>
      <c r="CK73" s="31"/>
      <c r="CL73" s="31"/>
    </row>
    <row r="74" spans="1:90" x14ac:dyDescent="0.35">
      <c r="A74" s="36" t="s">
        <v>800</v>
      </c>
      <c r="B74" s="5"/>
      <c r="C74" s="48" t="s">
        <v>83</v>
      </c>
      <c r="D74" s="36">
        <v>144000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23">
        <f t="shared" si="7"/>
        <v>144000</v>
      </c>
      <c r="W74" s="36"/>
      <c r="X74" s="36">
        <f t="shared" si="6"/>
        <v>144000</v>
      </c>
      <c r="Y74" s="31"/>
      <c r="Z74" s="31"/>
      <c r="AA74" s="31" t="s">
        <v>793</v>
      </c>
      <c r="AB74" s="31"/>
      <c r="AC74" s="31" t="s">
        <v>793</v>
      </c>
      <c r="AD74" s="31" t="s">
        <v>793</v>
      </c>
      <c r="AE74" s="31" t="s">
        <v>793</v>
      </c>
      <c r="AF74" s="31" t="s">
        <v>793</v>
      </c>
      <c r="AG74" s="31"/>
      <c r="AH74" s="31" t="s">
        <v>793</v>
      </c>
      <c r="AI74" s="31" t="s">
        <v>793</v>
      </c>
      <c r="AJ74" s="31" t="s">
        <v>793</v>
      </c>
      <c r="AK74" s="31" t="s">
        <v>793</v>
      </c>
      <c r="AL74" s="31" t="s">
        <v>793</v>
      </c>
      <c r="AM74" s="31" t="s">
        <v>793</v>
      </c>
      <c r="AN74" s="31"/>
      <c r="AO74" s="31" t="s">
        <v>793</v>
      </c>
      <c r="AP74" s="31" t="s">
        <v>793</v>
      </c>
      <c r="AQ74" s="31" t="s">
        <v>793</v>
      </c>
      <c r="AR74" s="31" t="s">
        <v>793</v>
      </c>
      <c r="AS74" s="31" t="s">
        <v>793</v>
      </c>
      <c r="AT74" s="31" t="s">
        <v>793</v>
      </c>
      <c r="AU74" s="31"/>
      <c r="AV74" s="31" t="s">
        <v>793</v>
      </c>
      <c r="AW74" s="31" t="s">
        <v>793</v>
      </c>
      <c r="AX74" s="31" t="s">
        <v>793</v>
      </c>
      <c r="AY74" s="31" t="s">
        <v>793</v>
      </c>
      <c r="AZ74" s="31" t="s">
        <v>793</v>
      </c>
      <c r="BA74" s="31" t="s">
        <v>793</v>
      </c>
      <c r="BB74" s="31"/>
      <c r="BC74" s="31" t="s">
        <v>793</v>
      </c>
      <c r="BD74" s="31"/>
      <c r="BE74" s="31" t="s">
        <v>793</v>
      </c>
      <c r="BF74" s="31" t="s">
        <v>793</v>
      </c>
      <c r="BG74" s="31" t="s">
        <v>793</v>
      </c>
      <c r="BH74" s="31" t="s">
        <v>793</v>
      </c>
      <c r="BI74" s="31"/>
      <c r="BJ74" s="31" t="s">
        <v>793</v>
      </c>
      <c r="BK74" s="31" t="s">
        <v>793</v>
      </c>
      <c r="BL74" s="31" t="s">
        <v>793</v>
      </c>
      <c r="BM74" s="31" t="s">
        <v>793</v>
      </c>
      <c r="BN74" s="31" t="s">
        <v>793</v>
      </c>
      <c r="BO74" s="31"/>
      <c r="BP74" s="31"/>
      <c r="BQ74" s="31" t="s">
        <v>793</v>
      </c>
      <c r="BR74" s="31" t="s">
        <v>793</v>
      </c>
      <c r="BS74" s="31" t="s">
        <v>793</v>
      </c>
      <c r="BT74" s="31"/>
      <c r="BU74" s="31" t="s">
        <v>793</v>
      </c>
      <c r="BV74" s="31" t="s">
        <v>793</v>
      </c>
      <c r="BW74" s="31"/>
      <c r="BX74" s="31" t="s">
        <v>793</v>
      </c>
      <c r="BY74" s="31" t="s">
        <v>793</v>
      </c>
      <c r="BZ74" s="31" t="s">
        <v>793</v>
      </c>
      <c r="CA74" s="31" t="s">
        <v>793</v>
      </c>
      <c r="CB74" s="31" t="s">
        <v>793</v>
      </c>
      <c r="CC74" s="31" t="s">
        <v>793</v>
      </c>
      <c r="CD74" s="31"/>
      <c r="CE74" s="31" t="s">
        <v>793</v>
      </c>
      <c r="CF74" s="31" t="s">
        <v>793</v>
      </c>
      <c r="CG74" s="31" t="s">
        <v>793</v>
      </c>
      <c r="CH74" s="31" t="s">
        <v>793</v>
      </c>
      <c r="CI74" s="31"/>
      <c r="CJ74" s="31" t="s">
        <v>793</v>
      </c>
      <c r="CK74" s="31"/>
      <c r="CL74" s="31"/>
    </row>
    <row r="75" spans="1:90" x14ac:dyDescent="0.35">
      <c r="A75" s="2" t="s">
        <v>84</v>
      </c>
      <c r="B75" s="3"/>
      <c r="C75" s="3">
        <v>9857032137</v>
      </c>
      <c r="D75" s="6">
        <v>19000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23">
        <f t="shared" si="7"/>
        <v>19000</v>
      </c>
      <c r="W75" s="6"/>
      <c r="X75" s="23">
        <f t="shared" si="6"/>
        <v>19000</v>
      </c>
      <c r="Y75" s="31"/>
      <c r="Z75" s="31"/>
      <c r="AA75" s="31"/>
      <c r="AB75" s="31"/>
      <c r="AC75" s="31"/>
      <c r="AD75" s="31"/>
      <c r="AE75" s="31"/>
      <c r="AF75" s="31" t="s">
        <v>794</v>
      </c>
      <c r="AG75" s="31"/>
      <c r="AH75" s="31" t="s">
        <v>794</v>
      </c>
      <c r="AI75" s="31" t="s">
        <v>794</v>
      </c>
      <c r="AJ75" s="31" t="s">
        <v>794</v>
      </c>
      <c r="AK75" s="31" t="s">
        <v>794</v>
      </c>
      <c r="AL75" s="31" t="s">
        <v>794</v>
      </c>
      <c r="AM75" s="31" t="s">
        <v>794</v>
      </c>
      <c r="AN75" s="31"/>
      <c r="AO75" s="31" t="s">
        <v>794</v>
      </c>
      <c r="AP75" s="31" t="s">
        <v>794</v>
      </c>
      <c r="AQ75" s="31" t="s">
        <v>794</v>
      </c>
      <c r="AR75" s="31" t="s">
        <v>794</v>
      </c>
      <c r="AS75" s="31" t="s">
        <v>794</v>
      </c>
      <c r="AT75" s="31" t="s">
        <v>794</v>
      </c>
      <c r="AU75" s="31"/>
      <c r="AV75" s="31" t="s">
        <v>794</v>
      </c>
      <c r="AW75" s="31" t="s">
        <v>794</v>
      </c>
      <c r="AX75" s="31" t="s">
        <v>794</v>
      </c>
      <c r="AY75" s="31" t="s">
        <v>794</v>
      </c>
      <c r="AZ75" s="31" t="s">
        <v>794</v>
      </c>
      <c r="BA75" s="31" t="s">
        <v>794</v>
      </c>
      <c r="BB75" s="31"/>
      <c r="BC75" s="31" t="s">
        <v>794</v>
      </c>
      <c r="BD75" s="31"/>
      <c r="BE75" s="31" t="s">
        <v>794</v>
      </c>
      <c r="BF75" s="31" t="s">
        <v>794</v>
      </c>
      <c r="BG75" s="31" t="s">
        <v>794</v>
      </c>
      <c r="BH75" s="31" t="s">
        <v>794</v>
      </c>
      <c r="BI75" s="31"/>
      <c r="BJ75" s="31" t="s">
        <v>794</v>
      </c>
      <c r="BK75" s="31" t="s">
        <v>794</v>
      </c>
      <c r="BL75" s="31" t="s">
        <v>794</v>
      </c>
      <c r="BM75" s="31" t="s">
        <v>794</v>
      </c>
      <c r="BN75" s="31" t="s">
        <v>794</v>
      </c>
      <c r="BO75" s="31"/>
      <c r="BP75" s="31"/>
      <c r="BQ75" s="31" t="s">
        <v>794</v>
      </c>
      <c r="BR75" s="31" t="s">
        <v>794</v>
      </c>
      <c r="BS75" s="31" t="s">
        <v>794</v>
      </c>
      <c r="BT75" s="31"/>
      <c r="BU75" s="31" t="s">
        <v>794</v>
      </c>
      <c r="BV75" s="31" t="s">
        <v>794</v>
      </c>
      <c r="BW75" s="31"/>
      <c r="BX75" s="31" t="s">
        <v>794</v>
      </c>
      <c r="BY75" s="31" t="s">
        <v>794</v>
      </c>
      <c r="BZ75" s="31" t="s">
        <v>794</v>
      </c>
      <c r="CA75" s="31" t="s">
        <v>794</v>
      </c>
      <c r="CB75" s="31" t="s">
        <v>794</v>
      </c>
      <c r="CC75" s="31" t="s">
        <v>794</v>
      </c>
      <c r="CD75" s="31"/>
      <c r="CE75" s="31" t="s">
        <v>794</v>
      </c>
      <c r="CF75" s="31" t="s">
        <v>794</v>
      </c>
      <c r="CG75" s="31" t="s">
        <v>794</v>
      </c>
      <c r="CH75" s="31" t="s">
        <v>794</v>
      </c>
      <c r="CI75" s="31"/>
      <c r="CJ75" s="31" t="s">
        <v>794</v>
      </c>
      <c r="CK75" s="31"/>
      <c r="CL75" s="31"/>
    </row>
    <row r="76" spans="1:90" ht="18.5" x14ac:dyDescent="0.45">
      <c r="A76" s="77" t="s">
        <v>86</v>
      </c>
      <c r="B76" s="78"/>
      <c r="C76" s="78">
        <v>9851197966</v>
      </c>
      <c r="D76" s="77">
        <v>18055.29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23">
        <f t="shared" si="7"/>
        <v>18055.29</v>
      </c>
      <c r="W76" s="6"/>
      <c r="X76" s="23">
        <f t="shared" ref="X76:X106" si="8">V76-W76</f>
        <v>18055.29</v>
      </c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 t="s">
        <v>794</v>
      </c>
      <c r="AR76" s="31" t="s">
        <v>794</v>
      </c>
      <c r="AS76" s="31" t="s">
        <v>794</v>
      </c>
      <c r="AT76" s="31" t="s">
        <v>794</v>
      </c>
      <c r="AU76" s="31"/>
      <c r="AV76" s="31" t="s">
        <v>794</v>
      </c>
      <c r="AW76" s="31" t="s">
        <v>794</v>
      </c>
      <c r="AX76" s="31" t="s">
        <v>794</v>
      </c>
      <c r="AY76" s="31" t="s">
        <v>794</v>
      </c>
      <c r="AZ76" s="31" t="s">
        <v>794</v>
      </c>
      <c r="BA76" s="31" t="s">
        <v>794</v>
      </c>
      <c r="BB76" s="31"/>
      <c r="BC76" s="31" t="s">
        <v>794</v>
      </c>
      <c r="BD76" s="31"/>
      <c r="BE76" s="31" t="s">
        <v>794</v>
      </c>
      <c r="BF76" s="31" t="s">
        <v>794</v>
      </c>
      <c r="BG76" s="31" t="s">
        <v>794</v>
      </c>
      <c r="BH76" s="31" t="s">
        <v>794</v>
      </c>
      <c r="BI76" s="31"/>
      <c r="BJ76" s="31" t="s">
        <v>794</v>
      </c>
      <c r="BK76" s="31" t="s">
        <v>794</v>
      </c>
      <c r="BL76" s="31" t="s">
        <v>794</v>
      </c>
      <c r="BM76" s="31" t="s">
        <v>794</v>
      </c>
      <c r="BN76" s="31" t="s">
        <v>794</v>
      </c>
      <c r="BO76" s="31"/>
      <c r="BP76" s="31"/>
      <c r="BQ76" s="31" t="s">
        <v>794</v>
      </c>
      <c r="BR76" s="31" t="s">
        <v>794</v>
      </c>
      <c r="BS76" s="31" t="s">
        <v>794</v>
      </c>
      <c r="BT76" s="31"/>
      <c r="BU76" s="31" t="s">
        <v>794</v>
      </c>
      <c r="BV76" s="31" t="s">
        <v>794</v>
      </c>
      <c r="BW76" s="31"/>
      <c r="BX76" s="31" t="s">
        <v>794</v>
      </c>
      <c r="BY76" s="31" t="s">
        <v>794</v>
      </c>
      <c r="BZ76" s="31" t="s">
        <v>794</v>
      </c>
      <c r="CA76" s="31" t="s">
        <v>794</v>
      </c>
      <c r="CB76" s="31" t="s">
        <v>794</v>
      </c>
      <c r="CC76" s="31" t="s">
        <v>794</v>
      </c>
      <c r="CD76" s="31"/>
      <c r="CE76" s="31" t="s">
        <v>794</v>
      </c>
      <c r="CF76" s="31" t="s">
        <v>794</v>
      </c>
      <c r="CG76" s="31" t="s">
        <v>794</v>
      </c>
      <c r="CH76" s="31" t="s">
        <v>794</v>
      </c>
      <c r="CI76" s="31"/>
      <c r="CJ76" s="31" t="s">
        <v>794</v>
      </c>
      <c r="CK76" s="31"/>
      <c r="CL76" s="31"/>
    </row>
    <row r="77" spans="1:90" s="50" customFormat="1" ht="18.5" x14ac:dyDescent="0.45">
      <c r="A77" s="83" t="s">
        <v>87</v>
      </c>
      <c r="B77" s="84"/>
      <c r="C77" s="84" t="s">
        <v>88</v>
      </c>
      <c r="D77" s="83">
        <v>130000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23">
        <f t="shared" si="7"/>
        <v>130000</v>
      </c>
      <c r="W77" s="36"/>
      <c r="X77" s="36">
        <f t="shared" si="8"/>
        <v>130000</v>
      </c>
      <c r="Y77" s="31"/>
      <c r="Z77" s="31"/>
      <c r="AA77" s="31" t="s">
        <v>793</v>
      </c>
      <c r="AB77" s="31"/>
      <c r="AC77" s="31" t="s">
        <v>793</v>
      </c>
      <c r="AD77" s="31" t="s">
        <v>793</v>
      </c>
      <c r="AE77" s="31" t="s">
        <v>793</v>
      </c>
      <c r="AF77" s="31" t="s">
        <v>793</v>
      </c>
      <c r="AG77" s="31"/>
      <c r="AH77" s="31" t="s">
        <v>793</v>
      </c>
      <c r="AI77" s="31" t="s">
        <v>793</v>
      </c>
      <c r="AJ77" s="31" t="s">
        <v>793</v>
      </c>
      <c r="AK77" s="31" t="s">
        <v>793</v>
      </c>
      <c r="AL77" s="31" t="s">
        <v>793</v>
      </c>
      <c r="AM77" s="31" t="s">
        <v>793</v>
      </c>
      <c r="AN77" s="31"/>
      <c r="AO77" s="31" t="s">
        <v>793</v>
      </c>
      <c r="AP77" s="31" t="s">
        <v>793</v>
      </c>
      <c r="AQ77" s="31" t="s">
        <v>793</v>
      </c>
      <c r="AR77" s="31" t="s">
        <v>793</v>
      </c>
      <c r="AS77" s="31" t="s">
        <v>793</v>
      </c>
      <c r="AT77" s="31" t="s">
        <v>793</v>
      </c>
      <c r="AU77" s="31"/>
      <c r="AV77" s="31" t="s">
        <v>793</v>
      </c>
      <c r="AW77" s="31" t="s">
        <v>793</v>
      </c>
      <c r="AX77" s="31" t="s">
        <v>793</v>
      </c>
      <c r="AY77" s="31" t="s">
        <v>793</v>
      </c>
      <c r="AZ77" s="31" t="s">
        <v>793</v>
      </c>
      <c r="BA77" s="31" t="s">
        <v>793</v>
      </c>
      <c r="BB77" s="31"/>
      <c r="BC77" s="31" t="s">
        <v>793</v>
      </c>
      <c r="BD77" s="31"/>
      <c r="BE77" s="49" t="s">
        <v>793</v>
      </c>
      <c r="BF77" s="49" t="s">
        <v>793</v>
      </c>
      <c r="BG77" s="49" t="s">
        <v>793</v>
      </c>
      <c r="BH77" s="49" t="s">
        <v>793</v>
      </c>
      <c r="BI77" s="49"/>
      <c r="BJ77" s="49" t="s">
        <v>793</v>
      </c>
      <c r="BK77" s="49" t="s">
        <v>793</v>
      </c>
      <c r="BL77" s="49" t="s">
        <v>793</v>
      </c>
      <c r="BM77" s="49" t="s">
        <v>793</v>
      </c>
      <c r="BN77" s="49" t="s">
        <v>793</v>
      </c>
      <c r="BO77" s="49"/>
      <c r="BP77" s="49"/>
      <c r="BQ77" s="49" t="s">
        <v>793</v>
      </c>
      <c r="BR77" s="49" t="s">
        <v>793</v>
      </c>
      <c r="BS77" s="49" t="s">
        <v>793</v>
      </c>
      <c r="BT77" s="49"/>
      <c r="BU77" s="49" t="s">
        <v>793</v>
      </c>
      <c r="BV77" s="49" t="s">
        <v>793</v>
      </c>
      <c r="BW77" s="49"/>
      <c r="BX77" s="49" t="s">
        <v>793</v>
      </c>
      <c r="BY77" s="49" t="s">
        <v>793</v>
      </c>
      <c r="BZ77" s="49" t="s">
        <v>793</v>
      </c>
      <c r="CA77" s="49" t="s">
        <v>793</v>
      </c>
      <c r="CB77" s="49" t="s">
        <v>793</v>
      </c>
      <c r="CC77" s="49" t="s">
        <v>793</v>
      </c>
      <c r="CD77" s="49"/>
      <c r="CE77" s="49" t="s">
        <v>793</v>
      </c>
      <c r="CF77" s="49" t="s">
        <v>793</v>
      </c>
      <c r="CG77" s="49" t="s">
        <v>793</v>
      </c>
      <c r="CH77" s="49" t="s">
        <v>793</v>
      </c>
      <c r="CI77" s="49"/>
      <c r="CJ77" s="49" t="s">
        <v>793</v>
      </c>
      <c r="CK77" s="49"/>
      <c r="CL77" s="49"/>
    </row>
    <row r="78" spans="1:90" x14ac:dyDescent="0.35">
      <c r="A78" s="2" t="s">
        <v>89</v>
      </c>
      <c r="B78" s="3"/>
      <c r="C78" s="3" t="s">
        <v>90</v>
      </c>
      <c r="D78" s="6">
        <v>26600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23">
        <f t="shared" si="7"/>
        <v>26600</v>
      </c>
      <c r="W78" s="6"/>
      <c r="X78" s="23">
        <f t="shared" si="8"/>
        <v>26600</v>
      </c>
      <c r="Y78" s="31"/>
      <c r="Z78" s="31"/>
      <c r="AA78" s="31"/>
      <c r="AB78" s="31"/>
      <c r="AC78" s="31"/>
      <c r="AD78" s="31"/>
      <c r="AE78" s="31"/>
      <c r="AF78" s="31" t="s">
        <v>794</v>
      </c>
      <c r="AG78" s="31"/>
      <c r="AH78" s="31" t="s">
        <v>794</v>
      </c>
      <c r="AI78" s="31" t="s">
        <v>794</v>
      </c>
      <c r="AJ78" s="31" t="s">
        <v>794</v>
      </c>
      <c r="AK78" s="31" t="s">
        <v>794</v>
      </c>
      <c r="AL78" s="31" t="s">
        <v>794</v>
      </c>
      <c r="AM78" s="31" t="s">
        <v>794</v>
      </c>
      <c r="AN78" s="31"/>
      <c r="AO78" s="31" t="s">
        <v>794</v>
      </c>
      <c r="AP78" s="31" t="s">
        <v>794</v>
      </c>
      <c r="AQ78" s="31" t="s">
        <v>794</v>
      </c>
      <c r="AR78" s="31" t="s">
        <v>794</v>
      </c>
      <c r="AS78" s="31" t="s">
        <v>794</v>
      </c>
      <c r="AT78" s="31" t="s">
        <v>794</v>
      </c>
      <c r="AU78" s="31"/>
      <c r="AV78" s="31" t="s">
        <v>794</v>
      </c>
      <c r="AW78" s="31" t="s">
        <v>794</v>
      </c>
      <c r="AX78" s="31" t="s">
        <v>794</v>
      </c>
      <c r="AY78" s="31" t="s">
        <v>794</v>
      </c>
      <c r="AZ78" s="31" t="s">
        <v>794</v>
      </c>
      <c r="BA78" s="31" t="s">
        <v>794</v>
      </c>
      <c r="BB78" s="31"/>
      <c r="BC78" s="31" t="s">
        <v>794</v>
      </c>
      <c r="BD78" s="49"/>
      <c r="BE78" s="31" t="s">
        <v>794</v>
      </c>
      <c r="BF78" s="31" t="s">
        <v>794</v>
      </c>
      <c r="BG78" s="31" t="s">
        <v>794</v>
      </c>
      <c r="BH78" s="31" t="s">
        <v>794</v>
      </c>
      <c r="BI78" s="31"/>
      <c r="BJ78" s="31" t="s">
        <v>794</v>
      </c>
      <c r="BK78" s="31" t="s">
        <v>794</v>
      </c>
      <c r="BL78" s="31" t="s">
        <v>794</v>
      </c>
      <c r="BM78" s="31" t="s">
        <v>794</v>
      </c>
      <c r="BN78" s="31" t="s">
        <v>794</v>
      </c>
      <c r="BO78" s="31"/>
      <c r="BP78" s="31"/>
      <c r="BQ78" s="31" t="s">
        <v>794</v>
      </c>
      <c r="BR78" s="31" t="s">
        <v>794</v>
      </c>
      <c r="BS78" s="31" t="s">
        <v>794</v>
      </c>
      <c r="BT78" s="31"/>
      <c r="BU78" s="31" t="s">
        <v>794</v>
      </c>
      <c r="BV78" s="31" t="s">
        <v>794</v>
      </c>
      <c r="BW78" s="31"/>
      <c r="BX78" s="31" t="s">
        <v>794</v>
      </c>
      <c r="BY78" s="31" t="s">
        <v>794</v>
      </c>
      <c r="BZ78" s="31" t="s">
        <v>794</v>
      </c>
      <c r="CA78" s="31" t="s">
        <v>794</v>
      </c>
      <c r="CB78" s="31" t="s">
        <v>794</v>
      </c>
      <c r="CC78" s="31" t="s">
        <v>794</v>
      </c>
      <c r="CD78" s="31"/>
      <c r="CE78" s="31" t="s">
        <v>794</v>
      </c>
      <c r="CF78" s="31" t="s">
        <v>794</v>
      </c>
      <c r="CG78" s="31" t="s">
        <v>794</v>
      </c>
      <c r="CH78" s="31" t="s">
        <v>794</v>
      </c>
      <c r="CI78" s="31"/>
      <c r="CJ78" s="31" t="s">
        <v>794</v>
      </c>
      <c r="CK78" s="31"/>
      <c r="CL78" s="31"/>
    </row>
    <row r="79" spans="1:90" x14ac:dyDescent="0.35">
      <c r="A79" s="2" t="s">
        <v>91</v>
      </c>
      <c r="B79" s="3"/>
      <c r="C79" s="3">
        <v>9857025060</v>
      </c>
      <c r="D79" s="6">
        <v>9762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23">
        <f t="shared" si="7"/>
        <v>9762</v>
      </c>
      <c r="W79" s="6"/>
      <c r="X79" s="23">
        <f t="shared" si="8"/>
        <v>9762</v>
      </c>
      <c r="Y79" s="31"/>
      <c r="Z79" s="31"/>
      <c r="AA79" s="31"/>
      <c r="AB79" s="31"/>
      <c r="AC79" s="31"/>
      <c r="AD79" s="31"/>
      <c r="AE79" s="31"/>
      <c r="AF79" s="31" t="s">
        <v>794</v>
      </c>
      <c r="AG79" s="31"/>
      <c r="AH79" s="31" t="s">
        <v>794</v>
      </c>
      <c r="AI79" s="31" t="s">
        <v>794</v>
      </c>
      <c r="AJ79" s="31" t="s">
        <v>794</v>
      </c>
      <c r="AK79" s="31" t="s">
        <v>794</v>
      </c>
      <c r="AL79" s="31" t="s">
        <v>794</v>
      </c>
      <c r="AM79" s="31" t="s">
        <v>794</v>
      </c>
      <c r="AN79" s="31"/>
      <c r="AO79" s="31" t="s">
        <v>794</v>
      </c>
      <c r="AP79" s="31" t="s">
        <v>794</v>
      </c>
      <c r="AQ79" s="31" t="s">
        <v>794</v>
      </c>
      <c r="AR79" s="31" t="s">
        <v>794</v>
      </c>
      <c r="AS79" s="31" t="s">
        <v>794</v>
      </c>
      <c r="AT79" s="31" t="s">
        <v>794</v>
      </c>
      <c r="AU79" s="31"/>
      <c r="AV79" s="31" t="s">
        <v>794</v>
      </c>
      <c r="AW79" s="31" t="s">
        <v>794</v>
      </c>
      <c r="AX79" s="31" t="s">
        <v>794</v>
      </c>
      <c r="AY79" s="31" t="s">
        <v>794</v>
      </c>
      <c r="AZ79" s="31" t="s">
        <v>794</v>
      </c>
      <c r="BA79" s="31" t="s">
        <v>794</v>
      </c>
      <c r="BB79" s="31"/>
      <c r="BC79" s="31" t="s">
        <v>794</v>
      </c>
      <c r="BD79" s="31"/>
      <c r="BE79" s="31" t="s">
        <v>794</v>
      </c>
      <c r="BF79" s="31" t="s">
        <v>794</v>
      </c>
      <c r="BG79" s="31" t="s">
        <v>794</v>
      </c>
      <c r="BH79" s="31" t="s">
        <v>794</v>
      </c>
      <c r="BI79" s="31"/>
      <c r="BJ79" s="31" t="s">
        <v>794</v>
      </c>
      <c r="BK79" s="31" t="s">
        <v>794</v>
      </c>
      <c r="BL79" s="31" t="s">
        <v>794</v>
      </c>
      <c r="BM79" s="31" t="s">
        <v>794</v>
      </c>
      <c r="BN79" s="31" t="s">
        <v>794</v>
      </c>
      <c r="BO79" s="31"/>
      <c r="BP79" s="31"/>
      <c r="BQ79" s="31" t="s">
        <v>794</v>
      </c>
      <c r="BR79" s="31" t="s">
        <v>794</v>
      </c>
      <c r="BS79" s="31" t="s">
        <v>794</v>
      </c>
      <c r="BT79" s="31"/>
      <c r="BU79" s="31" t="s">
        <v>794</v>
      </c>
      <c r="BV79" s="31" t="s">
        <v>794</v>
      </c>
      <c r="BW79" s="31"/>
      <c r="BX79" s="31" t="s">
        <v>794</v>
      </c>
      <c r="BY79" s="31" t="s">
        <v>794</v>
      </c>
      <c r="BZ79" s="31" t="s">
        <v>794</v>
      </c>
      <c r="CA79" s="31" t="s">
        <v>794</v>
      </c>
      <c r="CB79" s="31" t="s">
        <v>794</v>
      </c>
      <c r="CC79" s="31" t="s">
        <v>794</v>
      </c>
      <c r="CD79" s="31"/>
      <c r="CE79" s="31" t="s">
        <v>794</v>
      </c>
      <c r="CF79" s="31" t="s">
        <v>794</v>
      </c>
      <c r="CG79" s="31" t="s">
        <v>794</v>
      </c>
      <c r="CH79" s="31" t="s">
        <v>794</v>
      </c>
      <c r="CI79" s="31"/>
      <c r="CJ79" s="31" t="s">
        <v>794</v>
      </c>
      <c r="CK79" s="31"/>
      <c r="CL79" s="31"/>
    </row>
    <row r="80" spans="1:90" ht="18.5" x14ac:dyDescent="0.45">
      <c r="A80" s="77" t="s">
        <v>92</v>
      </c>
      <c r="B80" s="78"/>
      <c r="C80" s="78" t="s">
        <v>93</v>
      </c>
      <c r="D80" s="77">
        <v>121500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23">
        <f t="shared" si="7"/>
        <v>121500</v>
      </c>
      <c r="W80" s="6"/>
      <c r="X80" s="23">
        <f t="shared" si="8"/>
        <v>121500</v>
      </c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 t="s">
        <v>794</v>
      </c>
      <c r="AR80" s="31" t="s">
        <v>794</v>
      </c>
      <c r="AS80" s="31" t="s">
        <v>794</v>
      </c>
      <c r="AT80" s="31" t="s">
        <v>794</v>
      </c>
      <c r="AU80" s="31"/>
      <c r="AV80" s="31" t="s">
        <v>794</v>
      </c>
      <c r="AW80" s="31" t="s">
        <v>794</v>
      </c>
      <c r="AX80" s="31" t="s">
        <v>794</v>
      </c>
      <c r="AY80" s="31" t="s">
        <v>794</v>
      </c>
      <c r="AZ80" s="31" t="s">
        <v>794</v>
      </c>
      <c r="BA80" s="31" t="s">
        <v>794</v>
      </c>
      <c r="BB80" s="31"/>
      <c r="BC80" s="31" t="s">
        <v>794</v>
      </c>
      <c r="BD80" s="31"/>
      <c r="BE80" s="31" t="s">
        <v>791</v>
      </c>
      <c r="BF80" s="31" t="s">
        <v>791</v>
      </c>
      <c r="BG80" s="31" t="s">
        <v>791</v>
      </c>
      <c r="BH80" s="31" t="s">
        <v>791</v>
      </c>
      <c r="BI80" s="31"/>
      <c r="BJ80" s="31" t="s">
        <v>791</v>
      </c>
      <c r="BK80" s="31" t="s">
        <v>791</v>
      </c>
      <c r="BL80" s="31" t="s">
        <v>791</v>
      </c>
      <c r="BM80" s="31" t="s">
        <v>791</v>
      </c>
      <c r="BN80" s="31" t="s">
        <v>791</v>
      </c>
      <c r="BO80" s="31"/>
      <c r="BP80" s="31"/>
      <c r="BQ80" s="31" t="s">
        <v>791</v>
      </c>
      <c r="BR80" s="31" t="s">
        <v>791</v>
      </c>
      <c r="BS80" s="31" t="s">
        <v>791</v>
      </c>
      <c r="BT80" s="31"/>
      <c r="BU80" s="31" t="s">
        <v>791</v>
      </c>
      <c r="BV80" s="31" t="s">
        <v>791</v>
      </c>
      <c r="BW80" s="31"/>
      <c r="BX80" s="31" t="s">
        <v>791</v>
      </c>
      <c r="BY80" s="31" t="s">
        <v>791</v>
      </c>
      <c r="BZ80" s="31" t="s">
        <v>791</v>
      </c>
      <c r="CA80" s="31" t="s">
        <v>791</v>
      </c>
      <c r="CB80" s="31" t="s">
        <v>791</v>
      </c>
      <c r="CC80" s="31" t="s">
        <v>791</v>
      </c>
      <c r="CD80" s="31"/>
      <c r="CE80" s="31" t="s">
        <v>791</v>
      </c>
      <c r="CF80" s="31" t="s">
        <v>791</v>
      </c>
      <c r="CG80" s="31" t="s">
        <v>791</v>
      </c>
      <c r="CH80" s="31" t="s">
        <v>791</v>
      </c>
      <c r="CI80" s="31"/>
      <c r="CJ80" s="31" t="s">
        <v>791</v>
      </c>
      <c r="CK80" s="31"/>
      <c r="CL80" s="31"/>
    </row>
    <row r="81" spans="1:90" x14ac:dyDescent="0.35">
      <c r="A81" s="2" t="s">
        <v>95</v>
      </c>
      <c r="B81" s="3"/>
      <c r="C81" s="3" t="s">
        <v>96</v>
      </c>
      <c r="D81" s="6">
        <v>8000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23">
        <f t="shared" si="7"/>
        <v>8000</v>
      </c>
      <c r="W81" s="6"/>
      <c r="X81" s="23">
        <f t="shared" si="8"/>
        <v>8000</v>
      </c>
      <c r="Y81" s="31"/>
      <c r="Z81" s="31"/>
      <c r="AA81" s="31" t="s">
        <v>793</v>
      </c>
      <c r="AB81" s="31"/>
      <c r="AC81" s="31" t="s">
        <v>793</v>
      </c>
      <c r="AD81" s="31" t="s">
        <v>793</v>
      </c>
      <c r="AE81" s="31" t="s">
        <v>793</v>
      </c>
      <c r="AF81" s="31" t="s">
        <v>793</v>
      </c>
      <c r="AG81" s="31"/>
      <c r="AH81" s="31" t="s">
        <v>793</v>
      </c>
      <c r="AI81" s="31" t="s">
        <v>793</v>
      </c>
      <c r="AJ81" s="31" t="s">
        <v>793</v>
      </c>
      <c r="AK81" s="31" t="s">
        <v>793</v>
      </c>
      <c r="AL81" s="31" t="s">
        <v>793</v>
      </c>
      <c r="AM81" s="31" t="s">
        <v>793</v>
      </c>
      <c r="AN81" s="31"/>
      <c r="AO81" s="31" t="s">
        <v>793</v>
      </c>
      <c r="AP81" s="31" t="s">
        <v>793</v>
      </c>
      <c r="AQ81" s="31" t="s">
        <v>793</v>
      </c>
      <c r="AR81" s="31" t="s">
        <v>793</v>
      </c>
      <c r="AS81" s="31" t="s">
        <v>793</v>
      </c>
      <c r="AT81" s="31" t="s">
        <v>793</v>
      </c>
      <c r="AU81" s="31"/>
      <c r="AV81" s="31" t="s">
        <v>793</v>
      </c>
      <c r="AW81" s="31" t="s">
        <v>793</v>
      </c>
      <c r="AX81" s="31" t="s">
        <v>793</v>
      </c>
      <c r="AY81" s="31" t="s">
        <v>793</v>
      </c>
      <c r="AZ81" s="31" t="s">
        <v>793</v>
      </c>
      <c r="BA81" s="31" t="s">
        <v>793</v>
      </c>
      <c r="BB81" s="31"/>
      <c r="BC81" s="31" t="s">
        <v>793</v>
      </c>
      <c r="BD81" s="31"/>
      <c r="BE81" s="31" t="s">
        <v>793</v>
      </c>
      <c r="BF81" s="31" t="s">
        <v>793</v>
      </c>
      <c r="BG81" s="31" t="s">
        <v>793</v>
      </c>
      <c r="BH81" s="31" t="s">
        <v>793</v>
      </c>
      <c r="BI81" s="31"/>
      <c r="BJ81" s="31" t="s">
        <v>793</v>
      </c>
      <c r="BK81" s="31" t="s">
        <v>793</v>
      </c>
      <c r="BL81" s="31" t="s">
        <v>793</v>
      </c>
      <c r="BM81" s="31" t="s">
        <v>793</v>
      </c>
      <c r="BN81" s="31" t="s">
        <v>793</v>
      </c>
      <c r="BO81" s="31"/>
      <c r="BP81" s="31"/>
      <c r="BQ81" s="31" t="s">
        <v>793</v>
      </c>
      <c r="BR81" s="31" t="s">
        <v>793</v>
      </c>
      <c r="BS81" s="31" t="s">
        <v>793</v>
      </c>
      <c r="BT81" s="31"/>
      <c r="BU81" s="31" t="s">
        <v>793</v>
      </c>
      <c r="BV81" s="31" t="s">
        <v>793</v>
      </c>
      <c r="BW81" s="31"/>
      <c r="BX81" s="31" t="s">
        <v>793</v>
      </c>
      <c r="BY81" s="31" t="s">
        <v>793</v>
      </c>
      <c r="BZ81" s="31" t="s">
        <v>793</v>
      </c>
      <c r="CA81" s="31" t="s">
        <v>793</v>
      </c>
      <c r="CB81" s="31" t="s">
        <v>793</v>
      </c>
      <c r="CC81" s="31" t="s">
        <v>793</v>
      </c>
      <c r="CD81" s="31"/>
      <c r="CE81" s="31" t="s">
        <v>793</v>
      </c>
      <c r="CF81" s="31" t="s">
        <v>793</v>
      </c>
      <c r="CG81" s="31" t="s">
        <v>793</v>
      </c>
      <c r="CH81" s="31" t="s">
        <v>793</v>
      </c>
      <c r="CI81" s="31"/>
      <c r="CJ81" s="31" t="s">
        <v>793</v>
      </c>
      <c r="CK81" s="31"/>
      <c r="CL81" s="31"/>
    </row>
    <row r="82" spans="1:90" ht="18.5" x14ac:dyDescent="0.45">
      <c r="A82" s="77" t="s">
        <v>97</v>
      </c>
      <c r="B82" s="78"/>
      <c r="C82" s="78" t="s">
        <v>98</v>
      </c>
      <c r="D82" s="77">
        <v>200900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23">
        <f t="shared" si="7"/>
        <v>200900</v>
      </c>
      <c r="W82" s="6"/>
      <c r="X82" s="23">
        <f t="shared" si="8"/>
        <v>200900</v>
      </c>
      <c r="Y82" s="31"/>
      <c r="Z82" s="31"/>
      <c r="AA82" s="31"/>
      <c r="AB82" s="31"/>
      <c r="AC82" s="31"/>
      <c r="AD82" s="31"/>
      <c r="AE82" s="31"/>
      <c r="AF82" s="31" t="s">
        <v>794</v>
      </c>
      <c r="AG82" s="31"/>
      <c r="AH82" s="31" t="s">
        <v>794</v>
      </c>
      <c r="AI82" s="31" t="s">
        <v>794</v>
      </c>
      <c r="AJ82" s="31" t="s">
        <v>794</v>
      </c>
      <c r="AK82" s="31" t="s">
        <v>794</v>
      </c>
      <c r="AL82" s="31" t="s">
        <v>794</v>
      </c>
      <c r="AM82" s="31" t="s">
        <v>794</v>
      </c>
      <c r="AN82" s="31"/>
      <c r="AO82" s="31" t="s">
        <v>794</v>
      </c>
      <c r="AP82" s="31" t="s">
        <v>794</v>
      </c>
      <c r="AQ82" s="31" t="s">
        <v>794</v>
      </c>
      <c r="AR82" s="31" t="s">
        <v>794</v>
      </c>
      <c r="AS82" s="31" t="s">
        <v>794</v>
      </c>
      <c r="AT82" s="31" t="s">
        <v>794</v>
      </c>
      <c r="AU82" s="31"/>
      <c r="AV82" s="31" t="s">
        <v>794</v>
      </c>
      <c r="AW82" s="31" t="s">
        <v>794</v>
      </c>
      <c r="AX82" s="31" t="s">
        <v>794</v>
      </c>
      <c r="AY82" s="31" t="s">
        <v>794</v>
      </c>
      <c r="AZ82" s="31" t="s">
        <v>794</v>
      </c>
      <c r="BA82" s="31" t="s">
        <v>794</v>
      </c>
      <c r="BB82" s="31"/>
      <c r="BC82" s="31" t="s">
        <v>794</v>
      </c>
      <c r="BD82" s="31"/>
      <c r="BE82" s="31" t="s">
        <v>794</v>
      </c>
      <c r="BF82" s="31" t="s">
        <v>794</v>
      </c>
      <c r="BG82" s="31" t="s">
        <v>794</v>
      </c>
      <c r="BH82" s="31" t="s">
        <v>794</v>
      </c>
      <c r="BI82" s="31"/>
      <c r="BJ82" s="31" t="s">
        <v>794</v>
      </c>
      <c r="BK82" s="31" t="s">
        <v>794</v>
      </c>
      <c r="BL82" s="31" t="s">
        <v>794</v>
      </c>
      <c r="BM82" s="31" t="s">
        <v>794</v>
      </c>
      <c r="BN82" s="31" t="s">
        <v>794</v>
      </c>
      <c r="BO82" s="31"/>
      <c r="BP82" s="31"/>
      <c r="BQ82" s="31" t="s">
        <v>794</v>
      </c>
      <c r="BR82" s="31" t="s">
        <v>794</v>
      </c>
      <c r="BS82" s="31" t="s">
        <v>794</v>
      </c>
      <c r="BT82" s="31"/>
      <c r="BU82" s="31" t="s">
        <v>794</v>
      </c>
      <c r="BV82" s="31" t="s">
        <v>794</v>
      </c>
      <c r="BW82" s="31"/>
      <c r="BX82" s="31" t="s">
        <v>794</v>
      </c>
      <c r="BY82" s="31" t="s">
        <v>794</v>
      </c>
      <c r="BZ82" s="31" t="s">
        <v>794</v>
      </c>
      <c r="CA82" s="31" t="s">
        <v>794</v>
      </c>
      <c r="CB82" s="31" t="s">
        <v>794</v>
      </c>
      <c r="CC82" s="31" t="s">
        <v>794</v>
      </c>
      <c r="CD82" s="31"/>
      <c r="CE82" s="31" t="s">
        <v>794</v>
      </c>
      <c r="CF82" s="31" t="s">
        <v>794</v>
      </c>
      <c r="CG82" s="31" t="s">
        <v>794</v>
      </c>
      <c r="CH82" s="31" t="s">
        <v>794</v>
      </c>
      <c r="CI82" s="31"/>
      <c r="CJ82" s="31" t="s">
        <v>794</v>
      </c>
      <c r="CK82" s="31"/>
      <c r="CL82" s="31"/>
    </row>
    <row r="83" spans="1:90" ht="18.5" x14ac:dyDescent="0.45">
      <c r="A83" s="83" t="s">
        <v>99</v>
      </c>
      <c r="B83" s="84"/>
      <c r="C83" s="84" t="s">
        <v>100</v>
      </c>
      <c r="D83" s="83">
        <v>17000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23">
        <f t="shared" si="7"/>
        <v>17000</v>
      </c>
      <c r="W83" s="36"/>
      <c r="X83" s="36">
        <f t="shared" si="8"/>
        <v>17000</v>
      </c>
      <c r="Y83" s="31"/>
      <c r="Z83" s="31"/>
      <c r="AA83" s="31"/>
      <c r="AB83" s="31"/>
      <c r="AC83" s="31"/>
      <c r="AD83" s="31"/>
      <c r="AE83" s="31"/>
      <c r="AF83" s="31" t="s">
        <v>793</v>
      </c>
      <c r="AG83" s="31"/>
      <c r="AH83" s="31" t="s">
        <v>793</v>
      </c>
      <c r="AI83" s="31" t="s">
        <v>793</v>
      </c>
      <c r="AJ83" s="31" t="s">
        <v>793</v>
      </c>
      <c r="AK83" s="31" t="s">
        <v>793</v>
      </c>
      <c r="AL83" s="31" t="s">
        <v>793</v>
      </c>
      <c r="AM83" s="31" t="s">
        <v>793</v>
      </c>
      <c r="AN83" s="31"/>
      <c r="AO83" s="31" t="s">
        <v>793</v>
      </c>
      <c r="AP83" s="31" t="s">
        <v>793</v>
      </c>
      <c r="AQ83" s="31" t="s">
        <v>794</v>
      </c>
      <c r="AR83" s="31" t="s">
        <v>794</v>
      </c>
      <c r="AS83" s="31" t="s">
        <v>794</v>
      </c>
      <c r="AT83" s="31" t="s">
        <v>794</v>
      </c>
      <c r="AU83" s="31"/>
      <c r="AV83" s="31" t="s">
        <v>794</v>
      </c>
      <c r="AW83" s="31" t="s">
        <v>794</v>
      </c>
      <c r="AX83" s="31" t="s">
        <v>794</v>
      </c>
      <c r="AY83" s="31" t="s">
        <v>794</v>
      </c>
      <c r="AZ83" s="31" t="s">
        <v>794</v>
      </c>
      <c r="BA83" s="31" t="s">
        <v>794</v>
      </c>
      <c r="BB83" s="31"/>
      <c r="BC83" s="31" t="s">
        <v>794</v>
      </c>
      <c r="BD83" s="31"/>
      <c r="BE83" s="31" t="s">
        <v>794</v>
      </c>
      <c r="BF83" s="31" t="s">
        <v>794</v>
      </c>
      <c r="BG83" s="31" t="s">
        <v>794</v>
      </c>
      <c r="BH83" s="31" t="s">
        <v>794</v>
      </c>
      <c r="BI83" s="31"/>
      <c r="BJ83" s="31" t="s">
        <v>794</v>
      </c>
      <c r="BK83" s="31" t="s">
        <v>794</v>
      </c>
      <c r="BL83" s="31" t="s">
        <v>794</v>
      </c>
      <c r="BM83" s="31" t="s">
        <v>794</v>
      </c>
      <c r="BN83" s="31" t="s">
        <v>794</v>
      </c>
      <c r="BO83" s="31"/>
      <c r="BP83" s="31"/>
      <c r="BQ83" s="31" t="s">
        <v>794</v>
      </c>
      <c r="BR83" s="31" t="s">
        <v>794</v>
      </c>
      <c r="BS83" s="31" t="s">
        <v>794</v>
      </c>
      <c r="BT83" s="31"/>
      <c r="BU83" s="31" t="s">
        <v>794</v>
      </c>
      <c r="BV83" s="31" t="s">
        <v>794</v>
      </c>
      <c r="BW83" s="31"/>
      <c r="BX83" s="31" t="s">
        <v>794</v>
      </c>
      <c r="BY83" s="31" t="s">
        <v>794</v>
      </c>
      <c r="BZ83" s="31" t="s">
        <v>794</v>
      </c>
      <c r="CA83" s="31" t="s">
        <v>794</v>
      </c>
      <c r="CB83" s="31" t="s">
        <v>794</v>
      </c>
      <c r="CC83" s="31" t="s">
        <v>794</v>
      </c>
      <c r="CD83" s="31"/>
      <c r="CE83" s="31" t="s">
        <v>794</v>
      </c>
      <c r="CF83" s="31" t="s">
        <v>794</v>
      </c>
      <c r="CG83" s="31" t="s">
        <v>794</v>
      </c>
      <c r="CH83" s="31" t="s">
        <v>794</v>
      </c>
      <c r="CI83" s="31"/>
      <c r="CJ83" s="31" t="s">
        <v>794</v>
      </c>
      <c r="CK83" s="31"/>
      <c r="CL83" s="31"/>
    </row>
    <row r="84" spans="1:90" x14ac:dyDescent="0.35">
      <c r="A84" s="2" t="s">
        <v>101</v>
      </c>
      <c r="B84" s="3"/>
      <c r="C84" s="3" t="s">
        <v>102</v>
      </c>
      <c r="D84" s="6">
        <v>9571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23">
        <f t="shared" si="7"/>
        <v>9571</v>
      </c>
      <c r="W84" s="6"/>
      <c r="X84" s="23">
        <f t="shared" si="8"/>
        <v>9571</v>
      </c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 t="s">
        <v>794</v>
      </c>
      <c r="BF84" s="31" t="s">
        <v>794</v>
      </c>
      <c r="BG84" s="31" t="s">
        <v>794</v>
      </c>
      <c r="BH84" s="31" t="s">
        <v>794</v>
      </c>
      <c r="BI84" s="31"/>
      <c r="BJ84" s="31" t="s">
        <v>794</v>
      </c>
      <c r="BK84" s="31" t="s">
        <v>794</v>
      </c>
      <c r="BL84" s="31" t="s">
        <v>794</v>
      </c>
      <c r="BM84" s="31" t="s">
        <v>794</v>
      </c>
      <c r="BN84" s="31" t="s">
        <v>794</v>
      </c>
      <c r="BO84" s="31"/>
      <c r="BP84" s="31"/>
      <c r="BQ84" s="31" t="s">
        <v>794</v>
      </c>
      <c r="BR84" s="31" t="s">
        <v>794</v>
      </c>
      <c r="BS84" s="31" t="s">
        <v>794</v>
      </c>
      <c r="BT84" s="31"/>
      <c r="BU84" s="31" t="s">
        <v>794</v>
      </c>
      <c r="BV84" s="31" t="s">
        <v>794</v>
      </c>
      <c r="BW84" s="31"/>
      <c r="BX84" s="31" t="s">
        <v>794</v>
      </c>
      <c r="BY84" s="31" t="s">
        <v>794</v>
      </c>
      <c r="BZ84" s="31" t="s">
        <v>794</v>
      </c>
      <c r="CA84" s="31" t="s">
        <v>794</v>
      </c>
      <c r="CB84" s="31" t="s">
        <v>794</v>
      </c>
      <c r="CC84" s="31" t="s">
        <v>794</v>
      </c>
      <c r="CD84" s="31"/>
      <c r="CE84" s="31" t="s">
        <v>794</v>
      </c>
      <c r="CF84" s="31" t="s">
        <v>794</v>
      </c>
      <c r="CG84" s="31" t="s">
        <v>794</v>
      </c>
      <c r="CH84" s="31" t="s">
        <v>794</v>
      </c>
      <c r="CI84" s="31"/>
      <c r="CJ84" s="31" t="s">
        <v>794</v>
      </c>
      <c r="CK84" s="31"/>
      <c r="CL84" s="31"/>
    </row>
    <row r="85" spans="1:90" ht="18.5" x14ac:dyDescent="0.45">
      <c r="A85" s="77" t="s">
        <v>103</v>
      </c>
      <c r="B85" s="78"/>
      <c r="C85" s="78" t="s">
        <v>104</v>
      </c>
      <c r="D85" s="77">
        <v>10900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23">
        <f t="shared" si="7"/>
        <v>10900</v>
      </c>
      <c r="W85" s="6"/>
      <c r="X85" s="23">
        <f t="shared" si="8"/>
        <v>10900</v>
      </c>
      <c r="Y85" s="31"/>
      <c r="Z85" s="31"/>
      <c r="AA85" s="31"/>
      <c r="AB85" s="31"/>
      <c r="AC85" s="31"/>
      <c r="AD85" s="31"/>
      <c r="AE85" s="31"/>
      <c r="AF85" s="31" t="s">
        <v>793</v>
      </c>
      <c r="AG85" s="31"/>
      <c r="AH85" s="31" t="s">
        <v>793</v>
      </c>
      <c r="AI85" s="31" t="s">
        <v>793</v>
      </c>
      <c r="AJ85" s="31" t="s">
        <v>793</v>
      </c>
      <c r="AK85" s="31" t="s">
        <v>793</v>
      </c>
      <c r="AL85" s="31" t="s">
        <v>793</v>
      </c>
      <c r="AM85" s="31" t="s">
        <v>793</v>
      </c>
      <c r="AN85" s="31"/>
      <c r="AO85" s="31" t="s">
        <v>793</v>
      </c>
      <c r="AP85" s="31" t="s">
        <v>793</v>
      </c>
      <c r="AQ85" s="31" t="s">
        <v>791</v>
      </c>
      <c r="AR85" s="31" t="s">
        <v>791</v>
      </c>
      <c r="AS85" s="31" t="s">
        <v>791</v>
      </c>
      <c r="AT85" s="31" t="s">
        <v>791</v>
      </c>
      <c r="AU85" s="31"/>
      <c r="AV85" s="31" t="s">
        <v>791</v>
      </c>
      <c r="AW85" s="31" t="s">
        <v>791</v>
      </c>
      <c r="AX85" s="31" t="s">
        <v>791</v>
      </c>
      <c r="AY85" s="31" t="s">
        <v>791</v>
      </c>
      <c r="AZ85" s="31" t="s">
        <v>791</v>
      </c>
      <c r="BA85" s="31" t="s">
        <v>791</v>
      </c>
      <c r="BB85" s="31"/>
      <c r="BC85" s="31" t="s">
        <v>791</v>
      </c>
      <c r="BD85" s="31"/>
      <c r="BE85" s="31" t="s">
        <v>794</v>
      </c>
      <c r="BF85" s="31" t="s">
        <v>794</v>
      </c>
      <c r="BG85" s="31" t="s">
        <v>794</v>
      </c>
      <c r="BH85" s="31" t="s">
        <v>794</v>
      </c>
      <c r="BI85" s="31"/>
      <c r="BJ85" s="31" t="s">
        <v>794</v>
      </c>
      <c r="BK85" s="31" t="s">
        <v>794</v>
      </c>
      <c r="BL85" s="31" t="s">
        <v>794</v>
      </c>
      <c r="BM85" s="31" t="s">
        <v>794</v>
      </c>
      <c r="BN85" s="31" t="s">
        <v>794</v>
      </c>
      <c r="BO85" s="31"/>
      <c r="BP85" s="31"/>
      <c r="BQ85" s="31" t="s">
        <v>794</v>
      </c>
      <c r="BR85" s="31" t="s">
        <v>794</v>
      </c>
      <c r="BS85" s="31" t="s">
        <v>794</v>
      </c>
      <c r="BT85" s="31"/>
      <c r="BU85" s="31" t="s">
        <v>794</v>
      </c>
      <c r="BV85" s="31" t="s">
        <v>794</v>
      </c>
      <c r="BW85" s="31"/>
      <c r="BX85" s="31" t="s">
        <v>794</v>
      </c>
      <c r="BY85" s="31" t="s">
        <v>794</v>
      </c>
      <c r="BZ85" s="31" t="s">
        <v>794</v>
      </c>
      <c r="CA85" s="31" t="s">
        <v>794</v>
      </c>
      <c r="CB85" s="31" t="s">
        <v>794</v>
      </c>
      <c r="CC85" s="31" t="s">
        <v>794</v>
      </c>
      <c r="CD85" s="31"/>
      <c r="CE85" s="31" t="s">
        <v>794</v>
      </c>
      <c r="CF85" s="31" t="s">
        <v>794</v>
      </c>
      <c r="CG85" s="31" t="s">
        <v>794</v>
      </c>
      <c r="CH85" s="31" t="s">
        <v>794</v>
      </c>
      <c r="CI85" s="31"/>
      <c r="CJ85" s="31" t="s">
        <v>794</v>
      </c>
      <c r="CK85" s="31"/>
      <c r="CL85" s="31"/>
    </row>
    <row r="86" spans="1:90" ht="18.5" x14ac:dyDescent="0.45">
      <c r="A86" s="83" t="s">
        <v>105</v>
      </c>
      <c r="B86" s="84"/>
      <c r="C86" s="84" t="s">
        <v>106</v>
      </c>
      <c r="D86" s="77">
        <v>96155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23">
        <f t="shared" si="7"/>
        <v>96155</v>
      </c>
      <c r="W86" s="6"/>
      <c r="X86" s="23">
        <f t="shared" si="8"/>
        <v>96155</v>
      </c>
      <c r="Y86" s="31"/>
      <c r="Z86" s="31"/>
      <c r="AA86" s="31"/>
      <c r="AB86" s="31"/>
      <c r="AC86" s="31"/>
      <c r="AD86" s="31"/>
      <c r="AE86" s="31"/>
      <c r="AF86" s="31" t="s">
        <v>793</v>
      </c>
      <c r="AG86" s="31"/>
      <c r="AH86" s="31" t="s">
        <v>793</v>
      </c>
      <c r="AI86" s="31" t="s">
        <v>793</v>
      </c>
      <c r="AJ86" s="31" t="s">
        <v>793</v>
      </c>
      <c r="AK86" s="31" t="s">
        <v>793</v>
      </c>
      <c r="AL86" s="31" t="s">
        <v>793</v>
      </c>
      <c r="AM86" s="31" t="s">
        <v>793</v>
      </c>
      <c r="AN86" s="31"/>
      <c r="AO86" s="31" t="s">
        <v>793</v>
      </c>
      <c r="AP86" s="31" t="s">
        <v>793</v>
      </c>
      <c r="AQ86" s="31" t="s">
        <v>791</v>
      </c>
      <c r="AR86" s="31" t="s">
        <v>791</v>
      </c>
      <c r="AS86" s="31" t="s">
        <v>791</v>
      </c>
      <c r="AT86" s="31" t="s">
        <v>791</v>
      </c>
      <c r="AU86" s="31"/>
      <c r="AV86" s="31" t="s">
        <v>791</v>
      </c>
      <c r="AW86" s="31" t="s">
        <v>791</v>
      </c>
      <c r="AX86" s="31" t="s">
        <v>791</v>
      </c>
      <c r="AY86" s="31" t="s">
        <v>791</v>
      </c>
      <c r="AZ86" s="31" t="s">
        <v>791</v>
      </c>
      <c r="BA86" s="31" t="s">
        <v>791</v>
      </c>
      <c r="BB86" s="31"/>
      <c r="BC86" s="31" t="s">
        <v>791</v>
      </c>
      <c r="BD86" s="31"/>
      <c r="BE86" s="31" t="s">
        <v>794</v>
      </c>
      <c r="BF86" s="31" t="s">
        <v>794</v>
      </c>
      <c r="BG86" s="31" t="s">
        <v>794</v>
      </c>
      <c r="BH86" s="31" t="s">
        <v>794</v>
      </c>
      <c r="BI86" s="31"/>
      <c r="BJ86" s="31" t="s">
        <v>794</v>
      </c>
      <c r="BK86" s="31" t="s">
        <v>794</v>
      </c>
      <c r="BL86" s="31" t="s">
        <v>794</v>
      </c>
      <c r="BM86" s="31" t="s">
        <v>794</v>
      </c>
      <c r="BN86" s="31" t="s">
        <v>794</v>
      </c>
      <c r="BO86" s="31"/>
      <c r="BP86" s="31"/>
      <c r="BQ86" s="31" t="s">
        <v>794</v>
      </c>
      <c r="BR86" s="31" t="s">
        <v>794</v>
      </c>
      <c r="BS86" s="31" t="s">
        <v>794</v>
      </c>
      <c r="BT86" s="31"/>
      <c r="BU86" s="31" t="s">
        <v>794</v>
      </c>
      <c r="BV86" s="31" t="s">
        <v>794</v>
      </c>
      <c r="BW86" s="31"/>
      <c r="BX86" s="31" t="s">
        <v>794</v>
      </c>
      <c r="BY86" s="31" t="s">
        <v>794</v>
      </c>
      <c r="BZ86" s="31" t="s">
        <v>794</v>
      </c>
      <c r="CA86" s="31" t="s">
        <v>794</v>
      </c>
      <c r="CB86" s="31" t="s">
        <v>794</v>
      </c>
      <c r="CC86" s="31" t="s">
        <v>794</v>
      </c>
      <c r="CD86" s="31"/>
      <c r="CE86" s="31" t="s">
        <v>794</v>
      </c>
      <c r="CF86" s="31" t="s">
        <v>794</v>
      </c>
      <c r="CG86" s="31" t="s">
        <v>794</v>
      </c>
      <c r="CH86" s="31" t="s">
        <v>794</v>
      </c>
      <c r="CI86" s="31"/>
      <c r="CJ86" s="31" t="s">
        <v>794</v>
      </c>
      <c r="CK86" s="31"/>
      <c r="CL86" s="31"/>
    </row>
    <row r="87" spans="1:90" x14ac:dyDescent="0.35">
      <c r="A87" s="2" t="s">
        <v>107</v>
      </c>
      <c r="B87" s="3"/>
      <c r="C87" s="3">
        <v>9865555605</v>
      </c>
      <c r="D87" s="6">
        <v>5500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23">
        <f t="shared" si="7"/>
        <v>5500</v>
      </c>
      <c r="W87" s="6"/>
      <c r="X87" s="23">
        <f t="shared" si="8"/>
        <v>5500</v>
      </c>
      <c r="Y87" s="31"/>
      <c r="Z87" s="31"/>
      <c r="AA87" s="31"/>
      <c r="AB87" s="31"/>
      <c r="AC87" s="31"/>
      <c r="AD87" s="31"/>
      <c r="AE87" s="31"/>
      <c r="AF87" s="31" t="s">
        <v>793</v>
      </c>
      <c r="AG87" s="31"/>
      <c r="AH87" s="31" t="s">
        <v>793</v>
      </c>
      <c r="AI87" s="31" t="s">
        <v>793</v>
      </c>
      <c r="AJ87" s="31" t="s">
        <v>793</v>
      </c>
      <c r="AK87" s="31" t="s">
        <v>793</v>
      </c>
      <c r="AL87" s="31" t="s">
        <v>793</v>
      </c>
      <c r="AM87" s="31" t="s">
        <v>793</v>
      </c>
      <c r="AN87" s="31"/>
      <c r="AO87" s="31" t="s">
        <v>793</v>
      </c>
      <c r="AP87" s="31" t="s">
        <v>793</v>
      </c>
      <c r="AQ87" s="31" t="s">
        <v>794</v>
      </c>
      <c r="AR87" s="31" t="s">
        <v>794</v>
      </c>
      <c r="AS87" s="31" t="s">
        <v>794</v>
      </c>
      <c r="AT87" s="31" t="s">
        <v>794</v>
      </c>
      <c r="AU87" s="31"/>
      <c r="AV87" s="31" t="s">
        <v>794</v>
      </c>
      <c r="AW87" s="31" t="s">
        <v>794</v>
      </c>
      <c r="AX87" s="31" t="s">
        <v>794</v>
      </c>
      <c r="AY87" s="31" t="s">
        <v>794</v>
      </c>
      <c r="AZ87" s="31" t="s">
        <v>794</v>
      </c>
      <c r="BA87" s="31" t="s">
        <v>794</v>
      </c>
      <c r="BB87" s="31"/>
      <c r="BC87" s="31" t="s">
        <v>794</v>
      </c>
      <c r="BD87" s="31"/>
      <c r="BE87" s="31" t="s">
        <v>794</v>
      </c>
      <c r="BF87" s="31" t="s">
        <v>794</v>
      </c>
      <c r="BG87" s="31" t="s">
        <v>794</v>
      </c>
      <c r="BH87" s="31" t="s">
        <v>794</v>
      </c>
      <c r="BI87" s="31"/>
      <c r="BJ87" s="31" t="s">
        <v>794</v>
      </c>
      <c r="BK87" s="31" t="s">
        <v>794</v>
      </c>
      <c r="BL87" s="31" t="s">
        <v>794</v>
      </c>
      <c r="BM87" s="31" t="s">
        <v>794</v>
      </c>
      <c r="BN87" s="31" t="s">
        <v>794</v>
      </c>
      <c r="BO87" s="31"/>
      <c r="BP87" s="31"/>
      <c r="BQ87" s="31" t="s">
        <v>794</v>
      </c>
      <c r="BR87" s="31" t="s">
        <v>794</v>
      </c>
      <c r="BS87" s="31" t="s">
        <v>794</v>
      </c>
      <c r="BT87" s="31"/>
      <c r="BU87" s="31" t="s">
        <v>794</v>
      </c>
      <c r="BV87" s="31" t="s">
        <v>794</v>
      </c>
      <c r="BW87" s="31"/>
      <c r="BX87" s="31" t="s">
        <v>794</v>
      </c>
      <c r="BY87" s="31" t="s">
        <v>794</v>
      </c>
      <c r="BZ87" s="31" t="s">
        <v>794</v>
      </c>
      <c r="CA87" s="31" t="s">
        <v>794</v>
      </c>
      <c r="CB87" s="31" t="s">
        <v>794</v>
      </c>
      <c r="CC87" s="31" t="s">
        <v>794</v>
      </c>
      <c r="CD87" s="31"/>
      <c r="CE87" s="31" t="s">
        <v>794</v>
      </c>
      <c r="CF87" s="31" t="s">
        <v>794</v>
      </c>
      <c r="CG87" s="31" t="s">
        <v>794</v>
      </c>
      <c r="CH87" s="31" t="s">
        <v>794</v>
      </c>
      <c r="CI87" s="31"/>
      <c r="CJ87" s="31" t="s">
        <v>794</v>
      </c>
      <c r="CK87" s="31"/>
      <c r="CL87" s="31"/>
    </row>
    <row r="88" spans="1:90" ht="18.5" x14ac:dyDescent="0.45">
      <c r="A88" s="83" t="s">
        <v>108</v>
      </c>
      <c r="B88" s="84"/>
      <c r="C88" s="84" t="s">
        <v>109</v>
      </c>
      <c r="D88" s="83">
        <v>35000</v>
      </c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23">
        <f t="shared" si="7"/>
        <v>35000</v>
      </c>
      <c r="W88" s="36"/>
      <c r="X88" s="36">
        <f t="shared" si="8"/>
        <v>35000</v>
      </c>
      <c r="Y88" s="14"/>
      <c r="Z88" s="14"/>
      <c r="AA88" s="14" t="s">
        <v>793</v>
      </c>
      <c r="AB88" s="14"/>
      <c r="AC88" s="14" t="s">
        <v>793</v>
      </c>
      <c r="AD88" s="14" t="s">
        <v>793</v>
      </c>
      <c r="AE88" s="14" t="s">
        <v>793</v>
      </c>
      <c r="AF88" s="14" t="s">
        <v>793</v>
      </c>
      <c r="AG88" s="14"/>
      <c r="AH88" s="14" t="s">
        <v>793</v>
      </c>
      <c r="AI88" s="14" t="s">
        <v>793</v>
      </c>
      <c r="AJ88" s="14" t="s">
        <v>793</v>
      </c>
      <c r="AK88" s="14" t="s">
        <v>793</v>
      </c>
      <c r="AL88" s="14" t="s">
        <v>793</v>
      </c>
      <c r="AM88" s="14" t="s">
        <v>793</v>
      </c>
      <c r="AN88" s="31"/>
      <c r="AO88" s="14" t="s">
        <v>793</v>
      </c>
      <c r="AP88" s="14" t="s">
        <v>793</v>
      </c>
      <c r="AQ88" s="31" t="s">
        <v>793</v>
      </c>
      <c r="AR88" s="31" t="s">
        <v>793</v>
      </c>
      <c r="AS88" s="31" t="s">
        <v>793</v>
      </c>
      <c r="AT88" s="31" t="s">
        <v>793</v>
      </c>
      <c r="AU88" s="31"/>
      <c r="AV88" s="31" t="s">
        <v>793</v>
      </c>
      <c r="AW88" s="31" t="s">
        <v>793</v>
      </c>
      <c r="AX88" s="31" t="s">
        <v>793</v>
      </c>
      <c r="AY88" s="31" t="s">
        <v>793</v>
      </c>
      <c r="AZ88" s="31" t="s">
        <v>793</v>
      </c>
      <c r="BA88" s="31" t="s">
        <v>793</v>
      </c>
      <c r="BB88" s="31"/>
      <c r="BC88" s="31" t="s">
        <v>793</v>
      </c>
      <c r="BD88" s="31"/>
      <c r="BE88" s="31" t="s">
        <v>793</v>
      </c>
      <c r="BF88" s="31" t="s">
        <v>793</v>
      </c>
      <c r="BG88" s="31" t="s">
        <v>793</v>
      </c>
      <c r="BH88" s="31" t="s">
        <v>793</v>
      </c>
      <c r="BI88" s="31"/>
      <c r="BJ88" s="31" t="s">
        <v>793</v>
      </c>
      <c r="BK88" s="31" t="s">
        <v>793</v>
      </c>
      <c r="BL88" s="31" t="s">
        <v>793</v>
      </c>
      <c r="BM88" s="31" t="s">
        <v>793</v>
      </c>
      <c r="BN88" s="31" t="s">
        <v>793</v>
      </c>
      <c r="BO88" s="31"/>
      <c r="BP88" s="31"/>
      <c r="BQ88" s="31" t="s">
        <v>793</v>
      </c>
      <c r="BR88" s="31" t="s">
        <v>793</v>
      </c>
      <c r="BS88" s="31" t="s">
        <v>793</v>
      </c>
      <c r="BT88" s="31"/>
      <c r="BU88" s="31" t="s">
        <v>793</v>
      </c>
      <c r="BV88" s="31" t="s">
        <v>793</v>
      </c>
      <c r="BW88" s="31"/>
      <c r="BX88" s="31" t="s">
        <v>793</v>
      </c>
      <c r="BY88" s="31" t="s">
        <v>793</v>
      </c>
      <c r="BZ88" s="31" t="s">
        <v>793</v>
      </c>
      <c r="CA88" s="31" t="s">
        <v>793</v>
      </c>
      <c r="CB88" s="31" t="s">
        <v>793</v>
      </c>
      <c r="CC88" s="31" t="s">
        <v>793</v>
      </c>
      <c r="CD88" s="31"/>
      <c r="CE88" s="31" t="s">
        <v>793</v>
      </c>
      <c r="CF88" s="31" t="s">
        <v>793</v>
      </c>
      <c r="CG88" s="31" t="s">
        <v>793</v>
      </c>
      <c r="CH88" s="31" t="s">
        <v>793</v>
      </c>
      <c r="CI88" s="31"/>
      <c r="CJ88" s="31" t="s">
        <v>793</v>
      </c>
      <c r="CK88" s="31"/>
      <c r="CL88" s="31"/>
    </row>
    <row r="89" spans="1:90" x14ac:dyDescent="0.35">
      <c r="A89" s="2" t="s">
        <v>110</v>
      </c>
      <c r="B89" s="3"/>
      <c r="C89" s="3" t="s">
        <v>111</v>
      </c>
      <c r="D89" s="6">
        <v>19120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23">
        <f t="shared" si="7"/>
        <v>19120</v>
      </c>
      <c r="W89" s="6"/>
      <c r="X89" s="23">
        <f t="shared" si="8"/>
        <v>19120</v>
      </c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 t="s">
        <v>794</v>
      </c>
      <c r="AR89" s="31" t="s">
        <v>794</v>
      </c>
      <c r="AS89" s="31" t="s">
        <v>794</v>
      </c>
      <c r="AT89" s="31" t="s">
        <v>794</v>
      </c>
      <c r="AU89" s="31"/>
      <c r="AV89" s="31" t="s">
        <v>794</v>
      </c>
      <c r="AW89" s="31" t="s">
        <v>794</v>
      </c>
      <c r="AX89" s="31" t="s">
        <v>794</v>
      </c>
      <c r="AY89" s="31" t="s">
        <v>794</v>
      </c>
      <c r="AZ89" s="31" t="s">
        <v>794</v>
      </c>
      <c r="BA89" s="31" t="s">
        <v>794</v>
      </c>
      <c r="BB89" s="31"/>
      <c r="BC89" s="31" t="s">
        <v>794</v>
      </c>
      <c r="BD89" s="31"/>
      <c r="BE89" s="31" t="s">
        <v>794</v>
      </c>
      <c r="BF89" s="31" t="s">
        <v>794</v>
      </c>
      <c r="BG89" s="31" t="s">
        <v>794</v>
      </c>
      <c r="BH89" s="31" t="s">
        <v>794</v>
      </c>
      <c r="BI89" s="31"/>
      <c r="BJ89" s="31" t="s">
        <v>794</v>
      </c>
      <c r="BK89" s="31" t="s">
        <v>794</v>
      </c>
      <c r="BL89" s="31" t="s">
        <v>794</v>
      </c>
      <c r="BM89" s="31" t="s">
        <v>794</v>
      </c>
      <c r="BN89" s="31" t="s">
        <v>794</v>
      </c>
      <c r="BO89" s="31"/>
      <c r="BP89" s="31"/>
      <c r="BQ89" s="31" t="s">
        <v>794</v>
      </c>
      <c r="BR89" s="31" t="s">
        <v>794</v>
      </c>
      <c r="BS89" s="31" t="s">
        <v>794</v>
      </c>
      <c r="BT89" s="31"/>
      <c r="BU89" s="31" t="s">
        <v>794</v>
      </c>
      <c r="BV89" s="31" t="s">
        <v>794</v>
      </c>
      <c r="BW89" s="31"/>
      <c r="BX89" s="31" t="s">
        <v>794</v>
      </c>
      <c r="BY89" s="31" t="s">
        <v>794</v>
      </c>
      <c r="BZ89" s="31" t="s">
        <v>794</v>
      </c>
      <c r="CA89" s="31" t="s">
        <v>794</v>
      </c>
      <c r="CB89" s="31" t="s">
        <v>794</v>
      </c>
      <c r="CC89" s="31" t="s">
        <v>794</v>
      </c>
      <c r="CD89" s="31"/>
      <c r="CE89" s="31" t="s">
        <v>794</v>
      </c>
      <c r="CF89" s="31" t="s">
        <v>794</v>
      </c>
      <c r="CG89" s="31" t="s">
        <v>794</v>
      </c>
      <c r="CH89" s="31" t="s">
        <v>794</v>
      </c>
      <c r="CI89" s="31"/>
      <c r="CJ89" s="31" t="s">
        <v>794</v>
      </c>
      <c r="CK89" s="31"/>
      <c r="CL89" s="31"/>
    </row>
    <row r="90" spans="1:90" x14ac:dyDescent="0.35">
      <c r="A90" s="2" t="s">
        <v>112</v>
      </c>
      <c r="B90" s="3"/>
      <c r="C90" s="3" t="s">
        <v>113</v>
      </c>
      <c r="D90" s="6">
        <v>9987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23">
        <f t="shared" si="7"/>
        <v>9987</v>
      </c>
      <c r="W90" s="6"/>
      <c r="X90" s="23">
        <f t="shared" si="8"/>
        <v>9987</v>
      </c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 t="s">
        <v>794</v>
      </c>
      <c r="AR90" s="31" t="s">
        <v>794</v>
      </c>
      <c r="AS90" s="31" t="s">
        <v>794</v>
      </c>
      <c r="AT90" s="31" t="s">
        <v>794</v>
      </c>
      <c r="AU90" s="31"/>
      <c r="AV90" s="31" t="s">
        <v>794</v>
      </c>
      <c r="AW90" s="31" t="s">
        <v>794</v>
      </c>
      <c r="AX90" s="31" t="s">
        <v>794</v>
      </c>
      <c r="AY90" s="31" t="s">
        <v>794</v>
      </c>
      <c r="AZ90" s="31" t="s">
        <v>794</v>
      </c>
      <c r="BA90" s="31" t="s">
        <v>794</v>
      </c>
      <c r="BB90" s="31"/>
      <c r="BC90" s="31" t="s">
        <v>794</v>
      </c>
      <c r="BD90" s="31"/>
      <c r="BE90" s="31" t="s">
        <v>794</v>
      </c>
      <c r="BF90" s="31" t="s">
        <v>794</v>
      </c>
      <c r="BG90" s="31" t="s">
        <v>794</v>
      </c>
      <c r="BH90" s="31" t="s">
        <v>794</v>
      </c>
      <c r="BI90" s="31"/>
      <c r="BJ90" s="31" t="s">
        <v>794</v>
      </c>
      <c r="BK90" s="31" t="s">
        <v>794</v>
      </c>
      <c r="BL90" s="31" t="s">
        <v>794</v>
      </c>
      <c r="BM90" s="31" t="s">
        <v>794</v>
      </c>
      <c r="BN90" s="31" t="s">
        <v>794</v>
      </c>
      <c r="BO90" s="31"/>
      <c r="BP90" s="31"/>
      <c r="BQ90" s="31" t="s">
        <v>794</v>
      </c>
      <c r="BR90" s="31" t="s">
        <v>794</v>
      </c>
      <c r="BS90" s="31" t="s">
        <v>794</v>
      </c>
      <c r="BT90" s="31"/>
      <c r="BU90" s="31" t="s">
        <v>794</v>
      </c>
      <c r="BV90" s="31" t="s">
        <v>794</v>
      </c>
      <c r="BW90" s="31"/>
      <c r="BX90" s="31" t="s">
        <v>794</v>
      </c>
      <c r="BY90" s="31" t="s">
        <v>794</v>
      </c>
      <c r="BZ90" s="31" t="s">
        <v>794</v>
      </c>
      <c r="CA90" s="31" t="s">
        <v>794</v>
      </c>
      <c r="CB90" s="31" t="s">
        <v>794</v>
      </c>
      <c r="CC90" s="31" t="s">
        <v>794</v>
      </c>
      <c r="CD90" s="31"/>
      <c r="CE90" s="31" t="s">
        <v>794</v>
      </c>
      <c r="CF90" s="31" t="s">
        <v>794</v>
      </c>
      <c r="CG90" s="31" t="s">
        <v>794</v>
      </c>
      <c r="CH90" s="31" t="s">
        <v>794</v>
      </c>
      <c r="CI90" s="31"/>
      <c r="CJ90" s="31" t="s">
        <v>794</v>
      </c>
      <c r="CK90" s="31"/>
      <c r="CL90" s="31"/>
    </row>
    <row r="91" spans="1:90" ht="18.5" x14ac:dyDescent="0.45">
      <c r="A91" s="77" t="s">
        <v>114</v>
      </c>
      <c r="B91" s="78"/>
      <c r="C91" s="78" t="s">
        <v>115</v>
      </c>
      <c r="D91" s="77">
        <v>56500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23">
        <f t="shared" si="7"/>
        <v>56500</v>
      </c>
      <c r="W91" s="6"/>
      <c r="X91" s="23">
        <f t="shared" si="8"/>
        <v>56500</v>
      </c>
      <c r="Y91" s="31"/>
      <c r="Z91" s="31"/>
      <c r="AA91" s="31" t="s">
        <v>791</v>
      </c>
      <c r="AB91" s="31"/>
      <c r="AC91" s="31" t="s">
        <v>791</v>
      </c>
      <c r="AD91" s="31" t="s">
        <v>791</v>
      </c>
      <c r="AE91" s="31" t="s">
        <v>791</v>
      </c>
      <c r="AF91" s="31"/>
      <c r="AG91" s="31"/>
      <c r="AH91" s="31"/>
      <c r="AI91" s="31"/>
      <c r="AJ91" s="31"/>
      <c r="AK91" s="31"/>
      <c r="AL91" s="31"/>
      <c r="AM91" s="31" t="s">
        <v>791</v>
      </c>
      <c r="AN91" s="31"/>
      <c r="AO91" s="31" t="s">
        <v>791</v>
      </c>
      <c r="AP91" s="31" t="s">
        <v>791</v>
      </c>
      <c r="AQ91" s="31" t="s">
        <v>791</v>
      </c>
      <c r="AR91" s="31" t="s">
        <v>791</v>
      </c>
      <c r="AS91" s="31" t="s">
        <v>791</v>
      </c>
      <c r="AT91" s="31" t="s">
        <v>791</v>
      </c>
      <c r="AU91" s="31"/>
      <c r="AV91" s="31" t="s">
        <v>791</v>
      </c>
      <c r="AW91" s="31" t="s">
        <v>791</v>
      </c>
      <c r="AX91" s="31" t="s">
        <v>791</v>
      </c>
      <c r="AY91" s="31" t="s">
        <v>791</v>
      </c>
      <c r="AZ91" s="31" t="s">
        <v>791</v>
      </c>
      <c r="BA91" s="31" t="s">
        <v>791</v>
      </c>
      <c r="BB91" s="31"/>
      <c r="BC91" s="31" t="s">
        <v>791</v>
      </c>
      <c r="BD91" s="31"/>
      <c r="BE91" s="31" t="s">
        <v>791</v>
      </c>
      <c r="BF91" s="31" t="s">
        <v>791</v>
      </c>
      <c r="BG91" s="31" t="s">
        <v>791</v>
      </c>
      <c r="BH91" s="31" t="s">
        <v>791</v>
      </c>
      <c r="BI91" s="31"/>
      <c r="BJ91" s="31" t="s">
        <v>791</v>
      </c>
      <c r="BK91" s="31" t="s">
        <v>791</v>
      </c>
      <c r="BL91" s="31" t="s">
        <v>791</v>
      </c>
      <c r="BM91" s="31" t="s">
        <v>791</v>
      </c>
      <c r="BN91" s="31" t="s">
        <v>791</v>
      </c>
      <c r="BO91" s="31"/>
      <c r="BP91" s="31"/>
      <c r="BQ91" s="31" t="s">
        <v>791</v>
      </c>
      <c r="BR91" s="31" t="s">
        <v>791</v>
      </c>
      <c r="BS91" s="31" t="s">
        <v>791</v>
      </c>
      <c r="BT91" s="31"/>
      <c r="BU91" s="31" t="s">
        <v>791</v>
      </c>
      <c r="BV91" s="31" t="s">
        <v>791</v>
      </c>
      <c r="BW91" s="31"/>
      <c r="BX91" s="31" t="s">
        <v>791</v>
      </c>
      <c r="BY91" s="31" t="s">
        <v>791</v>
      </c>
      <c r="BZ91" s="31" t="s">
        <v>791</v>
      </c>
      <c r="CA91" s="31" t="s">
        <v>791</v>
      </c>
      <c r="CB91" s="31" t="s">
        <v>791</v>
      </c>
      <c r="CC91" s="31" t="s">
        <v>791</v>
      </c>
      <c r="CD91" s="31"/>
      <c r="CE91" s="31" t="s">
        <v>791</v>
      </c>
      <c r="CF91" s="31" t="s">
        <v>791</v>
      </c>
      <c r="CG91" s="31" t="s">
        <v>791</v>
      </c>
      <c r="CH91" s="31" t="s">
        <v>791</v>
      </c>
      <c r="CI91" s="31"/>
      <c r="CJ91" s="31" t="s">
        <v>791</v>
      </c>
      <c r="CK91" s="31"/>
      <c r="CL91" s="31"/>
    </row>
    <row r="92" spans="1:90" x14ac:dyDescent="0.35">
      <c r="A92" s="2" t="s">
        <v>116</v>
      </c>
      <c r="B92" s="3"/>
      <c r="C92" s="3">
        <v>9851239333</v>
      </c>
      <c r="D92" s="8">
        <v>208310.03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23">
        <f t="shared" si="7"/>
        <v>208310.03</v>
      </c>
      <c r="W92" s="6"/>
      <c r="X92" s="23">
        <f t="shared" si="8"/>
        <v>208310.03</v>
      </c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 t="s">
        <v>794</v>
      </c>
      <c r="AR92" s="31" t="s">
        <v>794</v>
      </c>
      <c r="AS92" s="31" t="s">
        <v>794</v>
      </c>
      <c r="AT92" s="31" t="s">
        <v>794</v>
      </c>
      <c r="AU92" s="31"/>
      <c r="AV92" s="31" t="s">
        <v>794</v>
      </c>
      <c r="AW92" s="31" t="s">
        <v>794</v>
      </c>
      <c r="AX92" s="31" t="s">
        <v>794</v>
      </c>
      <c r="AY92" s="31" t="s">
        <v>794</v>
      </c>
      <c r="AZ92" s="31" t="s">
        <v>794</v>
      </c>
      <c r="BA92" s="31" t="s">
        <v>794</v>
      </c>
      <c r="BB92" s="31"/>
      <c r="BC92" s="31" t="s">
        <v>794</v>
      </c>
      <c r="BD92" s="31"/>
      <c r="BE92" s="31" t="s">
        <v>794</v>
      </c>
      <c r="BF92" s="31" t="s">
        <v>794</v>
      </c>
      <c r="BG92" s="31" t="s">
        <v>794</v>
      </c>
      <c r="BH92" s="31" t="s">
        <v>794</v>
      </c>
      <c r="BI92" s="31"/>
      <c r="BJ92" s="31" t="s">
        <v>794</v>
      </c>
      <c r="BK92" s="31" t="s">
        <v>794</v>
      </c>
      <c r="BL92" s="31" t="s">
        <v>794</v>
      </c>
      <c r="BM92" s="31" t="s">
        <v>794</v>
      </c>
      <c r="BN92" s="31" t="s">
        <v>794</v>
      </c>
      <c r="BO92" s="31"/>
      <c r="BP92" s="31"/>
      <c r="BQ92" s="31" t="s">
        <v>794</v>
      </c>
      <c r="BR92" s="31" t="s">
        <v>794</v>
      </c>
      <c r="BS92" s="31" t="s">
        <v>794</v>
      </c>
      <c r="BT92" s="31"/>
      <c r="BU92" s="31" t="s">
        <v>794</v>
      </c>
      <c r="BV92" s="31" t="s">
        <v>794</v>
      </c>
      <c r="BW92" s="31"/>
      <c r="BX92" s="31" t="s">
        <v>794</v>
      </c>
      <c r="BY92" s="31" t="s">
        <v>794</v>
      </c>
      <c r="BZ92" s="31" t="s">
        <v>794</v>
      </c>
      <c r="CA92" s="31" t="s">
        <v>794</v>
      </c>
      <c r="CB92" s="31" t="s">
        <v>794</v>
      </c>
      <c r="CC92" s="31" t="s">
        <v>794</v>
      </c>
      <c r="CD92" s="31"/>
      <c r="CE92" s="31" t="s">
        <v>794</v>
      </c>
      <c r="CF92" s="31" t="s">
        <v>794</v>
      </c>
      <c r="CG92" s="31" t="s">
        <v>794</v>
      </c>
      <c r="CH92" s="31" t="s">
        <v>794</v>
      </c>
      <c r="CI92" s="31"/>
      <c r="CJ92" s="31" t="s">
        <v>794</v>
      </c>
      <c r="CK92" s="31"/>
      <c r="CL92" s="31"/>
    </row>
    <row r="93" spans="1:90" x14ac:dyDescent="0.35">
      <c r="A93" s="2" t="s">
        <v>117</v>
      </c>
      <c r="B93" s="3"/>
      <c r="C93" s="3" t="s">
        <v>118</v>
      </c>
      <c r="D93" s="6">
        <v>37500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23">
        <f t="shared" si="7"/>
        <v>37500</v>
      </c>
      <c r="W93" s="6"/>
      <c r="X93" s="23">
        <f t="shared" si="8"/>
        <v>37500</v>
      </c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 t="s">
        <v>794</v>
      </c>
      <c r="AU93" s="31"/>
      <c r="AV93" s="31" t="s">
        <v>794</v>
      </c>
      <c r="AW93" s="31" t="s">
        <v>794</v>
      </c>
      <c r="AX93" s="31" t="s">
        <v>794</v>
      </c>
      <c r="AY93" s="31" t="s">
        <v>794</v>
      </c>
      <c r="AZ93" s="31" t="s">
        <v>794</v>
      </c>
      <c r="BA93" s="31" t="s">
        <v>794</v>
      </c>
      <c r="BB93" s="31"/>
      <c r="BC93" s="31" t="s">
        <v>794</v>
      </c>
      <c r="BD93" s="31"/>
      <c r="BE93" s="31" t="s">
        <v>794</v>
      </c>
      <c r="BF93" s="31" t="s">
        <v>794</v>
      </c>
      <c r="BG93" s="31" t="s">
        <v>794</v>
      </c>
      <c r="BH93" s="31" t="s">
        <v>794</v>
      </c>
      <c r="BI93" s="31"/>
      <c r="BJ93" s="31" t="s">
        <v>794</v>
      </c>
      <c r="BK93" s="31" t="s">
        <v>794</v>
      </c>
      <c r="BL93" s="31" t="s">
        <v>794</v>
      </c>
      <c r="BM93" s="31" t="s">
        <v>794</v>
      </c>
      <c r="BN93" s="31" t="s">
        <v>794</v>
      </c>
      <c r="BO93" s="31"/>
      <c r="BP93" s="31"/>
      <c r="BQ93" s="31" t="s">
        <v>794</v>
      </c>
      <c r="BR93" s="31" t="s">
        <v>794</v>
      </c>
      <c r="BS93" s="31" t="s">
        <v>794</v>
      </c>
      <c r="BT93" s="31"/>
      <c r="BU93" s="31" t="s">
        <v>794</v>
      </c>
      <c r="BV93" s="31" t="s">
        <v>794</v>
      </c>
      <c r="BW93" s="31"/>
      <c r="BX93" s="31" t="s">
        <v>794</v>
      </c>
      <c r="BY93" s="31" t="s">
        <v>794</v>
      </c>
      <c r="BZ93" s="31" t="s">
        <v>794</v>
      </c>
      <c r="CA93" s="31" t="s">
        <v>794</v>
      </c>
      <c r="CB93" s="31" t="s">
        <v>794</v>
      </c>
      <c r="CC93" s="31" t="s">
        <v>794</v>
      </c>
      <c r="CD93" s="31"/>
      <c r="CE93" s="31" t="s">
        <v>794</v>
      </c>
      <c r="CF93" s="31" t="s">
        <v>794</v>
      </c>
      <c r="CG93" s="31" t="s">
        <v>794</v>
      </c>
      <c r="CH93" s="31" t="s">
        <v>794</v>
      </c>
      <c r="CI93" s="31"/>
      <c r="CJ93" s="31" t="s">
        <v>794</v>
      </c>
      <c r="CK93" s="31"/>
      <c r="CL93" s="31"/>
    </row>
    <row r="94" spans="1:90" x14ac:dyDescent="0.35">
      <c r="A94" s="2" t="s">
        <v>119</v>
      </c>
      <c r="B94" s="3"/>
      <c r="C94" s="3" t="s">
        <v>120</v>
      </c>
      <c r="D94" s="6">
        <v>4079.1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23">
        <f t="shared" si="7"/>
        <v>4079.1</v>
      </c>
      <c r="W94" s="6"/>
      <c r="X94" s="23">
        <f t="shared" si="8"/>
        <v>4079.1</v>
      </c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 t="s">
        <v>794</v>
      </c>
      <c r="AR94" s="31" t="s">
        <v>794</v>
      </c>
      <c r="AS94" s="31" t="s">
        <v>794</v>
      </c>
      <c r="AT94" s="31" t="s">
        <v>794</v>
      </c>
      <c r="AU94" s="31"/>
      <c r="AV94" s="31" t="s">
        <v>794</v>
      </c>
      <c r="AW94" s="31" t="s">
        <v>794</v>
      </c>
      <c r="AX94" s="31" t="s">
        <v>794</v>
      </c>
      <c r="AY94" s="31" t="s">
        <v>794</v>
      </c>
      <c r="AZ94" s="31" t="s">
        <v>794</v>
      </c>
      <c r="BA94" s="31" t="s">
        <v>794</v>
      </c>
      <c r="BB94" s="31"/>
      <c r="BC94" s="31" t="s">
        <v>794</v>
      </c>
      <c r="BD94" s="31"/>
      <c r="BE94" s="31" t="s">
        <v>794</v>
      </c>
      <c r="BF94" s="31" t="s">
        <v>794</v>
      </c>
      <c r="BG94" s="31" t="s">
        <v>794</v>
      </c>
      <c r="BH94" s="31" t="s">
        <v>794</v>
      </c>
      <c r="BI94" s="31"/>
      <c r="BJ94" s="31" t="s">
        <v>794</v>
      </c>
      <c r="BK94" s="31" t="s">
        <v>794</v>
      </c>
      <c r="BL94" s="31" t="s">
        <v>794</v>
      </c>
      <c r="BM94" s="31" t="s">
        <v>794</v>
      </c>
      <c r="BN94" s="31" t="s">
        <v>794</v>
      </c>
      <c r="BO94" s="31"/>
      <c r="BP94" s="31"/>
      <c r="BQ94" s="31" t="s">
        <v>794</v>
      </c>
      <c r="BR94" s="31" t="s">
        <v>794</v>
      </c>
      <c r="BS94" s="31" t="s">
        <v>794</v>
      </c>
      <c r="BT94" s="31"/>
      <c r="BU94" s="31" t="s">
        <v>794</v>
      </c>
      <c r="BV94" s="31" t="s">
        <v>794</v>
      </c>
      <c r="BW94" s="31"/>
      <c r="BX94" s="31" t="s">
        <v>794</v>
      </c>
      <c r="BY94" s="31" t="s">
        <v>794</v>
      </c>
      <c r="BZ94" s="31" t="s">
        <v>794</v>
      </c>
      <c r="CA94" s="31" t="s">
        <v>794</v>
      </c>
      <c r="CB94" s="31" t="s">
        <v>794</v>
      </c>
      <c r="CC94" s="31" t="s">
        <v>794</v>
      </c>
      <c r="CD94" s="31"/>
      <c r="CE94" s="31" t="s">
        <v>794</v>
      </c>
      <c r="CF94" s="31" t="s">
        <v>794</v>
      </c>
      <c r="CG94" s="31" t="s">
        <v>794</v>
      </c>
      <c r="CH94" s="31" t="s">
        <v>794</v>
      </c>
      <c r="CI94" s="31"/>
      <c r="CJ94" s="31" t="s">
        <v>794</v>
      </c>
      <c r="CK94" s="31"/>
      <c r="CL94" s="31"/>
    </row>
    <row r="95" spans="1:90" x14ac:dyDescent="0.35">
      <c r="A95" s="15" t="s">
        <v>121</v>
      </c>
      <c r="B95" s="16"/>
      <c r="C95" s="16"/>
      <c r="D95" s="23">
        <v>-4500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23">
        <f t="shared" si="7"/>
        <v>-4500</v>
      </c>
      <c r="W95" s="15"/>
      <c r="X95" s="15">
        <f t="shared" si="8"/>
        <v>-4500</v>
      </c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S95"/>
      <c r="BU95"/>
      <c r="BV95"/>
      <c r="BX95"/>
      <c r="BY95"/>
      <c r="BZ95"/>
      <c r="CA95"/>
      <c r="CB95"/>
      <c r="CC95"/>
      <c r="CE95"/>
      <c r="CF95"/>
      <c r="CG95"/>
      <c r="CH95"/>
      <c r="CI95" s="31"/>
      <c r="CJ95" s="31"/>
      <c r="CK95" s="31"/>
      <c r="CL95" s="31"/>
    </row>
    <row r="96" spans="1:90" x14ac:dyDescent="0.35">
      <c r="A96" s="2" t="s">
        <v>122</v>
      </c>
      <c r="B96" s="3"/>
      <c r="C96" s="3">
        <v>9857031023</v>
      </c>
      <c r="D96" s="8">
        <v>149882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23">
        <f t="shared" si="7"/>
        <v>149882</v>
      </c>
      <c r="W96" s="6"/>
      <c r="X96" s="23">
        <f t="shared" si="8"/>
        <v>149882</v>
      </c>
      <c r="Y96" s="31"/>
      <c r="Z96" s="31"/>
      <c r="AA96" s="31" t="s">
        <v>794</v>
      </c>
      <c r="AB96" s="31"/>
      <c r="AC96" s="31" t="s">
        <v>794</v>
      </c>
      <c r="AD96" s="31" t="s">
        <v>794</v>
      </c>
      <c r="AE96" s="31" t="s">
        <v>794</v>
      </c>
      <c r="AF96" s="31" t="s">
        <v>793</v>
      </c>
      <c r="AG96" s="31"/>
      <c r="AH96" s="31" t="s">
        <v>793</v>
      </c>
      <c r="AI96" s="31" t="s">
        <v>793</v>
      </c>
      <c r="AJ96" s="31" t="s">
        <v>793</v>
      </c>
      <c r="AK96" s="31" t="s">
        <v>793</v>
      </c>
      <c r="AL96" s="31" t="s">
        <v>793</v>
      </c>
      <c r="AM96" s="31" t="s">
        <v>793</v>
      </c>
      <c r="AN96" s="31"/>
      <c r="AO96" s="31" t="s">
        <v>793</v>
      </c>
      <c r="AP96" s="31" t="s">
        <v>793</v>
      </c>
      <c r="AQ96" s="31" t="s">
        <v>793</v>
      </c>
      <c r="AR96" s="31" t="s">
        <v>793</v>
      </c>
      <c r="AS96" s="31" t="s">
        <v>793</v>
      </c>
      <c r="AT96" s="31" t="s">
        <v>793</v>
      </c>
      <c r="AU96" s="31"/>
      <c r="AV96" s="31" t="s">
        <v>793</v>
      </c>
      <c r="AW96" s="31" t="s">
        <v>793</v>
      </c>
      <c r="AX96" s="31" t="s">
        <v>793</v>
      </c>
      <c r="AY96" s="31" t="s">
        <v>793</v>
      </c>
      <c r="AZ96" s="31" t="s">
        <v>793</v>
      </c>
      <c r="BA96" s="31" t="s">
        <v>793</v>
      </c>
      <c r="BB96" s="31"/>
      <c r="BC96" s="31" t="s">
        <v>793</v>
      </c>
      <c r="BD96" s="31"/>
      <c r="BE96" s="31" t="s">
        <v>793</v>
      </c>
      <c r="BF96" s="31" t="s">
        <v>793</v>
      </c>
      <c r="BG96" s="31" t="s">
        <v>793</v>
      </c>
      <c r="BH96" s="31" t="s">
        <v>793</v>
      </c>
      <c r="BI96" s="31"/>
      <c r="BJ96" s="31" t="s">
        <v>793</v>
      </c>
      <c r="BK96" s="31" t="s">
        <v>793</v>
      </c>
      <c r="BL96" s="31" t="s">
        <v>793</v>
      </c>
      <c r="BM96" s="31" t="s">
        <v>793</v>
      </c>
      <c r="BN96" s="31" t="s">
        <v>793</v>
      </c>
      <c r="BO96" s="31"/>
      <c r="BP96" s="31"/>
      <c r="BQ96" s="31" t="s">
        <v>793</v>
      </c>
      <c r="BR96" s="31" t="s">
        <v>793</v>
      </c>
      <c r="BS96" s="31" t="s">
        <v>793</v>
      </c>
      <c r="BT96" s="31"/>
      <c r="BU96" s="31" t="s">
        <v>793</v>
      </c>
      <c r="BV96" s="31" t="s">
        <v>793</v>
      </c>
      <c r="BW96" s="31"/>
      <c r="BX96" s="31" t="s">
        <v>793</v>
      </c>
      <c r="BY96" s="31" t="s">
        <v>793</v>
      </c>
      <c r="BZ96" s="31" t="s">
        <v>793</v>
      </c>
      <c r="CA96" s="31" t="s">
        <v>793</v>
      </c>
      <c r="CB96" s="31" t="s">
        <v>793</v>
      </c>
      <c r="CC96" s="31" t="s">
        <v>793</v>
      </c>
      <c r="CD96" s="31"/>
      <c r="CE96" s="31" t="s">
        <v>793</v>
      </c>
      <c r="CF96" s="31" t="s">
        <v>793</v>
      </c>
      <c r="CG96" s="31" t="s">
        <v>793</v>
      </c>
      <c r="CH96" s="31" t="s">
        <v>793</v>
      </c>
      <c r="CI96" s="31"/>
      <c r="CJ96" s="31" t="s">
        <v>793</v>
      </c>
      <c r="CK96" s="31"/>
      <c r="CL96" s="31"/>
    </row>
    <row r="97" spans="1:90" ht="18.5" x14ac:dyDescent="0.45">
      <c r="A97" s="77" t="s">
        <v>123</v>
      </c>
      <c r="B97" s="78"/>
      <c r="C97" s="78" t="s">
        <v>124</v>
      </c>
      <c r="D97" s="77">
        <v>3400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23">
        <f t="shared" si="7"/>
        <v>3400</v>
      </c>
      <c r="W97" s="6"/>
      <c r="X97" s="23">
        <f t="shared" si="8"/>
        <v>3400</v>
      </c>
      <c r="Y97" s="31"/>
      <c r="Z97" s="31"/>
      <c r="AA97" s="31"/>
      <c r="AB97" s="31"/>
      <c r="AC97" s="31"/>
      <c r="AD97" s="31"/>
      <c r="AE97" s="31"/>
      <c r="AF97" s="31" t="s">
        <v>794</v>
      </c>
      <c r="AG97" s="31"/>
      <c r="AH97" s="31" t="s">
        <v>794</v>
      </c>
      <c r="AI97" s="31" t="s">
        <v>794</v>
      </c>
      <c r="AJ97" s="31" t="s">
        <v>794</v>
      </c>
      <c r="AK97" s="31" t="s">
        <v>794</v>
      </c>
      <c r="AL97" s="31" t="s">
        <v>794</v>
      </c>
      <c r="AM97" s="31" t="s">
        <v>794</v>
      </c>
      <c r="AN97" s="31"/>
      <c r="AO97" s="31" t="s">
        <v>794</v>
      </c>
      <c r="AP97" s="31" t="s">
        <v>794</v>
      </c>
      <c r="AQ97" s="31" t="s">
        <v>794</v>
      </c>
      <c r="AR97" s="31" t="s">
        <v>794</v>
      </c>
      <c r="AS97" s="31" t="s">
        <v>794</v>
      </c>
      <c r="AT97" s="31" t="s">
        <v>794</v>
      </c>
      <c r="AU97" s="31"/>
      <c r="AV97" s="31" t="s">
        <v>794</v>
      </c>
      <c r="AW97" s="31" t="s">
        <v>794</v>
      </c>
      <c r="AX97" s="31" t="s">
        <v>794</v>
      </c>
      <c r="AY97" s="31" t="s">
        <v>794</v>
      </c>
      <c r="AZ97" s="31" t="s">
        <v>794</v>
      </c>
      <c r="BA97" s="31" t="s">
        <v>794</v>
      </c>
      <c r="BB97" s="31"/>
      <c r="BC97" s="31" t="s">
        <v>794</v>
      </c>
      <c r="BD97" s="31"/>
      <c r="BE97" s="31" t="s">
        <v>794</v>
      </c>
      <c r="BF97" s="31" t="s">
        <v>794</v>
      </c>
      <c r="BG97" s="31" t="s">
        <v>794</v>
      </c>
      <c r="BH97" s="31" t="s">
        <v>794</v>
      </c>
      <c r="BI97" s="31"/>
      <c r="BJ97" s="31" t="s">
        <v>794</v>
      </c>
      <c r="BK97" s="31" t="s">
        <v>794</v>
      </c>
      <c r="BL97" s="31" t="s">
        <v>794</v>
      </c>
      <c r="BM97" s="31" t="s">
        <v>794</v>
      </c>
      <c r="BN97" s="31" t="s">
        <v>794</v>
      </c>
      <c r="BO97" s="31"/>
      <c r="BP97" s="31"/>
      <c r="BQ97" s="31" t="s">
        <v>794</v>
      </c>
      <c r="BR97" s="31" t="s">
        <v>794</v>
      </c>
      <c r="BS97" s="31" t="s">
        <v>794</v>
      </c>
      <c r="BT97" s="31"/>
      <c r="BU97" s="31" t="s">
        <v>794</v>
      </c>
      <c r="BV97" s="31" t="s">
        <v>794</v>
      </c>
      <c r="BW97" s="31"/>
      <c r="BX97" s="31" t="s">
        <v>794</v>
      </c>
      <c r="BY97" s="31" t="s">
        <v>794</v>
      </c>
      <c r="BZ97" s="31" t="s">
        <v>794</v>
      </c>
      <c r="CA97" s="31" t="s">
        <v>794</v>
      </c>
      <c r="CB97" s="31" t="s">
        <v>794</v>
      </c>
      <c r="CC97" s="31" t="s">
        <v>794</v>
      </c>
      <c r="CD97" s="31"/>
      <c r="CE97" s="31" t="s">
        <v>794</v>
      </c>
      <c r="CF97" s="31" t="s">
        <v>794</v>
      </c>
      <c r="CG97" s="31" t="s">
        <v>794</v>
      </c>
      <c r="CH97" s="31" t="s">
        <v>794</v>
      </c>
      <c r="CI97" s="31"/>
      <c r="CJ97" s="31" t="s">
        <v>794</v>
      </c>
      <c r="CK97" s="31"/>
      <c r="CL97" s="31"/>
    </row>
    <row r="98" spans="1:90" ht="18.5" x14ac:dyDescent="0.45">
      <c r="A98" s="83" t="s">
        <v>126</v>
      </c>
      <c r="B98" s="84"/>
      <c r="C98" s="84" t="s">
        <v>127</v>
      </c>
      <c r="D98" s="83">
        <v>130000</v>
      </c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23">
        <f t="shared" si="7"/>
        <v>130000</v>
      </c>
      <c r="W98" s="30"/>
      <c r="X98" s="23">
        <f t="shared" si="8"/>
        <v>130000</v>
      </c>
      <c r="Y98" s="31"/>
      <c r="Z98" s="31"/>
      <c r="AA98" s="31" t="s">
        <v>794</v>
      </c>
      <c r="AB98" s="31"/>
      <c r="AC98" s="31" t="s">
        <v>794</v>
      </c>
      <c r="AD98" s="31" t="s">
        <v>794</v>
      </c>
      <c r="AE98" s="31" t="s">
        <v>794</v>
      </c>
      <c r="AF98" s="31" t="s">
        <v>794</v>
      </c>
      <c r="AG98" s="31"/>
      <c r="AH98" s="31" t="s">
        <v>794</v>
      </c>
      <c r="AI98" s="31" t="s">
        <v>794</v>
      </c>
      <c r="AJ98" s="31" t="s">
        <v>794</v>
      </c>
      <c r="AK98" s="31" t="s">
        <v>794</v>
      </c>
      <c r="AL98" s="31" t="s">
        <v>794</v>
      </c>
      <c r="AM98" s="31" t="s">
        <v>794</v>
      </c>
      <c r="AN98" s="31"/>
      <c r="AO98" s="31" t="s">
        <v>794</v>
      </c>
      <c r="AP98" s="31" t="s">
        <v>794</v>
      </c>
      <c r="AQ98" s="31" t="s">
        <v>794</v>
      </c>
      <c r="AR98" s="31" t="s">
        <v>794</v>
      </c>
      <c r="AS98" s="31" t="s">
        <v>794</v>
      </c>
      <c r="AT98" s="31" t="s">
        <v>794</v>
      </c>
      <c r="AU98" s="31"/>
      <c r="AV98" s="31" t="s">
        <v>794</v>
      </c>
      <c r="AW98" s="31" t="s">
        <v>794</v>
      </c>
      <c r="AX98" s="31" t="s">
        <v>794</v>
      </c>
      <c r="AY98" s="31" t="s">
        <v>794</v>
      </c>
      <c r="AZ98" s="31" t="s">
        <v>794</v>
      </c>
      <c r="BA98" s="31" t="s">
        <v>794</v>
      </c>
      <c r="BB98" s="31"/>
      <c r="BC98" s="31" t="s">
        <v>794</v>
      </c>
      <c r="BD98" s="31"/>
      <c r="BE98" s="31" t="s">
        <v>794</v>
      </c>
      <c r="BF98" s="31" t="s">
        <v>794</v>
      </c>
      <c r="BG98" s="31" t="s">
        <v>794</v>
      </c>
      <c r="BH98" s="31" t="s">
        <v>794</v>
      </c>
      <c r="BI98" s="31"/>
      <c r="BJ98" s="31" t="s">
        <v>794</v>
      </c>
      <c r="BK98" s="31" t="s">
        <v>794</v>
      </c>
      <c r="BL98" s="31" t="s">
        <v>794</v>
      </c>
      <c r="BM98" s="31" t="s">
        <v>794</v>
      </c>
      <c r="BN98" s="31" t="s">
        <v>794</v>
      </c>
      <c r="BO98" s="31"/>
      <c r="BP98" s="31"/>
      <c r="BQ98" s="31" t="s">
        <v>794</v>
      </c>
      <c r="BR98" s="31" t="s">
        <v>794</v>
      </c>
      <c r="BS98" s="31" t="s">
        <v>794</v>
      </c>
      <c r="BT98" s="31"/>
      <c r="BU98" s="31" t="s">
        <v>794</v>
      </c>
      <c r="BV98" s="31" t="s">
        <v>794</v>
      </c>
      <c r="BW98" s="31"/>
      <c r="BX98" s="31" t="s">
        <v>794</v>
      </c>
      <c r="BY98" s="31" t="s">
        <v>794</v>
      </c>
      <c r="BZ98" s="31" t="s">
        <v>794</v>
      </c>
      <c r="CA98" s="31" t="s">
        <v>794</v>
      </c>
      <c r="CB98" s="31" t="s">
        <v>794</v>
      </c>
      <c r="CC98" s="31" t="s">
        <v>794</v>
      </c>
      <c r="CD98" s="31"/>
      <c r="CE98" s="31" t="s">
        <v>794</v>
      </c>
      <c r="CF98" s="31" t="s">
        <v>794</v>
      </c>
      <c r="CG98" s="31" t="s">
        <v>794</v>
      </c>
      <c r="CH98" s="31" t="s">
        <v>794</v>
      </c>
      <c r="CI98" s="31"/>
      <c r="CJ98" s="31" t="s">
        <v>794</v>
      </c>
      <c r="CK98" s="31"/>
      <c r="CL98" s="31"/>
    </row>
    <row r="99" spans="1:90" ht="18.5" x14ac:dyDescent="0.45">
      <c r="A99" s="77" t="s">
        <v>128</v>
      </c>
      <c r="B99" s="78"/>
      <c r="C99" s="78">
        <v>9857030719</v>
      </c>
      <c r="D99" s="77">
        <v>5500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23">
        <f t="shared" si="7"/>
        <v>5500</v>
      </c>
      <c r="W99" s="6"/>
      <c r="X99" s="23">
        <f t="shared" si="8"/>
        <v>5500</v>
      </c>
      <c r="Y99" s="31"/>
      <c r="Z99" s="31"/>
      <c r="AA99" s="31" t="s">
        <v>794</v>
      </c>
      <c r="AB99" s="31"/>
      <c r="AC99" s="31" t="s">
        <v>794</v>
      </c>
      <c r="AD99" s="31" t="s">
        <v>794</v>
      </c>
      <c r="AE99" s="31" t="s">
        <v>794</v>
      </c>
      <c r="AF99" s="31" t="s">
        <v>793</v>
      </c>
      <c r="AG99" s="31"/>
      <c r="AH99" s="31" t="s">
        <v>793</v>
      </c>
      <c r="AI99" s="31" t="s">
        <v>793</v>
      </c>
      <c r="AJ99" s="31" t="s">
        <v>793</v>
      </c>
      <c r="AK99" s="31" t="s">
        <v>793</v>
      </c>
      <c r="AL99" s="31" t="s">
        <v>793</v>
      </c>
      <c r="AM99" s="31" t="s">
        <v>793</v>
      </c>
      <c r="AN99" s="31"/>
      <c r="AO99" s="31" t="s">
        <v>793</v>
      </c>
      <c r="AP99" s="31" t="s">
        <v>793</v>
      </c>
      <c r="AQ99" s="31" t="s">
        <v>793</v>
      </c>
      <c r="AR99" s="31" t="s">
        <v>793</v>
      </c>
      <c r="AS99" s="31" t="s">
        <v>793</v>
      </c>
      <c r="AT99" s="31" t="s">
        <v>793</v>
      </c>
      <c r="AU99" s="31"/>
      <c r="AV99" s="31" t="s">
        <v>793</v>
      </c>
      <c r="AW99" s="31" t="s">
        <v>793</v>
      </c>
      <c r="AX99" s="31" t="s">
        <v>793</v>
      </c>
      <c r="AY99" s="31" t="s">
        <v>793</v>
      </c>
      <c r="AZ99" s="31" t="s">
        <v>793</v>
      </c>
      <c r="BA99" s="31" t="s">
        <v>793</v>
      </c>
      <c r="BB99" s="31"/>
      <c r="BC99" s="31" t="s">
        <v>793</v>
      </c>
      <c r="BD99" s="31"/>
      <c r="BE99" s="31" t="s">
        <v>793</v>
      </c>
      <c r="BF99" s="31" t="s">
        <v>793</v>
      </c>
      <c r="BG99" s="31" t="s">
        <v>793</v>
      </c>
      <c r="BH99" s="31" t="s">
        <v>793</v>
      </c>
      <c r="BI99" s="31"/>
      <c r="BJ99" s="31" t="s">
        <v>793</v>
      </c>
      <c r="BK99" s="31" t="s">
        <v>793</v>
      </c>
      <c r="BL99" s="31" t="s">
        <v>793</v>
      </c>
      <c r="BM99" s="31" t="s">
        <v>793</v>
      </c>
      <c r="BN99" s="31" t="s">
        <v>793</v>
      </c>
      <c r="BO99" s="31"/>
      <c r="BP99" s="31"/>
      <c r="BQ99" s="31" t="s">
        <v>793</v>
      </c>
      <c r="BR99" s="31" t="s">
        <v>793</v>
      </c>
      <c r="BS99" s="31" t="s">
        <v>793</v>
      </c>
      <c r="BT99" s="31"/>
      <c r="BU99" s="31" t="s">
        <v>793</v>
      </c>
      <c r="BV99" s="31" t="s">
        <v>793</v>
      </c>
      <c r="BW99" s="31"/>
      <c r="BX99" s="31" t="s">
        <v>793</v>
      </c>
      <c r="BY99" s="31" t="s">
        <v>793</v>
      </c>
      <c r="BZ99" s="31" t="s">
        <v>793</v>
      </c>
      <c r="CA99" s="31" t="s">
        <v>793</v>
      </c>
      <c r="CB99" s="31" t="s">
        <v>793</v>
      </c>
      <c r="CC99" s="31" t="s">
        <v>793</v>
      </c>
      <c r="CD99" s="31"/>
      <c r="CE99" s="31" t="s">
        <v>793</v>
      </c>
      <c r="CF99" s="31" t="s">
        <v>793</v>
      </c>
      <c r="CG99" s="31" t="s">
        <v>793</v>
      </c>
      <c r="CH99" s="31" t="s">
        <v>793</v>
      </c>
      <c r="CI99" s="31"/>
      <c r="CJ99" s="31" t="s">
        <v>793</v>
      </c>
      <c r="CK99" s="31"/>
      <c r="CL99" s="31"/>
    </row>
    <row r="100" spans="1:90" x14ac:dyDescent="0.35">
      <c r="A100" s="15" t="s">
        <v>129</v>
      </c>
      <c r="B100" s="16"/>
      <c r="C100" s="16">
        <v>9847038203</v>
      </c>
      <c r="D100" s="37">
        <v>-35432</v>
      </c>
      <c r="E100" s="8"/>
      <c r="F100" s="8"/>
      <c r="G100" s="8"/>
      <c r="H100" s="8"/>
      <c r="I100" s="8"/>
      <c r="J100" s="8"/>
      <c r="K100" s="8"/>
      <c r="L100" s="8"/>
      <c r="M100" s="15"/>
      <c r="N100" s="15"/>
      <c r="O100" s="15"/>
      <c r="P100" s="15"/>
      <c r="Q100" s="15"/>
      <c r="R100" s="15"/>
      <c r="S100" s="15"/>
      <c r="T100" s="15"/>
      <c r="U100" s="15"/>
      <c r="V100" s="23">
        <f t="shared" si="7"/>
        <v>-35432</v>
      </c>
      <c r="W100" s="15"/>
      <c r="X100" s="15">
        <f t="shared" si="8"/>
        <v>-35432</v>
      </c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S100"/>
      <c r="BU100"/>
      <c r="BV100"/>
      <c r="BX100"/>
      <c r="BY100"/>
      <c r="BZ100"/>
      <c r="CA100"/>
      <c r="CB100"/>
      <c r="CC100"/>
      <c r="CE100"/>
      <c r="CF100"/>
      <c r="CG100"/>
      <c r="CH100"/>
      <c r="CI100" s="31"/>
      <c r="CJ100"/>
    </row>
    <row r="101" spans="1:90" x14ac:dyDescent="0.35">
      <c r="A101" s="2" t="s">
        <v>130</v>
      </c>
      <c r="B101" s="3"/>
      <c r="C101" s="3" t="s">
        <v>131</v>
      </c>
      <c r="D101" s="6">
        <v>2900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23">
        <f t="shared" si="7"/>
        <v>2900</v>
      </c>
      <c r="W101" s="6"/>
      <c r="X101" s="23">
        <f t="shared" si="8"/>
        <v>2900</v>
      </c>
      <c r="Y101" s="31"/>
      <c r="Z101" s="31"/>
      <c r="AA101" s="31" t="s">
        <v>791</v>
      </c>
      <c r="AB101" s="31"/>
      <c r="AC101" s="31" t="s">
        <v>791</v>
      </c>
      <c r="AD101" s="31" t="s">
        <v>791</v>
      </c>
      <c r="AE101" s="31" t="s">
        <v>791</v>
      </c>
      <c r="AF101" s="31" t="s">
        <v>826</v>
      </c>
      <c r="AG101" s="31"/>
      <c r="AH101" s="31" t="s">
        <v>826</v>
      </c>
      <c r="AI101" s="31" t="s">
        <v>826</v>
      </c>
      <c r="AJ101" s="31" t="s">
        <v>826</v>
      </c>
      <c r="AK101" s="31" t="s">
        <v>791</v>
      </c>
      <c r="AL101" s="31" t="s">
        <v>791</v>
      </c>
      <c r="AM101" s="31" t="s">
        <v>791</v>
      </c>
      <c r="AN101" s="31"/>
      <c r="AO101" s="31" t="s">
        <v>791</v>
      </c>
      <c r="AP101" s="31" t="s">
        <v>791</v>
      </c>
      <c r="AQ101" s="31" t="s">
        <v>791</v>
      </c>
      <c r="AR101" s="31" t="s">
        <v>791</v>
      </c>
      <c r="AS101" s="31" t="s">
        <v>791</v>
      </c>
      <c r="AT101" s="31" t="s">
        <v>791</v>
      </c>
      <c r="AU101" s="31"/>
      <c r="AV101" s="31" t="s">
        <v>791</v>
      </c>
      <c r="AW101" s="31" t="s">
        <v>791</v>
      </c>
      <c r="AX101" s="31" t="s">
        <v>791</v>
      </c>
      <c r="AY101" s="31" t="s">
        <v>791</v>
      </c>
      <c r="AZ101" s="31" t="s">
        <v>791</v>
      </c>
      <c r="BA101" s="31" t="s">
        <v>791</v>
      </c>
      <c r="BB101" s="31"/>
      <c r="BC101" s="31" t="s">
        <v>791</v>
      </c>
      <c r="BD101" s="31"/>
      <c r="BE101" s="31" t="s">
        <v>794</v>
      </c>
      <c r="BF101" s="31" t="s">
        <v>794</v>
      </c>
      <c r="BG101" s="31" t="s">
        <v>794</v>
      </c>
      <c r="BH101" s="31" t="s">
        <v>794</v>
      </c>
      <c r="BI101" s="31"/>
      <c r="BJ101" s="31" t="s">
        <v>794</v>
      </c>
      <c r="BK101" s="31" t="s">
        <v>794</v>
      </c>
      <c r="BL101" s="31" t="s">
        <v>794</v>
      </c>
      <c r="BM101" s="31" t="s">
        <v>794</v>
      </c>
      <c r="BN101" s="31" t="s">
        <v>794</v>
      </c>
      <c r="BO101" s="31"/>
      <c r="BP101" s="31"/>
      <c r="BQ101" s="31" t="s">
        <v>794</v>
      </c>
      <c r="BR101" s="31" t="s">
        <v>794</v>
      </c>
      <c r="BS101" s="31" t="s">
        <v>794</v>
      </c>
      <c r="BT101" s="31"/>
      <c r="BU101" s="31" t="s">
        <v>794</v>
      </c>
      <c r="BV101" s="31" t="s">
        <v>794</v>
      </c>
      <c r="BW101" s="31"/>
      <c r="BX101" s="31" t="s">
        <v>794</v>
      </c>
      <c r="BY101" s="31" t="s">
        <v>794</v>
      </c>
      <c r="BZ101" s="31" t="s">
        <v>794</v>
      </c>
      <c r="CA101" s="31" t="s">
        <v>794</v>
      </c>
      <c r="CB101" s="31" t="s">
        <v>794</v>
      </c>
      <c r="CC101" s="31" t="s">
        <v>794</v>
      </c>
      <c r="CD101" s="31"/>
      <c r="CE101" s="31" t="s">
        <v>794</v>
      </c>
      <c r="CF101" s="31" t="s">
        <v>794</v>
      </c>
      <c r="CG101" s="31" t="s">
        <v>794</v>
      </c>
      <c r="CH101" s="31" t="s">
        <v>794</v>
      </c>
      <c r="CI101" s="31"/>
      <c r="CJ101" s="31" t="s">
        <v>794</v>
      </c>
      <c r="CK101" s="31"/>
      <c r="CL101" s="31"/>
    </row>
    <row r="102" spans="1:90" ht="18.5" x14ac:dyDescent="0.45">
      <c r="A102" s="77" t="s">
        <v>132</v>
      </c>
      <c r="B102" s="78"/>
      <c r="C102" s="78" t="s">
        <v>133</v>
      </c>
      <c r="D102" s="77">
        <v>6315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23">
        <f t="shared" si="7"/>
        <v>6315</v>
      </c>
      <c r="W102" s="6"/>
      <c r="X102" s="23">
        <f t="shared" si="8"/>
        <v>6315</v>
      </c>
      <c r="Y102" s="31"/>
      <c r="Z102" s="31"/>
      <c r="AA102" s="31" t="s">
        <v>794</v>
      </c>
      <c r="AB102" s="31"/>
      <c r="AC102" s="31" t="s">
        <v>794</v>
      </c>
      <c r="AD102" s="31" t="s">
        <v>794</v>
      </c>
      <c r="AE102" s="31" t="s">
        <v>794</v>
      </c>
      <c r="AF102" s="31" t="s">
        <v>793</v>
      </c>
      <c r="AG102" s="31"/>
      <c r="AH102" s="31" t="s">
        <v>793</v>
      </c>
      <c r="AI102" s="31" t="s">
        <v>793</v>
      </c>
      <c r="AJ102" s="31" t="s">
        <v>793</v>
      </c>
      <c r="AK102" s="31" t="s">
        <v>793</v>
      </c>
      <c r="AL102" s="31" t="s">
        <v>793</v>
      </c>
      <c r="AM102" s="31" t="s">
        <v>793</v>
      </c>
      <c r="AN102" s="31"/>
      <c r="AO102" s="31" t="s">
        <v>793</v>
      </c>
      <c r="AP102" s="31" t="s">
        <v>793</v>
      </c>
      <c r="AQ102" s="31" t="s">
        <v>793</v>
      </c>
      <c r="AR102" s="31" t="s">
        <v>793</v>
      </c>
      <c r="AS102" s="31" t="s">
        <v>793</v>
      </c>
      <c r="AT102" s="31" t="s">
        <v>793</v>
      </c>
      <c r="AU102" s="31"/>
      <c r="AV102" s="31" t="s">
        <v>793</v>
      </c>
      <c r="AW102" s="31" t="s">
        <v>793</v>
      </c>
      <c r="AX102" s="31" t="s">
        <v>793</v>
      </c>
      <c r="AY102" s="31" t="s">
        <v>793</v>
      </c>
      <c r="AZ102" s="31" t="s">
        <v>793</v>
      </c>
      <c r="BA102" s="31" t="s">
        <v>793</v>
      </c>
      <c r="BB102" s="31"/>
      <c r="BC102" s="31" t="s">
        <v>793</v>
      </c>
      <c r="BD102" s="31"/>
      <c r="BE102" s="31" t="s">
        <v>794</v>
      </c>
      <c r="BF102" s="31" t="s">
        <v>794</v>
      </c>
      <c r="BG102" s="31" t="s">
        <v>794</v>
      </c>
      <c r="BH102" s="31" t="s">
        <v>794</v>
      </c>
      <c r="BI102" s="31"/>
      <c r="BJ102" s="31" t="s">
        <v>794</v>
      </c>
      <c r="BK102" s="31" t="s">
        <v>794</v>
      </c>
      <c r="BL102" s="31" t="s">
        <v>794</v>
      </c>
      <c r="BM102" s="31" t="s">
        <v>794</v>
      </c>
      <c r="BN102" s="31" t="s">
        <v>794</v>
      </c>
      <c r="BO102" s="31"/>
      <c r="BP102" s="31"/>
      <c r="BQ102" s="31" t="s">
        <v>794</v>
      </c>
      <c r="BR102" s="31" t="s">
        <v>794</v>
      </c>
      <c r="BS102" s="31" t="s">
        <v>794</v>
      </c>
      <c r="BT102" s="31"/>
      <c r="BU102" s="31" t="s">
        <v>794</v>
      </c>
      <c r="BV102" s="31" t="s">
        <v>794</v>
      </c>
      <c r="BW102" s="31"/>
      <c r="BX102" s="31" t="s">
        <v>794</v>
      </c>
      <c r="BY102" s="31" t="s">
        <v>794</v>
      </c>
      <c r="BZ102" s="31" t="s">
        <v>794</v>
      </c>
      <c r="CA102" s="31" t="s">
        <v>794</v>
      </c>
      <c r="CB102" s="31" t="s">
        <v>794</v>
      </c>
      <c r="CC102" s="31" t="s">
        <v>794</v>
      </c>
      <c r="CD102" s="31"/>
      <c r="CE102" s="31" t="s">
        <v>794</v>
      </c>
      <c r="CF102" s="31" t="s">
        <v>794</v>
      </c>
      <c r="CG102" s="31" t="s">
        <v>794</v>
      </c>
      <c r="CH102" s="31" t="s">
        <v>794</v>
      </c>
      <c r="CI102" s="31"/>
      <c r="CJ102" s="31" t="s">
        <v>794</v>
      </c>
      <c r="CK102" s="31"/>
      <c r="CL102" s="31"/>
    </row>
    <row r="103" spans="1:90" s="50" customFormat="1" x14ac:dyDescent="0.35">
      <c r="A103" s="2" t="s">
        <v>134</v>
      </c>
      <c r="B103" s="3"/>
      <c r="C103" s="3">
        <v>9857038147</v>
      </c>
      <c r="D103" s="8">
        <v>898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23">
        <f t="shared" si="7"/>
        <v>898</v>
      </c>
      <c r="W103" s="6"/>
      <c r="X103" s="23">
        <f t="shared" si="8"/>
        <v>898</v>
      </c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 t="s">
        <v>794</v>
      </c>
      <c r="AU103" s="31"/>
      <c r="AV103" s="31" t="s">
        <v>794</v>
      </c>
      <c r="AW103" s="31" t="s">
        <v>794</v>
      </c>
      <c r="AX103" s="31" t="s">
        <v>794</v>
      </c>
      <c r="AY103" s="31" t="s">
        <v>794</v>
      </c>
      <c r="AZ103" s="31" t="s">
        <v>794</v>
      </c>
      <c r="BA103" s="31" t="s">
        <v>794</v>
      </c>
      <c r="BB103" s="31"/>
      <c r="BC103" s="31" t="s">
        <v>794</v>
      </c>
      <c r="BD103" s="31"/>
      <c r="BE103" s="49" t="s">
        <v>794</v>
      </c>
      <c r="BF103" s="49" t="s">
        <v>794</v>
      </c>
      <c r="BG103" s="49" t="s">
        <v>794</v>
      </c>
      <c r="BH103" s="49" t="s">
        <v>794</v>
      </c>
      <c r="BI103" s="49"/>
      <c r="BJ103" s="49" t="s">
        <v>794</v>
      </c>
      <c r="BK103" s="49" t="s">
        <v>794</v>
      </c>
      <c r="BL103" s="49" t="s">
        <v>794</v>
      </c>
      <c r="BM103" s="49" t="s">
        <v>794</v>
      </c>
      <c r="BN103" s="49" t="s">
        <v>794</v>
      </c>
      <c r="BO103" s="49"/>
      <c r="BP103" s="49"/>
      <c r="BQ103" s="49" t="s">
        <v>794</v>
      </c>
      <c r="BR103" s="49" t="s">
        <v>794</v>
      </c>
      <c r="BS103" s="49" t="s">
        <v>794</v>
      </c>
      <c r="BT103" s="49"/>
      <c r="BU103" s="49" t="s">
        <v>794</v>
      </c>
      <c r="BV103" s="49" t="s">
        <v>794</v>
      </c>
      <c r="BW103" s="49"/>
      <c r="BX103" s="49" t="s">
        <v>794</v>
      </c>
      <c r="BY103" s="49" t="s">
        <v>794</v>
      </c>
      <c r="BZ103" s="49" t="s">
        <v>794</v>
      </c>
      <c r="CA103" s="49" t="s">
        <v>794</v>
      </c>
      <c r="CB103" s="49" t="s">
        <v>794</v>
      </c>
      <c r="CC103" s="49" t="s">
        <v>794</v>
      </c>
      <c r="CD103" s="49"/>
      <c r="CE103" s="49" t="s">
        <v>794</v>
      </c>
      <c r="CF103" s="49" t="s">
        <v>794</v>
      </c>
      <c r="CG103" s="49" t="s">
        <v>794</v>
      </c>
      <c r="CH103" s="49" t="s">
        <v>794</v>
      </c>
      <c r="CI103" s="49"/>
      <c r="CJ103" s="49" t="s">
        <v>794</v>
      </c>
      <c r="CK103" s="49"/>
      <c r="CL103" s="49"/>
    </row>
    <row r="104" spans="1:90" x14ac:dyDescent="0.35">
      <c r="A104" s="2" t="s">
        <v>137</v>
      </c>
      <c r="B104" s="3"/>
      <c r="C104" s="3" t="s">
        <v>49</v>
      </c>
      <c r="D104" s="6">
        <v>2750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23">
        <f t="shared" si="7"/>
        <v>2750</v>
      </c>
      <c r="W104" s="6"/>
      <c r="X104" s="23">
        <f t="shared" si="8"/>
        <v>2750</v>
      </c>
      <c r="Y104" s="31"/>
      <c r="Z104" s="31"/>
      <c r="AA104" s="31" t="s">
        <v>794</v>
      </c>
      <c r="AB104" s="31"/>
      <c r="AC104" s="31" t="s">
        <v>794</v>
      </c>
      <c r="AD104" s="31" t="s">
        <v>794</v>
      </c>
      <c r="AE104" s="31" t="s">
        <v>794</v>
      </c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 t="s">
        <v>794</v>
      </c>
      <c r="AR104" s="31" t="s">
        <v>794</v>
      </c>
      <c r="AS104" s="31" t="s">
        <v>794</v>
      </c>
      <c r="AT104" s="31" t="s">
        <v>794</v>
      </c>
      <c r="AU104" s="31"/>
      <c r="AV104" s="31" t="s">
        <v>794</v>
      </c>
      <c r="AW104" s="31" t="s">
        <v>794</v>
      </c>
      <c r="AX104" s="31" t="s">
        <v>794</v>
      </c>
      <c r="AY104" s="31" t="s">
        <v>794</v>
      </c>
      <c r="AZ104" s="31" t="s">
        <v>794</v>
      </c>
      <c r="BA104" s="31" t="s">
        <v>794</v>
      </c>
      <c r="BB104" s="31"/>
      <c r="BC104" s="31" t="s">
        <v>794</v>
      </c>
      <c r="BD104" s="31"/>
      <c r="BE104" s="31" t="s">
        <v>794</v>
      </c>
      <c r="BF104" s="31" t="s">
        <v>794</v>
      </c>
      <c r="BG104" s="31" t="s">
        <v>794</v>
      </c>
      <c r="BH104" s="31" t="s">
        <v>794</v>
      </c>
      <c r="BI104" s="31"/>
      <c r="BJ104" s="31" t="s">
        <v>794</v>
      </c>
      <c r="BK104" s="31" t="s">
        <v>794</v>
      </c>
      <c r="BL104" s="31" t="s">
        <v>794</v>
      </c>
      <c r="BM104" s="31" t="s">
        <v>794</v>
      </c>
      <c r="BN104" s="31" t="s">
        <v>794</v>
      </c>
      <c r="BO104" s="31"/>
      <c r="BP104" s="31"/>
      <c r="BQ104" s="31" t="s">
        <v>794</v>
      </c>
      <c r="BR104" s="31" t="s">
        <v>794</v>
      </c>
      <c r="BS104" s="31" t="s">
        <v>794</v>
      </c>
      <c r="BT104" s="31"/>
      <c r="BU104" s="31" t="s">
        <v>794</v>
      </c>
      <c r="BV104" s="31" t="s">
        <v>794</v>
      </c>
      <c r="BW104" s="31"/>
      <c r="BX104" s="31" t="s">
        <v>794</v>
      </c>
      <c r="BY104" s="31" t="s">
        <v>794</v>
      </c>
      <c r="BZ104" s="31" t="s">
        <v>794</v>
      </c>
      <c r="CA104" s="31" t="s">
        <v>794</v>
      </c>
      <c r="CB104" s="31" t="s">
        <v>794</v>
      </c>
      <c r="CC104" s="31" t="s">
        <v>794</v>
      </c>
      <c r="CD104" s="31"/>
      <c r="CE104" s="31" t="s">
        <v>794</v>
      </c>
      <c r="CF104" s="31" t="s">
        <v>794</v>
      </c>
      <c r="CG104" s="31" t="s">
        <v>794</v>
      </c>
      <c r="CH104" s="31" t="s">
        <v>794</v>
      </c>
      <c r="CI104" s="31"/>
      <c r="CJ104" s="31" t="s">
        <v>794</v>
      </c>
      <c r="CK104" s="31"/>
      <c r="CL104" s="31"/>
    </row>
    <row r="105" spans="1:90" x14ac:dyDescent="0.35">
      <c r="A105" s="2" t="s">
        <v>801</v>
      </c>
      <c r="B105" s="3"/>
      <c r="C105" s="3"/>
      <c r="D105" s="8">
        <v>11000.09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23">
        <f t="shared" si="7"/>
        <v>11000.09</v>
      </c>
      <c r="W105" s="6"/>
      <c r="X105" s="23">
        <f t="shared" si="8"/>
        <v>11000.09</v>
      </c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 t="s">
        <v>791</v>
      </c>
      <c r="AN105" s="31"/>
      <c r="AO105" s="31" t="s">
        <v>791</v>
      </c>
      <c r="AP105" s="31" t="s">
        <v>791</v>
      </c>
      <c r="AQ105" s="31" t="s">
        <v>791</v>
      </c>
      <c r="AR105" s="31" t="s">
        <v>791</v>
      </c>
      <c r="AS105" s="31" t="s">
        <v>791</v>
      </c>
      <c r="AT105" s="31" t="s">
        <v>791</v>
      </c>
      <c r="AU105" s="31"/>
      <c r="AV105" s="31" t="s">
        <v>791</v>
      </c>
      <c r="AW105" s="31" t="s">
        <v>791</v>
      </c>
      <c r="AX105" s="31" t="s">
        <v>791</v>
      </c>
      <c r="AY105" s="31" t="s">
        <v>791</v>
      </c>
      <c r="AZ105" s="31" t="s">
        <v>791</v>
      </c>
      <c r="BA105" s="31" t="s">
        <v>791</v>
      </c>
      <c r="BB105" s="31"/>
      <c r="BC105" s="31" t="s">
        <v>791</v>
      </c>
      <c r="BD105" s="31"/>
      <c r="BE105" s="31" t="s">
        <v>794</v>
      </c>
      <c r="BF105" s="31" t="s">
        <v>794</v>
      </c>
      <c r="BG105" s="31" t="s">
        <v>794</v>
      </c>
      <c r="BH105" s="31" t="s">
        <v>794</v>
      </c>
      <c r="BI105" s="31"/>
      <c r="BJ105" s="31" t="s">
        <v>794</v>
      </c>
      <c r="BK105" s="31" t="s">
        <v>794</v>
      </c>
      <c r="BL105" s="31" t="s">
        <v>794</v>
      </c>
      <c r="BM105" s="31" t="s">
        <v>794</v>
      </c>
      <c r="BN105" s="31" t="s">
        <v>794</v>
      </c>
      <c r="BO105" s="31"/>
      <c r="BP105" s="31"/>
      <c r="BQ105" s="31" t="s">
        <v>794</v>
      </c>
      <c r="BR105" s="31" t="s">
        <v>794</v>
      </c>
      <c r="BS105" s="31" t="s">
        <v>794</v>
      </c>
      <c r="BT105" s="31"/>
      <c r="BU105" s="31" t="s">
        <v>794</v>
      </c>
      <c r="BV105" s="31" t="s">
        <v>794</v>
      </c>
      <c r="BW105" s="31"/>
      <c r="BX105" s="31" t="s">
        <v>794</v>
      </c>
      <c r="BY105" s="31" t="s">
        <v>794</v>
      </c>
      <c r="BZ105" s="31" t="s">
        <v>794</v>
      </c>
      <c r="CA105" s="31" t="s">
        <v>794</v>
      </c>
      <c r="CB105" s="31" t="s">
        <v>794</v>
      </c>
      <c r="CC105" s="31" t="s">
        <v>794</v>
      </c>
      <c r="CD105" s="31"/>
      <c r="CE105" s="31" t="s">
        <v>794</v>
      </c>
      <c r="CF105" s="31" t="s">
        <v>794</v>
      </c>
      <c r="CG105" s="31" t="s">
        <v>794</v>
      </c>
      <c r="CH105" s="31" t="s">
        <v>794</v>
      </c>
      <c r="CI105" s="31"/>
      <c r="CJ105" s="31" t="s">
        <v>794</v>
      </c>
      <c r="CK105" s="31"/>
      <c r="CL105" s="31"/>
    </row>
    <row r="106" spans="1:90" x14ac:dyDescent="0.35">
      <c r="A106" s="2" t="s">
        <v>833</v>
      </c>
      <c r="B106" s="3"/>
      <c r="C106" s="3">
        <v>9851197966</v>
      </c>
      <c r="D106" s="8">
        <v>39000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23">
        <f t="shared" si="7"/>
        <v>39000</v>
      </c>
      <c r="W106" s="6"/>
      <c r="X106" s="23">
        <f t="shared" si="8"/>
        <v>39000</v>
      </c>
      <c r="Y106" s="14"/>
      <c r="Z106" s="14"/>
      <c r="AA106" s="14" t="s">
        <v>794</v>
      </c>
      <c r="AB106" s="14"/>
      <c r="AC106" s="14" t="s">
        <v>794</v>
      </c>
      <c r="AD106" s="14" t="s">
        <v>794</v>
      </c>
      <c r="AE106" s="14" t="s">
        <v>794</v>
      </c>
      <c r="AF106" s="14" t="s">
        <v>803</v>
      </c>
      <c r="AG106" s="14"/>
      <c r="AH106" s="14" t="s">
        <v>803</v>
      </c>
      <c r="AI106" s="14" t="s">
        <v>803</v>
      </c>
      <c r="AJ106" s="14" t="s">
        <v>803</v>
      </c>
      <c r="AK106" s="14" t="s">
        <v>794</v>
      </c>
      <c r="AL106" s="14" t="s">
        <v>794</v>
      </c>
      <c r="AM106" s="14" t="s">
        <v>794</v>
      </c>
      <c r="AN106" s="31"/>
      <c r="AO106" s="14" t="s">
        <v>794</v>
      </c>
      <c r="AP106" s="14" t="s">
        <v>794</v>
      </c>
      <c r="AQ106" s="31" t="s">
        <v>794</v>
      </c>
      <c r="AR106" s="31" t="s">
        <v>794</v>
      </c>
      <c r="AS106" s="31" t="s">
        <v>794</v>
      </c>
      <c r="AT106" s="31" t="s">
        <v>794</v>
      </c>
      <c r="AU106" s="31"/>
      <c r="AV106" s="31" t="s">
        <v>794</v>
      </c>
      <c r="AW106" s="31" t="s">
        <v>794</v>
      </c>
      <c r="AX106" s="31" t="s">
        <v>794</v>
      </c>
      <c r="AY106" s="31" t="s">
        <v>794</v>
      </c>
      <c r="AZ106" s="31" t="s">
        <v>794</v>
      </c>
      <c r="BA106" s="31" t="s">
        <v>794</v>
      </c>
      <c r="BB106" s="31"/>
      <c r="BC106" s="31" t="s">
        <v>794</v>
      </c>
      <c r="BD106" s="31"/>
      <c r="BE106" s="31" t="s">
        <v>794</v>
      </c>
      <c r="BF106" s="31" t="s">
        <v>794</v>
      </c>
      <c r="BG106" s="31" t="s">
        <v>794</v>
      </c>
      <c r="BH106" s="31" t="s">
        <v>794</v>
      </c>
      <c r="BI106" s="31"/>
      <c r="BJ106" s="31" t="s">
        <v>794</v>
      </c>
      <c r="BK106" s="31" t="s">
        <v>794</v>
      </c>
      <c r="BL106" s="31" t="s">
        <v>794</v>
      </c>
      <c r="BM106" s="31" t="s">
        <v>794</v>
      </c>
      <c r="BN106" s="31" t="s">
        <v>794</v>
      </c>
      <c r="BO106" s="31"/>
      <c r="BP106" s="31"/>
      <c r="BQ106" s="31" t="s">
        <v>794</v>
      </c>
      <c r="BR106" s="31" t="s">
        <v>794</v>
      </c>
      <c r="BS106" s="31" t="s">
        <v>794</v>
      </c>
      <c r="BT106" s="31"/>
      <c r="BU106" s="31" t="s">
        <v>794</v>
      </c>
      <c r="BV106" s="31" t="s">
        <v>794</v>
      </c>
      <c r="BW106" s="31"/>
      <c r="BX106" s="31" t="s">
        <v>794</v>
      </c>
      <c r="BY106" s="31" t="s">
        <v>794</v>
      </c>
      <c r="BZ106" s="31" t="s">
        <v>794</v>
      </c>
      <c r="CA106" s="31" t="s">
        <v>794</v>
      </c>
      <c r="CB106" s="31" t="s">
        <v>794</v>
      </c>
      <c r="CC106" s="31" t="s">
        <v>794</v>
      </c>
      <c r="CD106" s="31"/>
      <c r="CE106" s="31" t="s">
        <v>794</v>
      </c>
      <c r="CF106" s="31" t="s">
        <v>794</v>
      </c>
      <c r="CG106" s="31" t="s">
        <v>794</v>
      </c>
      <c r="CH106" s="31" t="s">
        <v>794</v>
      </c>
      <c r="CI106" s="31"/>
      <c r="CJ106" s="31" t="s">
        <v>794</v>
      </c>
      <c r="CK106" s="31"/>
      <c r="CL106" s="31"/>
    </row>
    <row r="107" spans="1:90" s="59" customFormat="1" x14ac:dyDescent="0.35">
      <c r="A107" s="7" t="s">
        <v>138</v>
      </c>
      <c r="B107" s="9"/>
      <c r="C107" s="9"/>
      <c r="D107" s="7">
        <v>65800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23">
        <f t="shared" si="7"/>
        <v>65800</v>
      </c>
      <c r="W107" s="7"/>
      <c r="X107" s="7">
        <f t="shared" ref="X107:X132" si="9">V107-W107</f>
        <v>65800</v>
      </c>
    </row>
    <row r="108" spans="1:90" s="59" customFormat="1" x14ac:dyDescent="0.35">
      <c r="A108" s="7" t="s">
        <v>139</v>
      </c>
      <c r="B108" s="9"/>
      <c r="C108" s="9">
        <v>9847123092</v>
      </c>
      <c r="D108" s="7">
        <v>11000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23">
        <f t="shared" si="7"/>
        <v>11000</v>
      </c>
      <c r="W108" s="7"/>
      <c r="X108" s="7">
        <f t="shared" si="9"/>
        <v>11000</v>
      </c>
    </row>
    <row r="109" spans="1:90" s="59" customFormat="1" x14ac:dyDescent="0.35">
      <c r="A109" s="7" t="s">
        <v>140</v>
      </c>
      <c r="B109" s="9"/>
      <c r="C109" s="9" t="s">
        <v>141</v>
      </c>
      <c r="D109" s="7">
        <v>61331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23">
        <f t="shared" si="7"/>
        <v>61331</v>
      </c>
      <c r="W109" s="7"/>
      <c r="X109" s="7">
        <f t="shared" si="9"/>
        <v>61331</v>
      </c>
    </row>
    <row r="110" spans="1:90" s="59" customFormat="1" x14ac:dyDescent="0.35">
      <c r="A110" s="7" t="s">
        <v>142</v>
      </c>
      <c r="B110" s="9"/>
      <c r="C110" s="9">
        <v>9828936999</v>
      </c>
      <c r="D110" s="7">
        <v>6300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23">
        <f t="shared" si="7"/>
        <v>6300</v>
      </c>
      <c r="W110" s="7"/>
      <c r="X110" s="7">
        <f t="shared" si="9"/>
        <v>6300</v>
      </c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1:90" s="59" customFormat="1" x14ac:dyDescent="0.35">
      <c r="A111" s="7" t="s">
        <v>143</v>
      </c>
      <c r="B111" s="9"/>
      <c r="C111" s="9" t="s">
        <v>141</v>
      </c>
      <c r="D111" s="7">
        <v>50964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23">
        <f t="shared" si="7"/>
        <v>50964</v>
      </c>
      <c r="W111" s="7"/>
      <c r="X111" s="7">
        <f t="shared" si="9"/>
        <v>50964</v>
      </c>
    </row>
    <row r="112" spans="1:90" s="59" customFormat="1" x14ac:dyDescent="0.35">
      <c r="A112" s="7" t="s">
        <v>144</v>
      </c>
      <c r="B112" s="9"/>
      <c r="C112" s="9">
        <v>9847459832</v>
      </c>
      <c r="D112" s="7">
        <v>5700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23">
        <f t="shared" si="7"/>
        <v>5700</v>
      </c>
      <c r="W112" s="7"/>
      <c r="X112" s="7">
        <f t="shared" si="9"/>
        <v>5700</v>
      </c>
    </row>
    <row r="113" spans="1:34" s="59" customFormat="1" x14ac:dyDescent="0.35">
      <c r="A113" s="7" t="s">
        <v>145</v>
      </c>
      <c r="B113" s="9"/>
      <c r="C113" s="9" t="s">
        <v>49</v>
      </c>
      <c r="D113" s="7">
        <v>6400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23">
        <f t="shared" si="7"/>
        <v>6400</v>
      </c>
      <c r="W113" s="7"/>
      <c r="X113" s="7">
        <f t="shared" si="9"/>
        <v>6400</v>
      </c>
    </row>
    <row r="114" spans="1:34" s="59" customFormat="1" x14ac:dyDescent="0.35">
      <c r="A114" s="7" t="s">
        <v>146</v>
      </c>
      <c r="B114" s="9"/>
      <c r="C114" s="9">
        <v>9847501226</v>
      </c>
      <c r="D114" s="7">
        <v>2200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23">
        <f t="shared" si="7"/>
        <v>2200</v>
      </c>
      <c r="W114" s="7"/>
      <c r="X114" s="7">
        <f t="shared" si="9"/>
        <v>2200</v>
      </c>
    </row>
    <row r="115" spans="1:34" s="59" customFormat="1" x14ac:dyDescent="0.35">
      <c r="A115" s="7" t="s">
        <v>147</v>
      </c>
      <c r="B115" s="9"/>
      <c r="C115" s="9"/>
      <c r="D115" s="7">
        <v>23500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23">
        <f t="shared" si="7"/>
        <v>23500</v>
      </c>
      <c r="W115" s="7"/>
      <c r="X115" s="7">
        <f t="shared" si="9"/>
        <v>23500</v>
      </c>
    </row>
    <row r="116" spans="1:34" s="59" customFormat="1" x14ac:dyDescent="0.35">
      <c r="A116" s="7" t="s">
        <v>148</v>
      </c>
      <c r="B116" s="9"/>
      <c r="C116" s="9">
        <v>9866741197</v>
      </c>
      <c r="D116" s="7">
        <v>106480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23">
        <f t="shared" si="7"/>
        <v>106480</v>
      </c>
      <c r="W116" s="7"/>
      <c r="X116" s="7">
        <f t="shared" si="9"/>
        <v>106480</v>
      </c>
    </row>
    <row r="117" spans="1:34" s="59" customFormat="1" x14ac:dyDescent="0.35">
      <c r="A117" s="7" t="s">
        <v>149</v>
      </c>
      <c r="B117" s="9"/>
      <c r="C117" s="9">
        <v>9851147410</v>
      </c>
      <c r="D117" s="7">
        <v>23660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23">
        <f t="shared" si="7"/>
        <v>23660</v>
      </c>
      <c r="W117" s="7"/>
      <c r="X117" s="7">
        <f t="shared" si="9"/>
        <v>23660</v>
      </c>
    </row>
    <row r="118" spans="1:34" s="59" customFormat="1" x14ac:dyDescent="0.35">
      <c r="A118" s="7" t="s">
        <v>150</v>
      </c>
      <c r="B118" s="9"/>
      <c r="C118" s="9" t="s">
        <v>49</v>
      </c>
      <c r="D118" s="7">
        <v>3500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23">
        <f t="shared" si="7"/>
        <v>3500</v>
      </c>
      <c r="W118" s="7"/>
      <c r="X118" s="7">
        <f t="shared" si="9"/>
        <v>3500</v>
      </c>
    </row>
    <row r="119" spans="1:34" s="59" customFormat="1" x14ac:dyDescent="0.35">
      <c r="A119" s="7" t="s">
        <v>151</v>
      </c>
      <c r="B119" s="9"/>
      <c r="C119" s="9" t="s">
        <v>49</v>
      </c>
      <c r="D119" s="7">
        <v>11000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23">
        <f t="shared" si="7"/>
        <v>11000</v>
      </c>
      <c r="W119" s="7"/>
      <c r="X119" s="7">
        <f t="shared" si="9"/>
        <v>11000</v>
      </c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s="60" customFormat="1" x14ac:dyDescent="0.35">
      <c r="A120" s="15" t="s">
        <v>152</v>
      </c>
      <c r="B120" s="16"/>
      <c r="C120" s="16" t="s">
        <v>153</v>
      </c>
      <c r="D120" s="15">
        <v>-490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23">
        <f t="shared" si="7"/>
        <v>-490</v>
      </c>
      <c r="W120" s="15"/>
      <c r="X120" s="15">
        <f t="shared" si="9"/>
        <v>-490</v>
      </c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</row>
    <row r="121" spans="1:34" s="60" customFormat="1" x14ac:dyDescent="0.35">
      <c r="A121" s="15" t="s">
        <v>155</v>
      </c>
      <c r="B121" s="16"/>
      <c r="C121" s="16">
        <v>9857034280</v>
      </c>
      <c r="D121" s="15">
        <v>300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23">
        <f t="shared" si="7"/>
        <v>300</v>
      </c>
      <c r="W121" s="15"/>
      <c r="X121" s="15">
        <f t="shared" si="9"/>
        <v>300</v>
      </c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</row>
    <row r="122" spans="1:34" s="60" customFormat="1" x14ac:dyDescent="0.35">
      <c r="A122" s="15" t="s">
        <v>156</v>
      </c>
      <c r="B122" s="16"/>
      <c r="C122" s="16">
        <v>9857038683</v>
      </c>
      <c r="D122" s="15">
        <v>78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23">
        <f t="shared" si="7"/>
        <v>78</v>
      </c>
      <c r="W122" s="15"/>
      <c r="X122" s="15">
        <f t="shared" si="9"/>
        <v>78</v>
      </c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</row>
    <row r="123" spans="1:34" s="60" customFormat="1" x14ac:dyDescent="0.35">
      <c r="A123" s="15" t="s">
        <v>157</v>
      </c>
      <c r="B123" s="16"/>
      <c r="C123" s="16">
        <v>9857023063</v>
      </c>
      <c r="D123" s="15">
        <v>100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23">
        <f t="shared" si="7"/>
        <v>100</v>
      </c>
      <c r="W123" s="15"/>
      <c r="X123" s="15">
        <f t="shared" si="9"/>
        <v>100</v>
      </c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 spans="1:34" s="60" customFormat="1" x14ac:dyDescent="0.35">
      <c r="A124" s="15" t="s">
        <v>158</v>
      </c>
      <c r="B124" s="16"/>
      <c r="C124" s="16">
        <v>9847367377</v>
      </c>
      <c r="D124" s="15">
        <v>262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23">
        <f t="shared" si="7"/>
        <v>262</v>
      </c>
      <c r="W124" s="15"/>
      <c r="X124" s="15">
        <f t="shared" si="9"/>
        <v>262</v>
      </c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 spans="1:34" s="60" customFormat="1" x14ac:dyDescent="0.35">
      <c r="A125" s="15" t="s">
        <v>159</v>
      </c>
      <c r="B125" s="16"/>
      <c r="C125" s="16"/>
      <c r="D125" s="15">
        <v>610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23">
        <f t="shared" si="7"/>
        <v>610</v>
      </c>
      <c r="W125" s="15"/>
      <c r="X125" s="15">
        <f t="shared" si="9"/>
        <v>610</v>
      </c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 spans="1:34" s="60" customFormat="1" x14ac:dyDescent="0.35">
      <c r="A126" s="15" t="s">
        <v>160</v>
      </c>
      <c r="B126" s="16"/>
      <c r="C126" s="16">
        <v>9847098959</v>
      </c>
      <c r="D126" s="15">
        <v>170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23">
        <f t="shared" si="7"/>
        <v>170</v>
      </c>
      <c r="W126" s="15"/>
      <c r="X126" s="15">
        <f t="shared" si="9"/>
        <v>170</v>
      </c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 spans="1:34" s="60" customFormat="1" x14ac:dyDescent="0.35">
      <c r="A127" s="15" t="s">
        <v>162</v>
      </c>
      <c r="B127" s="16"/>
      <c r="C127" s="16">
        <v>9867449887</v>
      </c>
      <c r="D127" s="15">
        <v>2500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23">
        <f t="shared" si="7"/>
        <v>2500</v>
      </c>
      <c r="W127" s="15"/>
      <c r="X127" s="15">
        <f t="shared" si="9"/>
        <v>2500</v>
      </c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</row>
    <row r="128" spans="1:34" x14ac:dyDescent="0.35">
      <c r="A128" s="7"/>
      <c r="B128" s="3"/>
      <c r="C128" s="7"/>
      <c r="D128" s="6">
        <v>0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23">
        <f t="shared" si="7"/>
        <v>0</v>
      </c>
      <c r="W128" s="6"/>
      <c r="X128" s="23">
        <f t="shared" si="9"/>
        <v>0</v>
      </c>
    </row>
    <row r="129" spans="1:103" x14ac:dyDescent="0.35">
      <c r="A129" s="9" t="s">
        <v>163</v>
      </c>
      <c r="B129" s="3"/>
      <c r="C129" s="7"/>
      <c r="D129" s="6">
        <v>0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23">
        <f t="shared" si="7"/>
        <v>0</v>
      </c>
      <c r="W129" s="6"/>
      <c r="X129" s="23">
        <f t="shared" si="9"/>
        <v>0</v>
      </c>
    </row>
    <row r="130" spans="1:103" x14ac:dyDescent="0.35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3">
        <f t="shared" si="7"/>
        <v>0</v>
      </c>
      <c r="W130" s="2"/>
      <c r="X130" s="23">
        <f t="shared" si="9"/>
        <v>0</v>
      </c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103" x14ac:dyDescent="0.35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3">
        <f t="shared" si="7"/>
        <v>0</v>
      </c>
      <c r="W131" s="2"/>
      <c r="X131" s="23">
        <f t="shared" si="9"/>
        <v>0</v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103" ht="18.5" x14ac:dyDescent="0.45">
      <c r="A132" s="22" t="s">
        <v>164</v>
      </c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3">
        <f t="shared" si="7"/>
        <v>0</v>
      </c>
      <c r="W132" s="2"/>
      <c r="X132" s="23">
        <f t="shared" si="9"/>
        <v>0</v>
      </c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</row>
    <row r="133" spans="1:103" s="62" customFormat="1" x14ac:dyDescent="0.35">
      <c r="A133" s="23" t="s">
        <v>180</v>
      </c>
      <c r="B133" s="29"/>
      <c r="C133" s="29">
        <v>9802630399</v>
      </c>
      <c r="D133" s="23">
        <v>2</v>
      </c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>
        <f t="shared" si="7"/>
        <v>2</v>
      </c>
      <c r="W133" s="23"/>
      <c r="X133" s="23">
        <f t="shared" ref="X133" si="10">V133-W133</f>
        <v>2</v>
      </c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</row>
    <row r="134" spans="1:103" s="62" customFormat="1" x14ac:dyDescent="0.35">
      <c r="A134" s="23" t="s">
        <v>165</v>
      </c>
      <c r="B134" s="29"/>
      <c r="C134" s="29">
        <v>9857037227</v>
      </c>
      <c r="D134" s="23">
        <v>0</v>
      </c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>
        <f t="shared" ref="V134:V165" si="11">SUM(D134:U134)</f>
        <v>0</v>
      </c>
      <c r="W134" s="23"/>
      <c r="X134" s="23">
        <f t="shared" ref="X134:X165" si="12">V134-W134</f>
        <v>0</v>
      </c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</row>
    <row r="135" spans="1:103" s="62" customFormat="1" x14ac:dyDescent="0.35">
      <c r="A135" s="23" t="s">
        <v>154</v>
      </c>
      <c r="B135" s="29"/>
      <c r="C135" s="29">
        <v>9851018173</v>
      </c>
      <c r="D135" s="23">
        <v>366</v>
      </c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>
        <f t="shared" si="11"/>
        <v>366</v>
      </c>
      <c r="W135" s="23"/>
      <c r="X135" s="23">
        <f t="shared" si="12"/>
        <v>366</v>
      </c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</row>
    <row r="136" spans="1:103" s="62" customFormat="1" ht="18.5" x14ac:dyDescent="0.45">
      <c r="A136" s="77" t="s">
        <v>992</v>
      </c>
      <c r="B136" s="78"/>
      <c r="C136" s="78">
        <v>9857086305</v>
      </c>
      <c r="D136" s="77"/>
      <c r="E136" s="12"/>
      <c r="F136" s="12"/>
      <c r="G136" s="12"/>
      <c r="H136" s="12"/>
      <c r="I136" s="12"/>
      <c r="J136" s="12"/>
      <c r="K136" s="12"/>
      <c r="L136" s="12"/>
      <c r="M136" s="12"/>
      <c r="N136" s="23"/>
      <c r="O136" s="23"/>
      <c r="P136" s="23">
        <v>65000</v>
      </c>
      <c r="Q136" s="23"/>
      <c r="R136" s="23"/>
      <c r="S136" s="23"/>
      <c r="T136" s="23"/>
      <c r="U136" s="23"/>
      <c r="V136" s="23">
        <f t="shared" si="11"/>
        <v>65000</v>
      </c>
      <c r="W136" s="23">
        <f>BM136</f>
        <v>65000</v>
      </c>
      <c r="X136" s="23">
        <f t="shared" si="12"/>
        <v>0</v>
      </c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>
        <v>65000</v>
      </c>
      <c r="BN136" s="35"/>
      <c r="BO136" s="35"/>
      <c r="BP136" s="35"/>
      <c r="BQ136" s="35"/>
      <c r="BR136" s="35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</row>
    <row r="137" spans="1:103" s="62" customFormat="1" ht="18.5" x14ac:dyDescent="0.45">
      <c r="A137" s="75" t="s">
        <v>1003</v>
      </c>
      <c r="B137" s="76"/>
      <c r="C137" s="76"/>
      <c r="D137" s="75"/>
      <c r="E137" s="12"/>
      <c r="F137" s="12"/>
      <c r="G137" s="12"/>
      <c r="H137" s="12"/>
      <c r="I137" s="12"/>
      <c r="J137" s="12"/>
      <c r="K137" s="12"/>
      <c r="L137" s="12"/>
      <c r="M137" s="12"/>
      <c r="N137" s="23"/>
      <c r="O137" s="23"/>
      <c r="P137" s="23"/>
      <c r="Q137" s="23">
        <v>9950</v>
      </c>
      <c r="R137" s="23"/>
      <c r="S137" s="23"/>
      <c r="T137" s="23"/>
      <c r="U137" s="23"/>
      <c r="V137" s="23">
        <f t="shared" si="11"/>
        <v>9950</v>
      </c>
      <c r="W137" s="23">
        <v>9950</v>
      </c>
      <c r="X137" s="37">
        <f t="shared" si="12"/>
        <v>0</v>
      </c>
      <c r="Y137" s="31"/>
      <c r="Z137" s="31"/>
      <c r="AA137" s="33"/>
      <c r="AB137" s="33"/>
      <c r="AC137" s="33"/>
      <c r="AD137" s="33"/>
      <c r="AE137" s="33"/>
      <c r="AF137" s="33"/>
      <c r="AG137" s="33"/>
      <c r="AH137" s="34"/>
      <c r="AI137" s="34"/>
      <c r="AJ137" s="34"/>
      <c r="AK137" s="34"/>
      <c r="AL137" s="34"/>
      <c r="AM137" s="34"/>
      <c r="AN137" s="31"/>
      <c r="AO137" s="31"/>
      <c r="AP137" s="31"/>
      <c r="AQ137" s="31"/>
      <c r="AR137" s="34"/>
      <c r="AS137" s="34"/>
      <c r="AT137" s="34"/>
      <c r="AU137" s="34"/>
      <c r="AV137" s="31"/>
      <c r="AW137" s="34"/>
      <c r="AX137" s="34"/>
      <c r="AY137" s="34"/>
      <c r="BA137" s="31"/>
      <c r="BB137" s="31"/>
      <c r="BC137" s="31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1"/>
      <c r="BQ137" s="34"/>
      <c r="BR137" s="46">
        <v>9950</v>
      </c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</row>
    <row r="138" spans="1:103" s="62" customFormat="1" x14ac:dyDescent="0.35">
      <c r="A138" s="23" t="s">
        <v>181</v>
      </c>
      <c r="B138" s="29"/>
      <c r="C138" s="29">
        <v>9857836215</v>
      </c>
      <c r="D138" s="23">
        <v>0</v>
      </c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>
        <f t="shared" si="11"/>
        <v>0</v>
      </c>
      <c r="W138" s="23"/>
      <c r="X138" s="23">
        <f t="shared" si="12"/>
        <v>0</v>
      </c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</row>
    <row r="139" spans="1:103" s="35" customFormat="1" ht="18.5" x14ac:dyDescent="0.45">
      <c r="A139" s="75" t="s">
        <v>192</v>
      </c>
      <c r="B139" s="76"/>
      <c r="C139" s="76">
        <v>9844772131</v>
      </c>
      <c r="D139" s="75">
        <v>5000</v>
      </c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>
        <f t="shared" si="11"/>
        <v>5000</v>
      </c>
      <c r="W139" s="23">
        <f>AY139</f>
        <v>5000</v>
      </c>
      <c r="X139" s="23">
        <f t="shared" si="12"/>
        <v>0</v>
      </c>
      <c r="Y139" s="23"/>
      <c r="Z139" s="23"/>
      <c r="AA139" s="23" t="s">
        <v>793</v>
      </c>
      <c r="AB139" s="23" t="s">
        <v>803</v>
      </c>
      <c r="AC139" s="23" t="s">
        <v>803</v>
      </c>
      <c r="AD139" s="23" t="s">
        <v>791</v>
      </c>
      <c r="AE139" s="23" t="s">
        <v>793</v>
      </c>
      <c r="AF139" s="23" t="s">
        <v>803</v>
      </c>
      <c r="AG139" s="23"/>
      <c r="AH139" s="23" t="s">
        <v>793</v>
      </c>
      <c r="AI139" s="23" t="s">
        <v>793</v>
      </c>
      <c r="AJ139" s="46" t="s">
        <v>791</v>
      </c>
      <c r="AK139" s="46" t="s">
        <v>791</v>
      </c>
      <c r="AL139" s="46" t="s">
        <v>791</v>
      </c>
      <c r="AM139" s="46" t="s">
        <v>791</v>
      </c>
      <c r="AN139" s="46"/>
      <c r="AO139" s="46" t="s">
        <v>791</v>
      </c>
      <c r="AP139" s="46" t="s">
        <v>791</v>
      </c>
      <c r="AQ139" s="46" t="s">
        <v>803</v>
      </c>
      <c r="AR139" s="46" t="s">
        <v>791</v>
      </c>
      <c r="AS139" s="46" t="s">
        <v>791</v>
      </c>
      <c r="AT139" s="46" t="s">
        <v>791</v>
      </c>
      <c r="AU139" s="46"/>
      <c r="AV139" s="46" t="s">
        <v>793</v>
      </c>
      <c r="AW139" s="46" t="s">
        <v>803</v>
      </c>
      <c r="AX139" s="46" t="s">
        <v>791</v>
      </c>
      <c r="AY139" s="46">
        <v>5000</v>
      </c>
      <c r="AZ139" s="62"/>
      <c r="BA139" s="62"/>
      <c r="BB139" s="62"/>
      <c r="BC139" s="62"/>
    </row>
    <row r="140" spans="1:103" s="62" customFormat="1" ht="18.5" x14ac:dyDescent="0.45">
      <c r="A140" s="75" t="s">
        <v>193</v>
      </c>
      <c r="B140" s="76"/>
      <c r="C140" s="76">
        <v>9858088247</v>
      </c>
      <c r="D140" s="75">
        <v>23000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23"/>
      <c r="O140" s="23"/>
      <c r="P140" s="23"/>
      <c r="Q140" s="23"/>
      <c r="R140" s="23"/>
      <c r="S140" s="23"/>
      <c r="T140" s="23"/>
      <c r="U140" s="23"/>
      <c r="V140" s="23">
        <f t="shared" si="11"/>
        <v>23000</v>
      </c>
      <c r="W140" s="23">
        <f>BA140+BS140</f>
        <v>23000</v>
      </c>
      <c r="X140" s="23">
        <f t="shared" si="12"/>
        <v>0</v>
      </c>
      <c r="Y140" s="23">
        <v>10</v>
      </c>
      <c r="Z140" s="46"/>
      <c r="AA140" s="46"/>
      <c r="AB140" s="46"/>
      <c r="AC140" s="46"/>
      <c r="AD140" s="46"/>
      <c r="AE140" s="46"/>
      <c r="AF140" s="46"/>
      <c r="AG140" s="46"/>
      <c r="AH140" s="46">
        <v>13</v>
      </c>
      <c r="AI140" s="46"/>
      <c r="AJ140" s="46"/>
      <c r="AK140" s="46" t="s">
        <v>793</v>
      </c>
      <c r="AL140" s="46" t="s">
        <v>791</v>
      </c>
      <c r="AM140" s="46" t="s">
        <v>791</v>
      </c>
      <c r="AN140" s="46"/>
      <c r="AO140" s="46" t="s">
        <v>791</v>
      </c>
      <c r="AP140" s="46" t="s">
        <v>793</v>
      </c>
      <c r="AQ140" s="46">
        <v>22</v>
      </c>
      <c r="AR140" s="46"/>
      <c r="AS140" s="46"/>
      <c r="AT140" s="46" t="s">
        <v>793</v>
      </c>
      <c r="AU140" s="46"/>
      <c r="AV140" s="46" t="s">
        <v>793</v>
      </c>
      <c r="AW140" s="46" t="s">
        <v>793</v>
      </c>
      <c r="AX140" s="46" t="s">
        <v>793</v>
      </c>
      <c r="AY140" s="46" t="s">
        <v>793</v>
      </c>
      <c r="AZ140" s="46">
        <v>29</v>
      </c>
      <c r="BA140" s="46">
        <v>10000</v>
      </c>
      <c r="BB140" s="46"/>
      <c r="BC140" s="46"/>
      <c r="BD140" s="46">
        <v>10</v>
      </c>
      <c r="BE140" s="46"/>
      <c r="BF140" s="46"/>
      <c r="BG140" s="46"/>
      <c r="BH140" s="46"/>
      <c r="BI140" s="46"/>
      <c r="BJ140" s="46"/>
      <c r="BK140" s="46"/>
      <c r="BL140" s="46"/>
      <c r="BM140" s="46">
        <v>14</v>
      </c>
      <c r="BN140" s="46"/>
      <c r="BO140" s="46"/>
      <c r="BP140" s="46"/>
      <c r="BQ140" s="46">
        <v>15</v>
      </c>
      <c r="BR140" s="46" t="s">
        <v>793</v>
      </c>
      <c r="BS140" s="46">
        <v>13000</v>
      </c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  <c r="CX140" s="35"/>
      <c r="CY140" s="35"/>
    </row>
    <row r="141" spans="1:103" s="62" customFormat="1" ht="18.5" x14ac:dyDescent="0.45">
      <c r="A141" s="75" t="s">
        <v>194</v>
      </c>
      <c r="B141" s="76"/>
      <c r="C141" s="76">
        <v>9857029809</v>
      </c>
      <c r="D141" s="75">
        <v>29000</v>
      </c>
      <c r="E141" s="12"/>
      <c r="F141" s="12"/>
      <c r="G141" s="12"/>
      <c r="H141" s="12"/>
      <c r="I141" s="12"/>
      <c r="J141" s="12"/>
      <c r="K141" s="12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>
        <f t="shared" si="11"/>
        <v>29000</v>
      </c>
      <c r="W141" s="23">
        <f>Y141+9000</f>
        <v>29000</v>
      </c>
      <c r="X141" s="23">
        <f t="shared" si="12"/>
        <v>0</v>
      </c>
      <c r="Y141" s="23">
        <v>20000</v>
      </c>
      <c r="Z141" s="46"/>
      <c r="AA141" s="46"/>
      <c r="AB141" s="46"/>
      <c r="AC141" s="46"/>
      <c r="AD141" s="46"/>
      <c r="AE141" s="46"/>
      <c r="AF141" s="46"/>
      <c r="AG141" s="46"/>
      <c r="AH141" s="46" t="str">
        <f>AH139</f>
        <v>NR</v>
      </c>
      <c r="AI141" s="46"/>
      <c r="AJ141" s="46"/>
      <c r="AK141" s="46">
        <v>15</v>
      </c>
      <c r="AL141" s="46"/>
      <c r="AM141" s="46">
        <v>17</v>
      </c>
      <c r="AN141" s="46"/>
      <c r="AO141" s="46">
        <v>21</v>
      </c>
      <c r="AP141" s="46"/>
      <c r="AQ141" s="46"/>
      <c r="AR141" s="46"/>
      <c r="AS141" s="46">
        <v>24</v>
      </c>
      <c r="AT141" s="46"/>
      <c r="AU141" s="46"/>
      <c r="AV141" s="46">
        <v>28</v>
      </c>
      <c r="AW141" s="46"/>
      <c r="AX141" s="46"/>
      <c r="AY141" s="46"/>
      <c r="AZ141" s="46">
        <v>30</v>
      </c>
      <c r="BA141" s="46"/>
      <c r="BB141" s="46"/>
      <c r="BC141" s="46">
        <v>1</v>
      </c>
      <c r="BD141" s="46" t="s">
        <v>4</v>
      </c>
      <c r="BE141" s="46"/>
      <c r="BF141" s="46"/>
      <c r="BG141" s="46" t="s">
        <v>828</v>
      </c>
      <c r="BH141" s="46" t="s">
        <v>807</v>
      </c>
      <c r="BI141" s="46"/>
      <c r="BJ141" s="46">
        <v>9000</v>
      </c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</row>
    <row r="142" spans="1:103" s="62" customFormat="1" ht="18.5" x14ac:dyDescent="0.45">
      <c r="A142" s="75" t="s">
        <v>1007</v>
      </c>
      <c r="B142" s="76"/>
      <c r="C142" s="76">
        <v>9867835236</v>
      </c>
      <c r="D142" s="75"/>
      <c r="E142" s="12"/>
      <c r="F142" s="12"/>
      <c r="G142" s="12"/>
      <c r="H142" s="12"/>
      <c r="I142" s="12"/>
      <c r="J142" s="12"/>
      <c r="K142" s="12"/>
      <c r="L142" s="12"/>
      <c r="M142" s="12"/>
      <c r="N142" s="23"/>
      <c r="O142" s="23"/>
      <c r="P142" s="23"/>
      <c r="Q142" s="23"/>
      <c r="R142" s="23">
        <v>128000</v>
      </c>
      <c r="S142" s="23"/>
      <c r="T142" s="23"/>
      <c r="U142" s="23"/>
      <c r="V142" s="23">
        <f t="shared" si="11"/>
        <v>128000</v>
      </c>
      <c r="W142" s="23">
        <f>BT142</f>
        <v>128000</v>
      </c>
      <c r="X142" s="37">
        <f t="shared" si="12"/>
        <v>0</v>
      </c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>
        <v>128000</v>
      </c>
      <c r="BU142" s="35"/>
      <c r="BV142" s="35"/>
      <c r="BW142" s="35"/>
      <c r="BX142" s="35"/>
      <c r="BY142" s="35"/>
      <c r="BZ142" s="21"/>
      <c r="CA142" s="21"/>
      <c r="CB142" s="21"/>
      <c r="CC142" s="21"/>
      <c r="CD142" s="21"/>
      <c r="CE142" s="21"/>
      <c r="CF142" s="21"/>
      <c r="CG142" s="21"/>
      <c r="CH142" s="21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</row>
    <row r="143" spans="1:103" s="62" customFormat="1" x14ac:dyDescent="0.35">
      <c r="A143" s="12" t="s">
        <v>973</v>
      </c>
      <c r="B143" s="3"/>
      <c r="C143" s="24">
        <v>9857011132</v>
      </c>
      <c r="D143" s="8"/>
      <c r="E143" s="12"/>
      <c r="F143" s="12"/>
      <c r="G143" s="12"/>
      <c r="H143" s="12"/>
      <c r="I143" s="12"/>
      <c r="J143" s="12"/>
      <c r="K143" s="12"/>
      <c r="L143" s="23"/>
      <c r="M143" s="23">
        <v>29000</v>
      </c>
      <c r="N143" s="23"/>
      <c r="O143" s="23"/>
      <c r="P143" s="23"/>
      <c r="Q143" s="23"/>
      <c r="R143" s="23"/>
      <c r="S143" s="23"/>
      <c r="T143" s="23"/>
      <c r="U143" s="23"/>
      <c r="V143" s="23">
        <f t="shared" si="11"/>
        <v>29000</v>
      </c>
      <c r="W143" s="23">
        <f>BH143</f>
        <v>29000</v>
      </c>
      <c r="X143" s="23">
        <f t="shared" si="12"/>
        <v>0</v>
      </c>
      <c r="Y143" s="23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>
        <v>29000</v>
      </c>
      <c r="BI143" s="35"/>
      <c r="BJ143" s="35"/>
      <c r="BK143" s="35"/>
      <c r="BL143" s="35"/>
      <c r="BM143" s="35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</row>
    <row r="144" spans="1:103" s="62" customFormat="1" ht="18.5" x14ac:dyDescent="0.45">
      <c r="A144" s="75" t="s">
        <v>195</v>
      </c>
      <c r="B144" s="76"/>
      <c r="C144" s="76">
        <v>9857015357</v>
      </c>
      <c r="D144" s="75">
        <v>72000</v>
      </c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>
        <f t="shared" si="11"/>
        <v>72000</v>
      </c>
      <c r="W144" s="23">
        <f>AL144+42000</f>
        <v>72000</v>
      </c>
      <c r="X144" s="23">
        <f t="shared" si="12"/>
        <v>0</v>
      </c>
      <c r="AA144" s="62">
        <v>6</v>
      </c>
      <c r="AC144" s="62">
        <v>8</v>
      </c>
      <c r="AF144" s="62" t="s">
        <v>803</v>
      </c>
      <c r="AH144" s="62">
        <v>12</v>
      </c>
      <c r="AJ144" s="62" t="s">
        <v>807</v>
      </c>
      <c r="AK144" s="62" t="s">
        <v>828</v>
      </c>
      <c r="AL144" s="62">
        <v>30000</v>
      </c>
      <c r="AM144" s="62">
        <v>18</v>
      </c>
      <c r="AO144" s="62">
        <v>42000</v>
      </c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</row>
    <row r="145" spans="1:103" s="62" customFormat="1" x14ac:dyDescent="0.35">
      <c r="A145" s="23" t="s">
        <v>166</v>
      </c>
      <c r="B145" s="29"/>
      <c r="C145" s="29">
        <v>9847043511</v>
      </c>
      <c r="D145" s="23">
        <v>0</v>
      </c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>
        <f t="shared" si="11"/>
        <v>0</v>
      </c>
      <c r="W145" s="23"/>
      <c r="X145" s="23">
        <f t="shared" si="12"/>
        <v>0</v>
      </c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</row>
    <row r="146" spans="1:103" s="62" customFormat="1" x14ac:dyDescent="0.35">
      <c r="A146" s="23" t="s">
        <v>167</v>
      </c>
      <c r="B146" s="29"/>
      <c r="C146" s="29">
        <v>9802680021</v>
      </c>
      <c r="D146" s="23">
        <v>0</v>
      </c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>
        <f t="shared" si="11"/>
        <v>0</v>
      </c>
      <c r="W146" s="23"/>
      <c r="X146" s="23">
        <f t="shared" si="12"/>
        <v>0</v>
      </c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</row>
    <row r="147" spans="1:103" s="62" customFormat="1" ht="18.5" x14ac:dyDescent="0.45">
      <c r="A147" s="75" t="s">
        <v>167</v>
      </c>
      <c r="B147" s="76"/>
      <c r="C147" s="76">
        <v>9802680021</v>
      </c>
      <c r="D147" s="75">
        <v>4000</v>
      </c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>
        <f t="shared" si="11"/>
        <v>4000</v>
      </c>
      <c r="W147" s="23">
        <f>BE147</f>
        <v>4000</v>
      </c>
      <c r="X147" s="23">
        <f t="shared" si="12"/>
        <v>0</v>
      </c>
      <c r="Y147" s="46"/>
      <c r="Z147" s="46"/>
      <c r="AA147" s="46">
        <v>5</v>
      </c>
      <c r="AB147" s="46"/>
      <c r="AC147" s="46" t="s">
        <v>792</v>
      </c>
      <c r="AD147" s="46">
        <v>10</v>
      </c>
      <c r="AE147" s="46"/>
      <c r="AF147" s="46"/>
      <c r="AG147" s="46"/>
      <c r="AH147" s="46" t="s">
        <v>792</v>
      </c>
      <c r="AI147" s="46" t="s">
        <v>793</v>
      </c>
      <c r="AJ147" s="46" t="s">
        <v>793</v>
      </c>
      <c r="AK147" s="46" t="s">
        <v>792</v>
      </c>
      <c r="AL147" s="46" t="s">
        <v>792</v>
      </c>
      <c r="AM147" s="46" t="s">
        <v>792</v>
      </c>
      <c r="AN147" s="46"/>
      <c r="AO147" s="46" t="s">
        <v>792</v>
      </c>
      <c r="AP147" s="46" t="s">
        <v>792</v>
      </c>
      <c r="AQ147" s="46">
        <v>25</v>
      </c>
      <c r="AR147" s="46"/>
      <c r="AS147" s="46"/>
      <c r="AT147" s="46"/>
      <c r="AU147" s="46"/>
      <c r="AV147" s="46"/>
      <c r="AW147" s="46" t="s">
        <v>792</v>
      </c>
      <c r="AX147" s="46" t="s">
        <v>792</v>
      </c>
      <c r="AY147" s="46" t="s">
        <v>792</v>
      </c>
      <c r="AZ147" s="46" t="s">
        <v>792</v>
      </c>
      <c r="BA147" s="46" t="s">
        <v>792</v>
      </c>
      <c r="BB147" s="46"/>
      <c r="BC147" s="46" t="s">
        <v>792</v>
      </c>
      <c r="BD147" s="46"/>
      <c r="BE147" s="46">
        <v>4000</v>
      </c>
      <c r="BF147" s="35"/>
      <c r="BG147" s="35"/>
      <c r="BH147" s="35"/>
      <c r="BI147" s="35"/>
      <c r="BJ147" s="35"/>
      <c r="BK147" s="35"/>
      <c r="BL147" s="35"/>
      <c r="BM147" s="35"/>
      <c r="BN147" s="35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</row>
    <row r="148" spans="1:103" s="62" customFormat="1" x14ac:dyDescent="0.35">
      <c r="A148" s="23" t="s">
        <v>834</v>
      </c>
      <c r="B148" s="29"/>
      <c r="C148" s="29">
        <v>9857025031</v>
      </c>
      <c r="D148" s="23"/>
      <c r="E148" s="23"/>
      <c r="F148" s="23">
        <v>15000</v>
      </c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>
        <f t="shared" si="11"/>
        <v>15000</v>
      </c>
      <c r="W148" s="23">
        <v>15000</v>
      </c>
      <c r="X148" s="23">
        <f t="shared" si="12"/>
        <v>0</v>
      </c>
      <c r="AK148" s="62">
        <v>15000</v>
      </c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</row>
    <row r="149" spans="1:103" s="62" customFormat="1" x14ac:dyDescent="0.35">
      <c r="A149" s="23" t="s">
        <v>170</v>
      </c>
      <c r="B149" s="29"/>
      <c r="C149" s="29">
        <v>9857025030</v>
      </c>
      <c r="D149" s="23">
        <v>0</v>
      </c>
      <c r="E149" s="23"/>
      <c r="F149" s="23"/>
      <c r="G149" s="23"/>
      <c r="H149" s="23"/>
      <c r="I149" s="23">
        <v>7300</v>
      </c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>
        <f t="shared" si="11"/>
        <v>7300</v>
      </c>
      <c r="W149" s="23">
        <f>AZ149</f>
        <v>7300</v>
      </c>
      <c r="X149" s="23">
        <f t="shared" si="12"/>
        <v>0</v>
      </c>
      <c r="AR149" s="62" t="s">
        <v>798</v>
      </c>
      <c r="AY149" s="62" t="s">
        <v>798</v>
      </c>
      <c r="AZ149" s="62">
        <v>7300</v>
      </c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</row>
    <row r="150" spans="1:103" s="62" customFormat="1" x14ac:dyDescent="0.35">
      <c r="A150" s="23" t="s">
        <v>171</v>
      </c>
      <c r="B150" s="29"/>
      <c r="C150" s="29">
        <v>9857030401</v>
      </c>
      <c r="D150" s="23">
        <v>0</v>
      </c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>
        <f t="shared" si="11"/>
        <v>0</v>
      </c>
      <c r="W150" s="23"/>
      <c r="X150" s="23">
        <f t="shared" si="12"/>
        <v>0</v>
      </c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</row>
    <row r="151" spans="1:103" s="62" customFormat="1" x14ac:dyDescent="0.35">
      <c r="A151" s="23" t="s">
        <v>852</v>
      </c>
      <c r="B151" s="29"/>
      <c r="C151" s="29">
        <v>9857026592</v>
      </c>
      <c r="D151" s="23"/>
      <c r="E151" s="23"/>
      <c r="F151" s="23"/>
      <c r="G151" s="23">
        <v>10800</v>
      </c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>
        <f t="shared" si="11"/>
        <v>10800</v>
      </c>
      <c r="W151" s="23">
        <f>AJ151+6000</f>
        <v>10800</v>
      </c>
      <c r="X151" s="23">
        <f t="shared" si="12"/>
        <v>0</v>
      </c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>
        <v>4800</v>
      </c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 t="s">
        <v>828</v>
      </c>
      <c r="BD151" s="46">
        <v>4</v>
      </c>
      <c r="BE151" s="1">
        <v>6000</v>
      </c>
      <c r="BF151" s="35"/>
      <c r="BG151" s="35"/>
      <c r="BH151" s="35"/>
      <c r="BI151" s="35"/>
      <c r="BJ151" s="35"/>
      <c r="BK151" s="35"/>
      <c r="BL151" s="35"/>
      <c r="BM151" s="35"/>
      <c r="BN151" s="35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</row>
    <row r="152" spans="1:103" s="62" customFormat="1" x14ac:dyDescent="0.35">
      <c r="A152" s="23" t="s">
        <v>910</v>
      </c>
      <c r="B152" s="29"/>
      <c r="C152" s="29"/>
      <c r="D152" s="23"/>
      <c r="E152" s="23"/>
      <c r="F152" s="23"/>
      <c r="G152" s="23"/>
      <c r="H152" s="23"/>
      <c r="I152" s="23"/>
      <c r="J152" s="23"/>
      <c r="K152" s="23"/>
      <c r="L152" s="23">
        <v>5300</v>
      </c>
      <c r="M152" s="23"/>
      <c r="N152" s="23"/>
      <c r="O152" s="23"/>
      <c r="P152" s="23"/>
      <c r="Q152" s="23"/>
      <c r="R152" s="23"/>
      <c r="S152" s="23"/>
      <c r="T152" s="23"/>
      <c r="U152" s="23"/>
      <c r="V152" s="23">
        <f t="shared" si="11"/>
        <v>5300</v>
      </c>
      <c r="W152" s="23">
        <f>AZ152</f>
        <v>5300</v>
      </c>
      <c r="X152" s="23">
        <f t="shared" si="12"/>
        <v>0</v>
      </c>
      <c r="Y152" s="61"/>
      <c r="AZ152" s="62">
        <v>5300</v>
      </c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</row>
    <row r="153" spans="1:103" x14ac:dyDescent="0.35">
      <c r="A153" s="23" t="s">
        <v>799</v>
      </c>
      <c r="B153" s="29"/>
      <c r="C153" s="29">
        <v>9802630181</v>
      </c>
      <c r="D153" s="23"/>
      <c r="E153" s="23">
        <v>83000</v>
      </c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>
        <f t="shared" si="11"/>
        <v>83000</v>
      </c>
      <c r="W153" s="23">
        <f>AY153</f>
        <v>83000</v>
      </c>
      <c r="X153" s="23">
        <f t="shared" si="12"/>
        <v>0</v>
      </c>
      <c r="Y153" s="61"/>
      <c r="Z153" s="61"/>
      <c r="AA153" s="61"/>
      <c r="AB153" s="61"/>
      <c r="AC153" s="61"/>
      <c r="AD153" s="61"/>
      <c r="AE153" s="61"/>
      <c r="AF153" s="61"/>
      <c r="AG153" s="61"/>
      <c r="AH153" s="61" t="s">
        <v>796</v>
      </c>
      <c r="AI153" s="62" t="s">
        <v>796</v>
      </c>
      <c r="AJ153" s="62" t="s">
        <v>796</v>
      </c>
      <c r="AK153" s="62" t="s">
        <v>796</v>
      </c>
      <c r="AL153" s="62" t="s">
        <v>796</v>
      </c>
      <c r="AM153" s="62" t="s">
        <v>796</v>
      </c>
      <c r="AN153" s="62"/>
      <c r="AO153" s="62" t="s">
        <v>796</v>
      </c>
      <c r="AP153" s="62" t="s">
        <v>796</v>
      </c>
      <c r="AQ153" s="62" t="s">
        <v>796</v>
      </c>
      <c r="AR153" s="62" t="s">
        <v>796</v>
      </c>
      <c r="AS153" s="62" t="s">
        <v>796</v>
      </c>
      <c r="AT153" s="62" t="s">
        <v>796</v>
      </c>
      <c r="AU153" s="62"/>
      <c r="AV153" s="62" t="s">
        <v>796</v>
      </c>
      <c r="AW153" s="62" t="s">
        <v>796</v>
      </c>
      <c r="AX153" s="62" t="s">
        <v>796</v>
      </c>
      <c r="AY153" s="1">
        <v>83000</v>
      </c>
      <c r="AZ153" s="62"/>
      <c r="BA153" s="62"/>
      <c r="BB153" s="62"/>
      <c r="BC153" s="62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</row>
    <row r="154" spans="1:103" x14ac:dyDescent="0.35">
      <c r="A154" s="69" t="s">
        <v>891</v>
      </c>
      <c r="B154" s="70"/>
      <c r="C154" s="70">
        <v>9857074425</v>
      </c>
      <c r="D154" s="23"/>
      <c r="E154" s="12"/>
      <c r="F154" s="12"/>
      <c r="G154" s="12"/>
      <c r="H154" s="12"/>
      <c r="I154" s="12"/>
      <c r="J154" s="12">
        <v>8500</v>
      </c>
      <c r="K154" s="12"/>
      <c r="L154" s="12"/>
      <c r="M154" s="12"/>
      <c r="N154" s="23"/>
      <c r="O154" s="23"/>
      <c r="P154" s="23"/>
      <c r="Q154" s="23"/>
      <c r="R154" s="23"/>
      <c r="S154" s="23"/>
      <c r="T154" s="23"/>
      <c r="U154" s="23"/>
      <c r="V154" s="23">
        <f t="shared" si="11"/>
        <v>8500</v>
      </c>
      <c r="W154" s="23">
        <f>BM154</f>
        <v>8300</v>
      </c>
      <c r="X154" s="23">
        <f t="shared" si="12"/>
        <v>200</v>
      </c>
      <c r="Y154" s="14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1"/>
      <c r="AX154" s="31"/>
      <c r="AY154" s="31"/>
      <c r="AZ154" s="31">
        <v>5</v>
      </c>
      <c r="BA154" s="31"/>
      <c r="BB154" s="31"/>
      <c r="BC154" s="31"/>
      <c r="BD154" s="34">
        <v>5</v>
      </c>
      <c r="BE154" s="34"/>
      <c r="BF154" s="34"/>
      <c r="BG154" s="34"/>
      <c r="BH154" s="34">
        <v>7</v>
      </c>
      <c r="BI154" s="34"/>
      <c r="BJ154" s="34">
        <v>9</v>
      </c>
      <c r="BK154" s="34"/>
      <c r="BL154" s="31">
        <v>10</v>
      </c>
      <c r="BM154" s="62">
        <v>8300</v>
      </c>
      <c r="BN154" s="35"/>
      <c r="BO154" s="35"/>
      <c r="BP154" s="35"/>
      <c r="BQ154" s="35"/>
      <c r="BR154" s="35"/>
      <c r="BS154" s="35"/>
      <c r="BT154" s="35"/>
      <c r="BU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</row>
    <row r="155" spans="1:103" x14ac:dyDescent="0.35">
      <c r="A155" s="23" t="s">
        <v>780</v>
      </c>
      <c r="B155" s="29"/>
      <c r="C155" s="29">
        <v>9857085400</v>
      </c>
      <c r="D155" s="23"/>
      <c r="E155" s="23">
        <f>6100+6100</f>
        <v>12200</v>
      </c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>
        <f t="shared" si="11"/>
        <v>12200</v>
      </c>
      <c r="W155" s="23">
        <f>Y155</f>
        <v>12200</v>
      </c>
      <c r="X155" s="23">
        <f t="shared" si="12"/>
        <v>0</v>
      </c>
      <c r="Y155" s="62">
        <v>12200</v>
      </c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</row>
    <row r="156" spans="1:103" x14ac:dyDescent="0.35">
      <c r="A156" s="69" t="s">
        <v>210</v>
      </c>
      <c r="B156" s="70"/>
      <c r="C156" s="70">
        <v>9857065573</v>
      </c>
      <c r="D156" s="23">
        <v>0</v>
      </c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>
        <f t="shared" si="11"/>
        <v>0</v>
      </c>
      <c r="W156" s="23"/>
      <c r="X156" s="23">
        <f t="shared" si="12"/>
        <v>0</v>
      </c>
      <c r="Y156" s="61">
        <v>15</v>
      </c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</row>
    <row r="157" spans="1:103" ht="18.5" x14ac:dyDescent="0.45">
      <c r="A157" s="75" t="s">
        <v>976</v>
      </c>
      <c r="B157" s="76"/>
      <c r="C157" s="76">
        <v>9847123092</v>
      </c>
      <c r="D157" s="75">
        <v>12500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23"/>
      <c r="O157" s="23"/>
      <c r="P157" s="23"/>
      <c r="Q157" s="23"/>
      <c r="R157" s="23"/>
      <c r="S157" s="23"/>
      <c r="T157" s="23"/>
      <c r="U157" s="23"/>
      <c r="V157" s="23">
        <f t="shared" si="11"/>
        <v>12500</v>
      </c>
      <c r="W157" s="23">
        <f>BQ157</f>
        <v>12500</v>
      </c>
      <c r="X157" s="23">
        <f t="shared" si="12"/>
        <v>0</v>
      </c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>
        <v>29</v>
      </c>
      <c r="AS157" s="46"/>
      <c r="AT157" s="46"/>
      <c r="AU157" s="46"/>
      <c r="AV157" s="46"/>
      <c r="AW157" s="46"/>
      <c r="AX157" s="46"/>
      <c r="AY157" s="46"/>
      <c r="AZ157" s="46"/>
      <c r="BA157" s="46">
        <v>3</v>
      </c>
      <c r="BB157" s="46"/>
      <c r="BC157" s="46"/>
      <c r="BD157" s="46">
        <v>3</v>
      </c>
      <c r="BE157" s="46"/>
      <c r="BF157" s="46">
        <v>5</v>
      </c>
      <c r="BG157" s="46"/>
      <c r="BH157" s="46" t="s">
        <v>793</v>
      </c>
      <c r="BI157" s="46"/>
      <c r="BJ157" s="46" t="s">
        <v>793</v>
      </c>
      <c r="BK157" s="46">
        <v>9</v>
      </c>
      <c r="BL157" s="46">
        <v>10</v>
      </c>
      <c r="BM157" s="46" t="s">
        <v>793</v>
      </c>
      <c r="BN157" s="46" t="s">
        <v>793</v>
      </c>
      <c r="BO157" s="46" t="s">
        <v>793</v>
      </c>
      <c r="BP157" s="46"/>
      <c r="BQ157" s="46">
        <v>12500</v>
      </c>
      <c r="BS157" s="35"/>
      <c r="BT157" s="35"/>
      <c r="BU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</row>
    <row r="158" spans="1:103" ht="18.5" x14ac:dyDescent="0.45">
      <c r="A158" s="75" t="s">
        <v>213</v>
      </c>
      <c r="B158" s="76"/>
      <c r="C158" s="76">
        <v>9811472125</v>
      </c>
      <c r="D158" s="75">
        <v>7700</v>
      </c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>
        <f t="shared" si="11"/>
        <v>7700</v>
      </c>
      <c r="W158" s="23">
        <f>AS158+3700</f>
        <v>7700</v>
      </c>
      <c r="X158" s="37">
        <f t="shared" si="12"/>
        <v>0</v>
      </c>
      <c r="Y158" s="23">
        <v>5</v>
      </c>
      <c r="Z158" s="46"/>
      <c r="AA158" s="46"/>
      <c r="AB158" s="46"/>
      <c r="AC158" s="46">
        <v>8</v>
      </c>
      <c r="AD158" s="46"/>
      <c r="AE158" s="46"/>
      <c r="AF158" s="46" t="s">
        <v>781</v>
      </c>
      <c r="AG158" s="46"/>
      <c r="AH158" s="46"/>
      <c r="AI158" s="46"/>
      <c r="AJ158" s="46">
        <v>16</v>
      </c>
      <c r="AK158" s="46"/>
      <c r="AL158" s="46"/>
      <c r="AM158" s="46"/>
      <c r="AN158" s="46" t="s">
        <v>4</v>
      </c>
      <c r="AO158" s="46">
        <v>19</v>
      </c>
      <c r="AP158" s="46"/>
      <c r="AQ158" s="46" t="s">
        <v>793</v>
      </c>
      <c r="AR158" s="46">
        <v>23</v>
      </c>
      <c r="AS158" s="46">
        <v>4000</v>
      </c>
      <c r="AT158" s="46"/>
      <c r="AU158" s="46"/>
      <c r="AV158" s="46">
        <v>28</v>
      </c>
      <c r="AW158" s="46"/>
      <c r="AX158" s="46"/>
      <c r="AY158" s="46"/>
      <c r="AZ158" s="46">
        <v>2</v>
      </c>
      <c r="BA158" s="46"/>
      <c r="BB158" s="46"/>
      <c r="BC158" s="46"/>
      <c r="BD158" s="46">
        <v>2</v>
      </c>
      <c r="BE158" s="1">
        <v>3700</v>
      </c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</row>
    <row r="159" spans="1:103" x14ac:dyDescent="0.35">
      <c r="A159" s="23" t="s">
        <v>173</v>
      </c>
      <c r="B159" s="29"/>
      <c r="C159" s="29">
        <v>9857068227</v>
      </c>
      <c r="D159" s="23">
        <v>0</v>
      </c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>
        <f t="shared" si="11"/>
        <v>0</v>
      </c>
      <c r="W159" s="23"/>
      <c r="X159" s="23">
        <f t="shared" si="12"/>
        <v>0</v>
      </c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</row>
    <row r="160" spans="1:103" x14ac:dyDescent="0.35">
      <c r="A160" s="23" t="s">
        <v>813</v>
      </c>
      <c r="B160" s="29"/>
      <c r="C160" s="29">
        <v>9857031359</v>
      </c>
      <c r="D160" s="23"/>
      <c r="E160" s="23">
        <v>15000</v>
      </c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>
        <f t="shared" si="11"/>
        <v>15000</v>
      </c>
      <c r="W160" s="23">
        <f>AT160</f>
        <v>15000</v>
      </c>
      <c r="X160" s="23">
        <f t="shared" si="12"/>
        <v>0</v>
      </c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2" t="s">
        <v>798</v>
      </c>
      <c r="AS160" s="62" t="s">
        <v>798</v>
      </c>
      <c r="AT160" s="62">
        <v>15000</v>
      </c>
      <c r="AU160" s="62"/>
      <c r="AV160" s="62"/>
      <c r="AW160" s="62"/>
      <c r="AX160" s="62"/>
      <c r="AY160" s="62"/>
      <c r="AZ160" s="62"/>
      <c r="BA160" s="62"/>
      <c r="BB160" s="62"/>
      <c r="BC160" s="62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  <c r="CX160" s="35"/>
      <c r="CY160" s="35"/>
    </row>
    <row r="161" spans="1:103" x14ac:dyDescent="0.35">
      <c r="A161" s="23" t="s">
        <v>861</v>
      </c>
      <c r="B161" s="29"/>
      <c r="C161" s="29">
        <v>9857025096</v>
      </c>
      <c r="D161" s="23"/>
      <c r="E161" s="12"/>
      <c r="F161" s="12"/>
      <c r="G161" s="12"/>
      <c r="H161" s="12">
        <v>23000</v>
      </c>
      <c r="I161" s="12"/>
      <c r="J161" s="12"/>
      <c r="K161" s="12"/>
      <c r="L161" s="12"/>
      <c r="M161" s="12"/>
      <c r="N161" s="23"/>
      <c r="O161" s="23"/>
      <c r="P161" s="23"/>
      <c r="Q161" s="23"/>
      <c r="R161" s="23"/>
      <c r="S161" s="23"/>
      <c r="T161" s="23"/>
      <c r="U161" s="23"/>
      <c r="V161" s="23">
        <f t="shared" si="11"/>
        <v>23000</v>
      </c>
      <c r="W161" s="23">
        <f>BO161</f>
        <v>23000</v>
      </c>
      <c r="X161" s="23">
        <f t="shared" si="12"/>
        <v>0</v>
      </c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>
        <v>25</v>
      </c>
      <c r="AS161" s="46"/>
      <c r="AT161" s="46"/>
      <c r="AU161" s="46"/>
      <c r="AV161" s="46"/>
      <c r="AW161" s="46">
        <v>28</v>
      </c>
      <c r="AX161" s="46"/>
      <c r="AY161" s="46"/>
      <c r="AZ161" s="46">
        <v>30</v>
      </c>
      <c r="BA161" s="46"/>
      <c r="BB161" s="46"/>
      <c r="BC161" s="46" t="s">
        <v>911</v>
      </c>
      <c r="BD161" s="46">
        <v>5</v>
      </c>
      <c r="BE161" s="46"/>
      <c r="BF161" s="46"/>
      <c r="BG161" s="46"/>
      <c r="BH161" s="46">
        <v>7</v>
      </c>
      <c r="BI161" s="46"/>
      <c r="BJ161" s="46" t="s">
        <v>798</v>
      </c>
      <c r="BK161" s="46" t="s">
        <v>798</v>
      </c>
      <c r="BL161" s="46" t="s">
        <v>798</v>
      </c>
      <c r="BM161" s="46" t="s">
        <v>798</v>
      </c>
      <c r="BN161" s="46" t="s">
        <v>798</v>
      </c>
      <c r="BO161" s="46">
        <v>23000</v>
      </c>
      <c r="BS161" s="35"/>
      <c r="BT161" s="35"/>
      <c r="BU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  <c r="CX161" s="35"/>
      <c r="CY161" s="35"/>
    </row>
    <row r="162" spans="1:103" ht="18.5" x14ac:dyDescent="0.45">
      <c r="A162" s="104" t="s">
        <v>217</v>
      </c>
      <c r="B162" s="105"/>
      <c r="C162" s="105">
        <v>9847001932</v>
      </c>
      <c r="D162" s="104">
        <v>0</v>
      </c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>
        <f t="shared" si="11"/>
        <v>0</v>
      </c>
      <c r="W162" s="23"/>
      <c r="X162" s="23">
        <f t="shared" si="12"/>
        <v>0</v>
      </c>
      <c r="Y162" s="61"/>
      <c r="Z162" s="61"/>
      <c r="AA162" s="61">
        <v>6</v>
      </c>
      <c r="AB162" s="61"/>
      <c r="AC162" s="61"/>
      <c r="AD162" s="61" t="s">
        <v>817</v>
      </c>
      <c r="AE162" s="61" t="s">
        <v>793</v>
      </c>
      <c r="AF162" s="61" t="s">
        <v>825</v>
      </c>
      <c r="AG162" s="61"/>
      <c r="AH162" s="61"/>
      <c r="AI162" s="62" t="s">
        <v>793</v>
      </c>
      <c r="AJ162" s="62" t="s">
        <v>793</v>
      </c>
      <c r="AK162" s="62">
        <v>16</v>
      </c>
      <c r="AL162" s="62"/>
      <c r="AM162" s="62"/>
      <c r="AN162" s="62" t="s">
        <v>4</v>
      </c>
      <c r="AO162" s="62" t="s">
        <v>868</v>
      </c>
      <c r="AP162" s="62" t="s">
        <v>868</v>
      </c>
      <c r="AQ162" s="62" t="s">
        <v>868</v>
      </c>
      <c r="AR162" s="62">
        <v>48100</v>
      </c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</row>
    <row r="163" spans="1:103" x14ac:dyDescent="0.35">
      <c r="A163" s="23" t="s">
        <v>174</v>
      </c>
      <c r="B163" s="29"/>
      <c r="C163" s="29">
        <v>9857065367</v>
      </c>
      <c r="D163" s="23">
        <v>0</v>
      </c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>
        <f t="shared" si="11"/>
        <v>0</v>
      </c>
      <c r="W163" s="23"/>
      <c r="X163" s="23">
        <f t="shared" si="12"/>
        <v>0</v>
      </c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  <c r="CX163" s="35"/>
      <c r="CY163" s="35"/>
    </row>
    <row r="164" spans="1:103" s="62" customFormat="1" x14ac:dyDescent="0.35">
      <c r="A164" s="23" t="s">
        <v>183</v>
      </c>
      <c r="B164" s="29"/>
      <c r="C164" s="29"/>
      <c r="D164" s="23">
        <v>0</v>
      </c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>
        <f t="shared" si="11"/>
        <v>0</v>
      </c>
      <c r="W164" s="23"/>
      <c r="X164" s="23">
        <f t="shared" si="12"/>
        <v>0</v>
      </c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  <c r="CX164" s="35"/>
      <c r="CY164" s="35"/>
    </row>
    <row r="165" spans="1:103" x14ac:dyDescent="0.35">
      <c r="A165" s="23" t="s">
        <v>958</v>
      </c>
      <c r="B165" s="29"/>
      <c r="C165" s="29"/>
      <c r="D165" s="23"/>
      <c r="E165" s="12"/>
      <c r="F165" s="12"/>
      <c r="G165" s="12"/>
      <c r="H165" s="12"/>
      <c r="I165" s="12"/>
      <c r="J165" s="12"/>
      <c r="K165" s="12"/>
      <c r="L165" s="12">
        <v>26000</v>
      </c>
      <c r="M165" s="12"/>
      <c r="N165" s="12"/>
      <c r="O165" s="23">
        <v>3500</v>
      </c>
      <c r="P165" s="23"/>
      <c r="Q165" s="23"/>
      <c r="R165" s="23"/>
      <c r="S165" s="23"/>
      <c r="T165" s="23"/>
      <c r="U165" s="23"/>
      <c r="V165" s="23">
        <f t="shared" si="11"/>
        <v>29500</v>
      </c>
      <c r="W165" s="23">
        <f>BA165+3500</f>
        <v>29500</v>
      </c>
      <c r="X165" s="23">
        <f t="shared" si="12"/>
        <v>0</v>
      </c>
      <c r="Y165" s="12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1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62">
        <v>26000</v>
      </c>
      <c r="BB165" s="62"/>
      <c r="BC165" s="31"/>
      <c r="BD165" s="35"/>
      <c r="BE165" s="35"/>
      <c r="BF165" s="34"/>
      <c r="BG165" s="34"/>
      <c r="BH165" s="34"/>
      <c r="BI165" s="34">
        <v>10</v>
      </c>
      <c r="BJ165" s="34"/>
      <c r="BK165" s="34"/>
      <c r="BL165" s="46"/>
      <c r="BM165" s="46">
        <v>3500</v>
      </c>
      <c r="BN165" s="35"/>
      <c r="BO165" s="35"/>
      <c r="BP165" s="35"/>
      <c r="BQ165" s="35"/>
      <c r="BR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  <c r="CX165" s="35"/>
      <c r="CY165" s="35"/>
    </row>
    <row r="166" spans="1:103" x14ac:dyDescent="0.35">
      <c r="A166" s="23" t="s">
        <v>902</v>
      </c>
      <c r="B166" s="29"/>
      <c r="C166" s="29">
        <v>9857014672</v>
      </c>
      <c r="D166" s="23"/>
      <c r="E166" s="12"/>
      <c r="F166" s="12"/>
      <c r="G166" s="12"/>
      <c r="H166" s="12"/>
      <c r="I166" s="12"/>
      <c r="J166" s="12"/>
      <c r="K166" s="12">
        <v>40500</v>
      </c>
      <c r="L166" s="12"/>
      <c r="M166" s="12"/>
      <c r="N166" s="23"/>
      <c r="O166" s="23"/>
      <c r="P166" s="23"/>
      <c r="Q166" s="23"/>
      <c r="R166" s="23"/>
      <c r="S166" s="23"/>
      <c r="T166" s="23"/>
      <c r="U166" s="23"/>
      <c r="V166" s="23">
        <f t="shared" ref="V166:V197" si="13">SUM(D166:U166)</f>
        <v>40500</v>
      </c>
      <c r="W166" s="23">
        <f>BO166</f>
        <v>40500</v>
      </c>
      <c r="X166" s="23">
        <f t="shared" ref="X166:X197" si="14">V166-W166</f>
        <v>0</v>
      </c>
      <c r="Y166" s="46"/>
      <c r="Z166" s="46"/>
      <c r="AA166" s="46"/>
      <c r="AB166" s="23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>
        <v>3</v>
      </c>
      <c r="BE166" s="46"/>
      <c r="BF166" s="46">
        <v>5</v>
      </c>
      <c r="BG166" s="46"/>
      <c r="BH166" s="46">
        <v>6</v>
      </c>
      <c r="BI166" s="46" t="s">
        <v>4</v>
      </c>
      <c r="BJ166" s="46" t="s">
        <v>798</v>
      </c>
      <c r="BK166" s="46" t="s">
        <v>798</v>
      </c>
      <c r="BL166" s="46" t="s">
        <v>798</v>
      </c>
      <c r="BM166" s="46" t="s">
        <v>798</v>
      </c>
      <c r="BN166" s="46" t="s">
        <v>798</v>
      </c>
      <c r="BO166" s="46">
        <v>40500</v>
      </c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  <c r="CX166" s="35"/>
      <c r="CY166" s="35"/>
    </row>
    <row r="167" spans="1:103" s="62" customFormat="1" ht="18.5" x14ac:dyDescent="0.45">
      <c r="A167" s="104" t="s">
        <v>1006</v>
      </c>
      <c r="B167" s="105"/>
      <c r="C167" s="105">
        <v>9802531928</v>
      </c>
      <c r="D167" s="104"/>
      <c r="E167" s="12"/>
      <c r="F167" s="12"/>
      <c r="G167" s="12"/>
      <c r="H167" s="12"/>
      <c r="I167" s="12"/>
      <c r="J167" s="12"/>
      <c r="K167" s="12"/>
      <c r="L167" s="12"/>
      <c r="M167" s="12"/>
      <c r="N167" s="23"/>
      <c r="O167" s="23"/>
      <c r="P167" s="23"/>
      <c r="Q167" s="23"/>
      <c r="R167" s="23">
        <v>19800</v>
      </c>
      <c r="S167" s="23"/>
      <c r="T167" s="23"/>
      <c r="U167" s="23"/>
      <c r="V167" s="23">
        <f t="shared" si="13"/>
        <v>19800</v>
      </c>
      <c r="W167" s="23">
        <f>BT167</f>
        <v>19800</v>
      </c>
      <c r="X167" s="23">
        <f t="shared" si="14"/>
        <v>0</v>
      </c>
      <c r="Y167" s="23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46"/>
      <c r="BN167" s="46"/>
      <c r="BO167" s="46"/>
      <c r="BP167" s="46"/>
      <c r="BQ167" s="46"/>
      <c r="BR167" s="46"/>
      <c r="BS167" s="46"/>
      <c r="BT167" s="46">
        <v>19800</v>
      </c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  <c r="CX167" s="35"/>
      <c r="CY167" s="35"/>
    </row>
    <row r="168" spans="1:103" x14ac:dyDescent="0.35">
      <c r="A168" s="23" t="s">
        <v>866</v>
      </c>
      <c r="B168" s="29"/>
      <c r="C168" s="29">
        <v>9857037746</v>
      </c>
      <c r="D168" s="23"/>
      <c r="E168" s="12"/>
      <c r="F168" s="12"/>
      <c r="G168" s="12"/>
      <c r="H168" s="12">
        <v>21000</v>
      </c>
      <c r="I168" s="12"/>
      <c r="J168" s="12"/>
      <c r="K168" s="12"/>
      <c r="L168" s="12"/>
      <c r="M168" s="12"/>
      <c r="N168" s="23"/>
      <c r="O168" s="23"/>
      <c r="P168" s="23"/>
      <c r="Q168" s="23"/>
      <c r="R168" s="23"/>
      <c r="S168" s="23"/>
      <c r="T168" s="23"/>
      <c r="U168" s="23"/>
      <c r="V168" s="23">
        <f t="shared" si="13"/>
        <v>21000</v>
      </c>
      <c r="W168" s="23">
        <f>AM168+10500</f>
        <v>21000</v>
      </c>
      <c r="X168" s="23">
        <f t="shared" si="14"/>
        <v>0</v>
      </c>
      <c r="Y168" s="46"/>
      <c r="Z168" s="46"/>
      <c r="AA168" s="46"/>
      <c r="AB168" s="23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>
        <v>10500</v>
      </c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>
        <v>2</v>
      </c>
      <c r="BB168" s="46"/>
      <c r="BC168" s="46"/>
      <c r="BD168" s="46">
        <v>2</v>
      </c>
      <c r="BE168" s="46">
        <v>5</v>
      </c>
      <c r="BF168" s="46"/>
      <c r="BG168" s="46"/>
      <c r="BH168" s="46">
        <v>10</v>
      </c>
      <c r="BI168" s="46"/>
      <c r="BJ168" s="46"/>
      <c r="BK168" s="46"/>
      <c r="BL168" s="46"/>
      <c r="BM168" s="46" t="s">
        <v>793</v>
      </c>
      <c r="BN168" s="46">
        <v>14</v>
      </c>
      <c r="BO168" s="46"/>
      <c r="BP168" s="46"/>
      <c r="BQ168" s="46"/>
      <c r="BR168" s="46">
        <v>17</v>
      </c>
      <c r="BS168" s="46"/>
      <c r="BT168" s="46">
        <v>18</v>
      </c>
      <c r="BU168" s="46">
        <v>10500</v>
      </c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  <c r="CX168" s="35"/>
      <c r="CY168" s="35"/>
    </row>
    <row r="169" spans="1:103" x14ac:dyDescent="0.35">
      <c r="A169" s="23" t="s">
        <v>184</v>
      </c>
      <c r="B169" s="29"/>
      <c r="C169" s="29">
        <v>9847459832</v>
      </c>
      <c r="D169" s="23">
        <v>0</v>
      </c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>
        <f t="shared" si="13"/>
        <v>0</v>
      </c>
      <c r="W169" s="23"/>
      <c r="X169" s="23">
        <f t="shared" si="14"/>
        <v>0</v>
      </c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CI169" s="35"/>
      <c r="CJ169" s="35"/>
      <c r="CK169" s="35"/>
      <c r="CL169" s="35"/>
      <c r="CM169" s="35"/>
      <c r="CN169" s="35"/>
      <c r="CO169" s="35"/>
      <c r="CP169" s="35"/>
      <c r="CQ169" s="35"/>
      <c r="CR169" s="35"/>
      <c r="CS169" s="35"/>
      <c r="CT169" s="35"/>
      <c r="CU169" s="35"/>
      <c r="CV169" s="35"/>
      <c r="CW169" s="35"/>
      <c r="CX169" s="35"/>
      <c r="CY169" s="35"/>
    </row>
    <row r="170" spans="1:103" x14ac:dyDescent="0.35">
      <c r="A170" s="23" t="s">
        <v>903</v>
      </c>
      <c r="B170" s="29"/>
      <c r="C170" s="29">
        <v>9851049075</v>
      </c>
      <c r="D170" s="23"/>
      <c r="E170" s="23"/>
      <c r="F170" s="23"/>
      <c r="G170" s="23"/>
      <c r="H170" s="23"/>
      <c r="I170" s="23"/>
      <c r="J170" s="23"/>
      <c r="K170" s="23">
        <v>44000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>
        <f t="shared" si="13"/>
        <v>44000</v>
      </c>
      <c r="W170" s="23">
        <f>AX170</f>
        <v>44000</v>
      </c>
      <c r="X170" s="23">
        <f t="shared" si="14"/>
        <v>0</v>
      </c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>
        <v>44000</v>
      </c>
      <c r="AY170" s="62"/>
      <c r="AZ170" s="62"/>
      <c r="BA170" s="62"/>
      <c r="BB170" s="62"/>
      <c r="BC170" s="62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CI170" s="35"/>
      <c r="CJ170" s="35"/>
      <c r="CK170" s="35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  <c r="CV170" s="35"/>
      <c r="CW170" s="35"/>
      <c r="CX170" s="35"/>
      <c r="CY170" s="35"/>
    </row>
    <row r="171" spans="1:103" x14ac:dyDescent="0.35">
      <c r="A171" s="23" t="s">
        <v>850</v>
      </c>
      <c r="B171" s="29"/>
      <c r="C171" s="29">
        <v>9857060789</v>
      </c>
      <c r="D171" s="23"/>
      <c r="E171" s="23"/>
      <c r="F171" s="23"/>
      <c r="G171" s="23">
        <v>15600</v>
      </c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>
        <f t="shared" si="13"/>
        <v>15600</v>
      </c>
      <c r="W171" s="23">
        <f>AO171</f>
        <v>15600</v>
      </c>
      <c r="X171" s="23">
        <f t="shared" si="14"/>
        <v>0</v>
      </c>
      <c r="Y171" s="62"/>
      <c r="Z171" s="62"/>
      <c r="AA171" s="62"/>
      <c r="AB171" s="62"/>
      <c r="AC171" s="62"/>
      <c r="AD171" s="62"/>
      <c r="AE171" s="62"/>
      <c r="AF171" s="62"/>
      <c r="AG171" s="62"/>
      <c r="AH171" s="61"/>
      <c r="AI171" s="61"/>
      <c r="AJ171" s="61" t="s">
        <v>798</v>
      </c>
      <c r="AK171" s="62" t="s">
        <v>798</v>
      </c>
      <c r="AL171" s="62" t="s">
        <v>798</v>
      </c>
      <c r="AM171" s="62" t="s">
        <v>798</v>
      </c>
      <c r="AN171" s="62"/>
      <c r="AO171" s="62">
        <v>15600</v>
      </c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CI171" s="35"/>
      <c r="CJ171" s="35"/>
      <c r="CK171" s="35"/>
      <c r="CL171" s="35"/>
      <c r="CM171" s="35"/>
      <c r="CN171" s="35"/>
      <c r="CO171" s="35"/>
      <c r="CP171" s="35"/>
      <c r="CQ171" s="35"/>
      <c r="CR171" s="35"/>
      <c r="CS171" s="35"/>
      <c r="CT171" s="35"/>
      <c r="CU171" s="35"/>
      <c r="CV171" s="35"/>
      <c r="CW171" s="35"/>
      <c r="CX171" s="35"/>
      <c r="CY171" s="35"/>
    </row>
    <row r="172" spans="1:103" x14ac:dyDescent="0.35">
      <c r="A172" s="23" t="s">
        <v>977</v>
      </c>
      <c r="B172" s="29"/>
      <c r="C172" s="29">
        <v>9857026400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>
        <v>1950</v>
      </c>
      <c r="O172" s="23"/>
      <c r="P172" s="23"/>
      <c r="Q172" s="23"/>
      <c r="R172" s="23"/>
      <c r="S172" s="23"/>
      <c r="T172" s="23"/>
      <c r="U172" s="23"/>
      <c r="V172" s="23">
        <f t="shared" si="13"/>
        <v>1950</v>
      </c>
      <c r="W172" s="23">
        <f>BF172</f>
        <v>1950</v>
      </c>
      <c r="X172" s="23">
        <f t="shared" si="14"/>
        <v>0</v>
      </c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1">
        <v>1950</v>
      </c>
      <c r="BG172" s="35"/>
      <c r="BH172" s="35"/>
      <c r="CI172" s="35"/>
      <c r="CJ172" s="35"/>
      <c r="CK172" s="35"/>
      <c r="CL172" s="35"/>
      <c r="CM172" s="35"/>
      <c r="CN172" s="35"/>
      <c r="CO172" s="35"/>
      <c r="CP172" s="35"/>
      <c r="CQ172" s="35"/>
      <c r="CR172" s="35"/>
      <c r="CS172" s="35"/>
      <c r="CT172" s="35"/>
      <c r="CU172" s="35"/>
      <c r="CV172" s="35"/>
      <c r="CW172" s="35"/>
      <c r="CX172" s="35"/>
      <c r="CY172" s="35"/>
    </row>
    <row r="173" spans="1:103" s="62" customFormat="1" x14ac:dyDescent="0.35">
      <c r="A173" s="23" t="s">
        <v>862</v>
      </c>
      <c r="B173" s="29"/>
      <c r="C173" s="29">
        <v>9847406087</v>
      </c>
      <c r="D173" s="23"/>
      <c r="E173" s="23"/>
      <c r="F173" s="23"/>
      <c r="G173" s="23"/>
      <c r="H173" s="23">
        <v>31600</v>
      </c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>
        <f t="shared" si="13"/>
        <v>31600</v>
      </c>
      <c r="W173" s="23">
        <f>AZ173</f>
        <v>31600</v>
      </c>
      <c r="X173" s="23">
        <f t="shared" si="14"/>
        <v>0</v>
      </c>
      <c r="Y173" s="31"/>
      <c r="Z173" s="31"/>
      <c r="AA173" s="31"/>
      <c r="AB173" s="33"/>
      <c r="AC173" s="14"/>
      <c r="AD173" s="12"/>
      <c r="AE173" s="12"/>
      <c r="AF173" s="53"/>
      <c r="AG173" s="34"/>
      <c r="AH173" s="34"/>
      <c r="AI173" s="34"/>
      <c r="AJ173" s="34"/>
      <c r="AK173" s="34"/>
      <c r="AL173" s="34"/>
      <c r="AM173" s="34"/>
      <c r="AN173" s="34"/>
      <c r="AO173" s="34">
        <v>19</v>
      </c>
      <c r="AP173" s="34"/>
      <c r="AQ173" s="34" t="s">
        <v>796</v>
      </c>
      <c r="AR173" s="31" t="s">
        <v>796</v>
      </c>
      <c r="AS173" s="31"/>
      <c r="AT173" s="31"/>
      <c r="AU173" s="31"/>
      <c r="AV173" s="31"/>
      <c r="AW173" s="31" t="s">
        <v>798</v>
      </c>
      <c r="AX173" s="31" t="s">
        <v>798</v>
      </c>
      <c r="AY173" s="31" t="s">
        <v>798</v>
      </c>
      <c r="AZ173" s="62">
        <v>31600</v>
      </c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35"/>
      <c r="CJ173" s="35"/>
      <c r="CK173" s="35"/>
      <c r="CL173" s="35"/>
      <c r="CM173" s="35"/>
      <c r="CN173" s="35"/>
      <c r="CO173" s="35"/>
      <c r="CP173" s="35"/>
      <c r="CQ173" s="35"/>
      <c r="CR173" s="35"/>
      <c r="CS173" s="35"/>
      <c r="CT173" s="35"/>
      <c r="CU173" s="35"/>
      <c r="CV173" s="35"/>
      <c r="CW173" s="35"/>
      <c r="CX173" s="35"/>
      <c r="CY173" s="35"/>
    </row>
    <row r="174" spans="1:103" x14ac:dyDescent="0.35">
      <c r="A174" s="23" t="s">
        <v>972</v>
      </c>
      <c r="B174" s="29"/>
      <c r="C174" s="29">
        <v>9857027184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3">
        <v>104500</v>
      </c>
      <c r="N174" s="23"/>
      <c r="O174" s="23"/>
      <c r="P174" s="23"/>
      <c r="Q174" s="23"/>
      <c r="R174" s="23"/>
      <c r="S174" s="23"/>
      <c r="T174" s="23"/>
      <c r="U174" s="23"/>
      <c r="V174" s="23">
        <f t="shared" si="13"/>
        <v>104500</v>
      </c>
      <c r="W174" s="23">
        <f>BE174</f>
        <v>104500</v>
      </c>
      <c r="X174" s="23">
        <f t="shared" si="14"/>
        <v>0</v>
      </c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1">
        <v>104500</v>
      </c>
      <c r="BF174" s="35"/>
      <c r="BG174" s="35"/>
      <c r="BH174" s="35"/>
      <c r="BI174" s="35"/>
      <c r="BJ174" s="35"/>
      <c r="BK174" s="35"/>
      <c r="BL174" s="35"/>
      <c r="BM174" s="35"/>
      <c r="BN174" s="35"/>
      <c r="CI174" s="35"/>
      <c r="CJ174" s="35"/>
      <c r="CK174" s="35"/>
      <c r="CL174" s="35"/>
      <c r="CM174" s="35"/>
      <c r="CN174" s="35"/>
      <c r="CO174" s="35"/>
      <c r="CP174" s="35"/>
      <c r="CQ174" s="35"/>
      <c r="CR174" s="35"/>
      <c r="CS174" s="35"/>
      <c r="CT174" s="35"/>
      <c r="CU174" s="35"/>
      <c r="CV174" s="35"/>
      <c r="CW174" s="35"/>
      <c r="CX174" s="35"/>
      <c r="CY174" s="35"/>
    </row>
    <row r="175" spans="1:103" x14ac:dyDescent="0.35">
      <c r="A175" s="23" t="s">
        <v>175</v>
      </c>
      <c r="B175" s="29"/>
      <c r="C175" s="29">
        <v>9857037656</v>
      </c>
      <c r="D175" s="23">
        <v>0</v>
      </c>
      <c r="E175" s="23"/>
      <c r="F175" s="23"/>
      <c r="G175" s="23"/>
      <c r="H175" s="23"/>
      <c r="I175" s="23"/>
      <c r="J175" s="23"/>
      <c r="K175" s="23">
        <v>26000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>
        <f t="shared" si="13"/>
        <v>26000</v>
      </c>
      <c r="W175" s="23">
        <v>26000</v>
      </c>
      <c r="X175" s="23">
        <f t="shared" si="14"/>
        <v>0</v>
      </c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>
        <v>26000</v>
      </c>
      <c r="AY175" s="62"/>
      <c r="AZ175" s="62"/>
      <c r="BA175" s="62"/>
      <c r="BB175" s="62"/>
      <c r="BC175" s="62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CI175" s="35"/>
      <c r="CJ175" s="35"/>
      <c r="CK175" s="35"/>
      <c r="CL175" s="35"/>
      <c r="CM175" s="35"/>
      <c r="CN175" s="35"/>
      <c r="CO175" s="35"/>
      <c r="CP175" s="35"/>
      <c r="CQ175" s="35"/>
      <c r="CR175" s="35"/>
      <c r="CS175" s="35"/>
      <c r="CT175" s="35"/>
      <c r="CU175" s="35"/>
      <c r="CV175" s="35"/>
      <c r="CW175" s="35"/>
      <c r="CX175" s="35"/>
      <c r="CY175" s="35"/>
    </row>
    <row r="176" spans="1:103" x14ac:dyDescent="0.35">
      <c r="A176" s="23" t="s">
        <v>964</v>
      </c>
      <c r="B176" s="29"/>
      <c r="C176" s="29"/>
      <c r="D176" s="23"/>
      <c r="E176" s="23"/>
      <c r="F176" s="23"/>
      <c r="G176" s="23"/>
      <c r="H176" s="23"/>
      <c r="I176" s="23"/>
      <c r="J176" s="23"/>
      <c r="K176" s="23"/>
      <c r="L176" s="23"/>
      <c r="M176" s="23">
        <v>17500</v>
      </c>
      <c r="N176" s="23">
        <v>46000</v>
      </c>
      <c r="O176" s="23"/>
      <c r="P176" s="23"/>
      <c r="Q176" s="23"/>
      <c r="R176" s="23"/>
      <c r="S176" s="23"/>
      <c r="T176" s="23"/>
      <c r="U176" s="23"/>
      <c r="V176" s="23">
        <f t="shared" si="13"/>
        <v>63500</v>
      </c>
      <c r="W176" s="23">
        <f>BG176+46000</f>
        <v>63500</v>
      </c>
      <c r="X176" s="23">
        <f t="shared" si="14"/>
        <v>0</v>
      </c>
      <c r="Y176" s="46"/>
      <c r="Z176" s="46"/>
      <c r="AA176" s="46"/>
      <c r="AB176" s="46"/>
      <c r="AC176" s="46"/>
      <c r="AD176" s="46"/>
      <c r="AE176" s="23"/>
      <c r="AF176" s="23"/>
      <c r="AG176" s="23"/>
      <c r="AH176" s="23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1">
        <v>17500</v>
      </c>
      <c r="BH176" s="62">
        <v>46000</v>
      </c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</row>
    <row r="177" spans="1:168" x14ac:dyDescent="0.35">
      <c r="A177" s="23" t="s">
        <v>176</v>
      </c>
      <c r="B177" s="29"/>
      <c r="C177" s="29">
        <v>9847444638</v>
      </c>
      <c r="D177" s="23">
        <v>0</v>
      </c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>
        <f t="shared" si="13"/>
        <v>0</v>
      </c>
      <c r="W177" s="23"/>
      <c r="X177" s="23">
        <f t="shared" si="14"/>
        <v>0</v>
      </c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</row>
    <row r="178" spans="1:168" x14ac:dyDescent="0.35">
      <c r="A178" s="23" t="s">
        <v>176</v>
      </c>
      <c r="B178" s="29"/>
      <c r="C178" s="29">
        <v>9847444638</v>
      </c>
      <c r="D178" s="23"/>
      <c r="E178" s="23"/>
      <c r="F178" s="23">
        <v>24000</v>
      </c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>
        <f t="shared" si="13"/>
        <v>24000</v>
      </c>
      <c r="W178" s="23">
        <f>AH178</f>
        <v>24000</v>
      </c>
      <c r="X178" s="23">
        <f t="shared" si="14"/>
        <v>0</v>
      </c>
      <c r="Y178" s="46"/>
      <c r="Z178" s="46"/>
      <c r="AA178" s="46"/>
      <c r="AB178" s="46"/>
      <c r="AC178" s="46"/>
      <c r="AD178" s="46"/>
      <c r="AE178" s="23"/>
      <c r="AF178" s="23"/>
      <c r="AG178" s="46"/>
      <c r="AH178" s="1">
        <v>24000</v>
      </c>
      <c r="AI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</row>
    <row r="179" spans="1:168" x14ac:dyDescent="0.35">
      <c r="A179" s="23" t="s">
        <v>907</v>
      </c>
      <c r="B179" s="29"/>
      <c r="C179" s="29">
        <v>9827494252</v>
      </c>
      <c r="D179" s="23"/>
      <c r="E179" s="23"/>
      <c r="F179" s="23"/>
      <c r="G179" s="23"/>
      <c r="H179" s="23"/>
      <c r="I179" s="23"/>
      <c r="J179" s="23"/>
      <c r="K179" s="23"/>
      <c r="L179" s="23">
        <v>66000</v>
      </c>
      <c r="M179" s="23"/>
      <c r="N179" s="23"/>
      <c r="O179" s="23"/>
      <c r="P179" s="23"/>
      <c r="Q179" s="23"/>
      <c r="R179" s="23"/>
      <c r="S179" s="23"/>
      <c r="T179" s="23"/>
      <c r="U179" s="23"/>
      <c r="V179" s="23">
        <f t="shared" si="13"/>
        <v>66000</v>
      </c>
      <c r="W179" s="23">
        <f>AY179</f>
        <v>66000</v>
      </c>
      <c r="X179" s="23">
        <f t="shared" si="14"/>
        <v>0</v>
      </c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>
        <v>66000</v>
      </c>
      <c r="AZ179" s="62"/>
      <c r="BA179" s="62"/>
      <c r="BB179" s="62"/>
      <c r="BC179" s="62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CI179" s="35"/>
    </row>
    <row r="180" spans="1:168" x14ac:dyDescent="0.35">
      <c r="A180" s="23" t="s">
        <v>779</v>
      </c>
      <c r="B180" s="29"/>
      <c r="C180" s="29">
        <v>9857032838</v>
      </c>
      <c r="D180" s="23"/>
      <c r="E180" s="23">
        <v>94000</v>
      </c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>
        <f t="shared" si="13"/>
        <v>94000</v>
      </c>
      <c r="W180" s="23">
        <f>Y180+74000</f>
        <v>94000</v>
      </c>
      <c r="X180" s="23">
        <f t="shared" si="14"/>
        <v>0</v>
      </c>
      <c r="Y180" s="62">
        <v>20000</v>
      </c>
      <c r="Z180" s="62"/>
      <c r="AA180" s="62">
        <v>74000</v>
      </c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</row>
    <row r="181" spans="1:168" s="62" customFormat="1" x14ac:dyDescent="0.35">
      <c r="A181" s="23" t="s">
        <v>177</v>
      </c>
      <c r="B181" s="29"/>
      <c r="C181" s="29">
        <v>9857031025</v>
      </c>
      <c r="D181" s="23">
        <v>0</v>
      </c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>
        <f t="shared" si="13"/>
        <v>0</v>
      </c>
      <c r="W181" s="23"/>
      <c r="X181" s="23">
        <f t="shared" si="14"/>
        <v>0</v>
      </c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  <c r="CB181" s="35"/>
      <c r="CC181" s="35"/>
      <c r="CD181" s="35"/>
      <c r="CE181" s="35"/>
      <c r="CF181" s="35"/>
      <c r="CG181" s="35"/>
      <c r="CH181" s="35"/>
      <c r="CI181" s="21"/>
      <c r="CJ181" s="35"/>
      <c r="CK181" s="35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  <c r="CV181" s="35"/>
      <c r="CW181" s="35"/>
      <c r="CX181" s="35"/>
      <c r="CY181" s="35"/>
      <c r="CZ181" s="35"/>
      <c r="DA181" s="35"/>
      <c r="DB181" s="35"/>
      <c r="DC181" s="35"/>
      <c r="DD181" s="35"/>
      <c r="DE181" s="35"/>
      <c r="DF181" s="35"/>
      <c r="DG181" s="35"/>
      <c r="DH181" s="35"/>
      <c r="DI181" s="35"/>
      <c r="DJ181" s="35"/>
      <c r="DK181" s="35"/>
      <c r="DL181" s="35"/>
      <c r="DM181" s="35"/>
      <c r="DN181" s="35"/>
      <c r="DO181" s="35"/>
      <c r="DP181" s="35"/>
      <c r="DQ181" s="35"/>
      <c r="FA181" s="35"/>
      <c r="FB181" s="35"/>
      <c r="FC181" s="35"/>
      <c r="FD181" s="35"/>
      <c r="FE181" s="35"/>
      <c r="FF181" s="35"/>
      <c r="FG181" s="35"/>
      <c r="FH181" s="35"/>
      <c r="FI181" s="35"/>
      <c r="FJ181" s="35"/>
      <c r="FK181" s="35"/>
      <c r="FL181" s="35"/>
    </row>
    <row r="182" spans="1:168" x14ac:dyDescent="0.35">
      <c r="A182" s="23" t="s">
        <v>178</v>
      </c>
      <c r="B182" s="29"/>
      <c r="C182" s="29">
        <v>9857038444</v>
      </c>
      <c r="D182" s="23">
        <v>0</v>
      </c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>
        <f t="shared" si="13"/>
        <v>0</v>
      </c>
      <c r="W182" s="23"/>
      <c r="X182" s="23">
        <f t="shared" si="14"/>
        <v>0</v>
      </c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  <c r="CV182" s="35"/>
      <c r="CW182" s="35"/>
      <c r="CX182" s="35"/>
      <c r="CY182" s="35"/>
      <c r="CZ182" s="35"/>
      <c r="DA182" s="35"/>
      <c r="DB182" s="35"/>
      <c r="DC182" s="35"/>
      <c r="DD182" s="35"/>
      <c r="DE182" s="35"/>
      <c r="DF182" s="35"/>
      <c r="DG182" s="35"/>
      <c r="DH182" s="35"/>
      <c r="DI182" s="35"/>
      <c r="DJ182" s="35"/>
      <c r="DK182" s="35"/>
      <c r="DL182" s="35"/>
      <c r="DM182" s="35"/>
      <c r="DN182" s="35"/>
      <c r="DO182" s="35"/>
      <c r="DP182" s="35"/>
      <c r="DQ182" s="35"/>
      <c r="FA182" s="35"/>
      <c r="FB182" s="35"/>
      <c r="FC182" s="35"/>
      <c r="FD182" s="35"/>
      <c r="FE182" s="35"/>
      <c r="FF182" s="35"/>
      <c r="FG182" s="35"/>
      <c r="FH182" s="35"/>
      <c r="FI182" s="35"/>
      <c r="FJ182" s="35"/>
      <c r="FK182" s="35"/>
      <c r="FL182" s="35"/>
    </row>
    <row r="183" spans="1:168" x14ac:dyDescent="0.35">
      <c r="A183" s="23" t="s">
        <v>179</v>
      </c>
      <c r="B183" s="29"/>
      <c r="C183" s="29">
        <v>9847327657</v>
      </c>
      <c r="D183" s="23">
        <v>0</v>
      </c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>
        <f t="shared" si="13"/>
        <v>0</v>
      </c>
      <c r="W183" s="23"/>
      <c r="X183" s="23">
        <f t="shared" si="14"/>
        <v>0</v>
      </c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  <c r="CV183" s="35"/>
      <c r="CW183" s="35"/>
      <c r="CX183" s="35"/>
      <c r="CY183" s="35"/>
      <c r="CZ183" s="35"/>
      <c r="DA183" s="35"/>
      <c r="DB183" s="35"/>
      <c r="DC183" s="35"/>
      <c r="DD183" s="35"/>
      <c r="DE183" s="35"/>
      <c r="DF183" s="35"/>
      <c r="DG183" s="35"/>
      <c r="DH183" s="35"/>
      <c r="DI183" s="35"/>
      <c r="DJ183" s="35"/>
      <c r="DK183" s="35"/>
      <c r="DL183" s="35"/>
      <c r="DM183" s="35"/>
      <c r="DN183" s="35"/>
      <c r="DO183" s="35"/>
      <c r="DP183" s="35"/>
      <c r="DQ183" s="35"/>
      <c r="FA183" s="35"/>
      <c r="FB183" s="35"/>
      <c r="FC183" s="35"/>
      <c r="FD183" s="35"/>
      <c r="FE183" s="35"/>
      <c r="FF183" s="35"/>
      <c r="FG183" s="35"/>
      <c r="FH183" s="35"/>
      <c r="FI183" s="35"/>
      <c r="FJ183" s="35"/>
      <c r="FK183" s="35"/>
      <c r="FL183" s="35"/>
    </row>
    <row r="184" spans="1:168" s="62" customFormat="1" x14ac:dyDescent="0.35">
      <c r="A184" s="23" t="s">
        <v>300</v>
      </c>
      <c r="B184" s="29"/>
      <c r="C184" s="29">
        <v>9857031565</v>
      </c>
      <c r="D184" s="23"/>
      <c r="E184" s="23"/>
      <c r="F184" s="23"/>
      <c r="G184" s="23"/>
      <c r="H184" s="23"/>
      <c r="I184" s="23"/>
      <c r="J184" s="23"/>
      <c r="K184" s="23">
        <v>27000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>
        <f t="shared" si="13"/>
        <v>27000</v>
      </c>
      <c r="W184" s="23">
        <f>CC184</f>
        <v>27000</v>
      </c>
      <c r="X184" s="23">
        <f t="shared" si="14"/>
        <v>0</v>
      </c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>
        <v>5</v>
      </c>
      <c r="BE184" s="46"/>
      <c r="BF184" s="46"/>
      <c r="BG184" s="46"/>
      <c r="BH184" s="46">
        <v>7</v>
      </c>
      <c r="BI184" s="46"/>
      <c r="BJ184" s="46">
        <v>8</v>
      </c>
      <c r="BK184" s="46" t="s">
        <v>793</v>
      </c>
      <c r="BL184" s="46" t="s">
        <v>802</v>
      </c>
      <c r="BM184" s="46" t="s">
        <v>807</v>
      </c>
      <c r="BN184" s="46" t="s">
        <v>793</v>
      </c>
      <c r="BO184" s="46" t="s">
        <v>793</v>
      </c>
      <c r="BP184" s="46"/>
      <c r="BQ184" s="46" t="s">
        <v>802</v>
      </c>
      <c r="BR184" s="46" t="s">
        <v>793</v>
      </c>
      <c r="BS184" s="46" t="s">
        <v>880</v>
      </c>
      <c r="BT184" s="46" t="s">
        <v>793</v>
      </c>
      <c r="BU184" s="46" t="s">
        <v>793</v>
      </c>
      <c r="BV184" s="46">
        <v>22</v>
      </c>
      <c r="BW184" s="46"/>
      <c r="BX184" s="46"/>
      <c r="BY184" s="46" t="s">
        <v>807</v>
      </c>
      <c r="BZ184" s="46">
        <v>26</v>
      </c>
      <c r="CA184" s="46"/>
      <c r="CB184" s="46"/>
      <c r="CC184" s="46">
        <v>27000</v>
      </c>
      <c r="CD184" s="35"/>
      <c r="CE184" s="35"/>
      <c r="CF184" s="35"/>
      <c r="CG184" s="35"/>
      <c r="CH184" s="35"/>
      <c r="CI184" s="21"/>
      <c r="CJ184" s="35"/>
      <c r="CK184" s="35"/>
      <c r="CL184" s="35"/>
      <c r="CM184" s="35"/>
      <c r="CN184" s="35"/>
      <c r="CO184" s="35"/>
      <c r="CP184" s="35"/>
      <c r="CQ184" s="35"/>
      <c r="CR184" s="35"/>
      <c r="CS184" s="35"/>
      <c r="CT184" s="35"/>
      <c r="CU184" s="35"/>
      <c r="CV184" s="35"/>
      <c r="CW184" s="35"/>
      <c r="CX184" s="35"/>
      <c r="CY184" s="35"/>
      <c r="CZ184" s="35"/>
      <c r="DA184" s="35"/>
      <c r="DB184" s="35"/>
      <c r="DC184" s="35"/>
      <c r="DD184" s="35"/>
      <c r="DE184" s="35"/>
      <c r="DF184" s="35"/>
      <c r="DG184" s="35"/>
      <c r="DH184" s="35"/>
      <c r="DI184" s="35"/>
      <c r="DJ184" s="35"/>
      <c r="DK184" s="35"/>
      <c r="DL184" s="35"/>
      <c r="DM184" s="35"/>
      <c r="DN184" s="35"/>
      <c r="DO184" s="35"/>
      <c r="DP184" s="35"/>
      <c r="DQ184" s="35"/>
      <c r="FA184" s="35"/>
      <c r="FB184" s="35"/>
      <c r="FC184" s="35"/>
      <c r="FD184" s="35"/>
      <c r="FE184" s="35"/>
      <c r="FF184" s="35"/>
      <c r="FG184" s="35"/>
      <c r="FH184" s="35"/>
      <c r="FI184" s="35"/>
      <c r="FJ184" s="35"/>
      <c r="FK184" s="35"/>
      <c r="FL184" s="35"/>
    </row>
    <row r="185" spans="1:168" s="62" customFormat="1" ht="18.5" x14ac:dyDescent="0.45">
      <c r="A185" s="104" t="s">
        <v>1033</v>
      </c>
      <c r="B185" s="105"/>
      <c r="C185" s="105">
        <v>985103714</v>
      </c>
      <c r="D185" s="104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>
        <v>25000</v>
      </c>
      <c r="V185" s="23">
        <f t="shared" si="13"/>
        <v>25000</v>
      </c>
      <c r="W185" s="23">
        <f>CG185</f>
        <v>25000</v>
      </c>
      <c r="X185" s="23">
        <f t="shared" si="14"/>
        <v>0</v>
      </c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  <c r="CA185" s="46"/>
      <c r="CB185" s="46"/>
      <c r="CC185" s="46"/>
      <c r="CD185" s="46"/>
      <c r="CE185" s="46"/>
      <c r="CF185" s="46"/>
      <c r="CG185" s="46">
        <v>25000</v>
      </c>
      <c r="CH185" s="35"/>
      <c r="CI185" s="21"/>
      <c r="CJ185" s="35"/>
      <c r="CK185" s="35"/>
      <c r="CL185" s="35"/>
      <c r="CM185" s="35"/>
      <c r="CN185" s="35"/>
      <c r="CO185" s="35"/>
      <c r="CP185" s="35"/>
      <c r="CQ185" s="35"/>
      <c r="CR185" s="35"/>
      <c r="CS185" s="35"/>
      <c r="CT185" s="35"/>
      <c r="CU185" s="35"/>
      <c r="CV185" s="35"/>
      <c r="CW185" s="35"/>
      <c r="CX185" s="35"/>
      <c r="CY185" s="35"/>
      <c r="CZ185" s="35"/>
      <c r="DA185" s="35"/>
      <c r="DB185" s="35"/>
      <c r="DC185" s="35"/>
      <c r="DD185" s="35"/>
      <c r="DE185" s="35"/>
      <c r="DF185" s="35"/>
      <c r="DG185" s="35"/>
      <c r="DH185" s="35"/>
      <c r="DI185" s="35"/>
      <c r="DJ185" s="35"/>
      <c r="DK185" s="35"/>
      <c r="DL185" s="35"/>
      <c r="DM185" s="35"/>
      <c r="DN185" s="35"/>
      <c r="DO185" s="35"/>
      <c r="DP185" s="35"/>
      <c r="DQ185" s="35"/>
      <c r="FA185" s="35"/>
      <c r="FB185" s="35"/>
      <c r="FC185" s="35"/>
      <c r="FD185" s="35"/>
      <c r="FE185" s="35"/>
      <c r="FF185" s="35"/>
      <c r="FG185" s="35"/>
      <c r="FH185" s="35"/>
      <c r="FI185" s="35"/>
      <c r="FJ185" s="35"/>
      <c r="FK185" s="35"/>
      <c r="FL185" s="35"/>
    </row>
    <row r="186" spans="1:168" x14ac:dyDescent="0.35">
      <c r="A186" s="23" t="s">
        <v>986</v>
      </c>
      <c r="B186" s="29"/>
      <c r="C186" s="29">
        <v>9862252561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>
        <v>42600</v>
      </c>
      <c r="P186" s="23"/>
      <c r="Q186" s="23"/>
      <c r="R186" s="23"/>
      <c r="S186" s="23"/>
      <c r="T186" s="23"/>
      <c r="U186" s="23"/>
      <c r="V186" s="23">
        <f t="shared" si="13"/>
        <v>42600</v>
      </c>
      <c r="W186" s="23">
        <f>BY186</f>
        <v>42600</v>
      </c>
      <c r="X186" s="23">
        <f t="shared" si="14"/>
        <v>0</v>
      </c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  <c r="BN186" s="46"/>
      <c r="BO186" s="46">
        <v>14</v>
      </c>
      <c r="BP186" s="46"/>
      <c r="BQ186" s="46">
        <v>15</v>
      </c>
      <c r="BR186" s="46" t="s">
        <v>792</v>
      </c>
      <c r="BS186" s="46">
        <v>19</v>
      </c>
      <c r="BT186" s="46" t="s">
        <v>798</v>
      </c>
      <c r="BU186" s="46" t="s">
        <v>798</v>
      </c>
      <c r="BV186" s="46" t="s">
        <v>798</v>
      </c>
      <c r="BW186" s="46"/>
      <c r="BX186" s="46" t="s">
        <v>798</v>
      </c>
      <c r="BY186" s="46">
        <v>42600</v>
      </c>
      <c r="BZ186" s="35"/>
      <c r="CA186" s="35"/>
      <c r="CB186" s="35"/>
      <c r="CC186" s="35"/>
      <c r="CD186" s="35"/>
      <c r="CE186" s="35"/>
      <c r="CF186" s="35"/>
      <c r="CG186" s="35"/>
      <c r="CH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  <c r="DL186" s="35"/>
      <c r="DM186" s="35"/>
      <c r="DN186" s="35"/>
      <c r="DO186" s="35"/>
      <c r="DP186" s="35"/>
      <c r="DQ186" s="35"/>
      <c r="FA186" s="35"/>
      <c r="FB186" s="35"/>
      <c r="FC186" s="35"/>
      <c r="FD186" s="35"/>
      <c r="FE186" s="35"/>
      <c r="FF186" s="35"/>
      <c r="FG186" s="35"/>
      <c r="FH186" s="35"/>
      <c r="FI186" s="35"/>
      <c r="FJ186" s="35"/>
      <c r="FK186" s="35"/>
      <c r="FL186" s="35"/>
    </row>
    <row r="187" spans="1:168" ht="18.5" x14ac:dyDescent="0.45">
      <c r="A187" s="104" t="s">
        <v>1014</v>
      </c>
      <c r="B187" s="105"/>
      <c r="C187" s="105">
        <v>9841056660</v>
      </c>
      <c r="D187" s="104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>
        <v>9000</v>
      </c>
      <c r="V187" s="23">
        <f t="shared" si="13"/>
        <v>9000</v>
      </c>
      <c r="W187" s="23">
        <f>BY187+4000</f>
        <v>9000</v>
      </c>
      <c r="X187" s="23">
        <f t="shared" si="14"/>
        <v>0</v>
      </c>
      <c r="Y187" s="23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>
        <v>5000</v>
      </c>
      <c r="BZ187" s="46"/>
      <c r="CA187" s="46"/>
      <c r="CB187" s="46"/>
      <c r="CC187" s="46"/>
      <c r="CD187" s="46"/>
      <c r="CE187" s="46"/>
      <c r="CF187" s="46"/>
      <c r="CG187" s="46">
        <v>4000</v>
      </c>
      <c r="CJ187" s="35"/>
      <c r="CK187" s="35"/>
      <c r="CL187" s="35"/>
      <c r="CM187" s="35"/>
      <c r="CN187" s="35"/>
      <c r="CO187" s="35"/>
      <c r="CP187" s="35"/>
      <c r="CQ187" s="35"/>
      <c r="CR187" s="35"/>
      <c r="CS187" s="35"/>
      <c r="CT187" s="35"/>
      <c r="CU187" s="35"/>
      <c r="CV187" s="35"/>
      <c r="CW187" s="35"/>
      <c r="CX187" s="35"/>
      <c r="CY187" s="35"/>
      <c r="CZ187" s="35"/>
      <c r="DA187" s="35"/>
      <c r="DB187" s="35"/>
      <c r="DC187" s="35"/>
      <c r="DD187" s="35"/>
      <c r="DE187" s="35"/>
      <c r="DF187" s="35"/>
      <c r="DG187" s="35"/>
      <c r="DH187" s="35"/>
      <c r="DI187" s="35"/>
      <c r="DJ187" s="35"/>
      <c r="DK187" s="35"/>
      <c r="DL187" s="35"/>
      <c r="DM187" s="35"/>
      <c r="DN187" s="35"/>
      <c r="DO187" s="35"/>
      <c r="DP187" s="35"/>
      <c r="DQ187" s="35"/>
      <c r="FA187" s="35"/>
      <c r="FB187" s="35"/>
      <c r="FC187" s="35"/>
      <c r="FD187" s="35"/>
      <c r="FE187" s="35"/>
      <c r="FF187" s="35"/>
      <c r="FG187" s="35"/>
      <c r="FH187" s="35"/>
      <c r="FI187" s="35"/>
      <c r="FJ187" s="35"/>
      <c r="FK187" s="35"/>
      <c r="FL187" s="35"/>
    </row>
    <row r="188" spans="1:168" s="62" customFormat="1" x14ac:dyDescent="0.35">
      <c r="A188" s="23" t="s">
        <v>850</v>
      </c>
      <c r="B188" s="29"/>
      <c r="C188" s="29">
        <v>9857060789</v>
      </c>
      <c r="D188" s="23"/>
      <c r="E188" s="23"/>
      <c r="F188" s="23"/>
      <c r="G188" s="23"/>
      <c r="H188" s="23"/>
      <c r="I188" s="23"/>
      <c r="J188" s="23">
        <v>12500</v>
      </c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>
        <f t="shared" si="13"/>
        <v>12500</v>
      </c>
      <c r="W188" s="23">
        <f>CB188</f>
        <v>12500</v>
      </c>
      <c r="X188" s="23">
        <f t="shared" si="14"/>
        <v>0</v>
      </c>
      <c r="Y188" s="46"/>
      <c r="Z188" s="46"/>
      <c r="AA188" s="46"/>
      <c r="AB188" s="46"/>
      <c r="AC188" s="23"/>
      <c r="AD188" s="23"/>
      <c r="AE188" s="23"/>
      <c r="AF188" s="10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>
        <v>31</v>
      </c>
      <c r="BA188" s="46"/>
      <c r="BB188" s="46"/>
      <c r="BC188" s="46"/>
      <c r="BD188" s="46">
        <v>10</v>
      </c>
      <c r="BE188" s="46"/>
      <c r="BF188" s="46"/>
      <c r="BG188" s="46"/>
      <c r="BH188" s="46"/>
      <c r="BI188" s="46"/>
      <c r="BJ188" s="46"/>
      <c r="BK188" s="46"/>
      <c r="BL188" s="46"/>
      <c r="BM188" s="46">
        <v>12</v>
      </c>
      <c r="BN188" s="46"/>
      <c r="BO188" s="46">
        <v>15</v>
      </c>
      <c r="BP188" s="46"/>
      <c r="BQ188" s="46"/>
      <c r="BR188" s="46">
        <v>17</v>
      </c>
      <c r="BS188" s="46"/>
      <c r="BT188" s="46">
        <v>20</v>
      </c>
      <c r="BU188" s="46"/>
      <c r="BV188" s="46"/>
      <c r="BW188" s="46" t="s">
        <v>4</v>
      </c>
      <c r="BX188" s="46" t="s">
        <v>793</v>
      </c>
      <c r="BY188" s="46">
        <v>26</v>
      </c>
      <c r="BZ188" s="46"/>
      <c r="CA188" s="46"/>
      <c r="CB188" s="46">
        <v>12500</v>
      </c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  <c r="DI188" s="35"/>
      <c r="DJ188" s="35"/>
      <c r="DK188" s="35"/>
      <c r="DL188" s="35"/>
      <c r="DM188" s="35"/>
      <c r="DN188" s="35"/>
      <c r="DO188" s="35"/>
      <c r="DP188" s="35"/>
      <c r="DQ188" s="35"/>
      <c r="FA188" s="35"/>
      <c r="FB188" s="35"/>
      <c r="FC188" s="35"/>
      <c r="FD188" s="35"/>
      <c r="FE188" s="35"/>
      <c r="FF188" s="35"/>
      <c r="FG188" s="35"/>
      <c r="FH188" s="35"/>
      <c r="FI188" s="35"/>
      <c r="FJ188" s="35"/>
      <c r="FK188" s="35"/>
      <c r="FL188" s="35"/>
    </row>
    <row r="189" spans="1:168" ht="18.5" x14ac:dyDescent="0.45">
      <c r="A189" s="104" t="s">
        <v>1020</v>
      </c>
      <c r="B189" s="105"/>
      <c r="C189" s="105">
        <v>9846607540</v>
      </c>
      <c r="D189" s="104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>
        <v>60000</v>
      </c>
      <c r="U189" s="23"/>
      <c r="V189" s="23">
        <f t="shared" si="13"/>
        <v>60000</v>
      </c>
      <c r="W189" s="23">
        <f>CB189+50000</f>
        <v>60000</v>
      </c>
      <c r="X189" s="23">
        <f t="shared" si="14"/>
        <v>0</v>
      </c>
      <c r="Y189" s="46"/>
      <c r="Z189" s="46"/>
      <c r="AA189" s="46"/>
      <c r="AB189" s="46"/>
      <c r="AC189" s="46"/>
      <c r="AD189" s="46"/>
      <c r="AE189" s="23"/>
      <c r="AF189" s="23"/>
      <c r="AG189" s="23"/>
      <c r="AH189" s="23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  <c r="CA189" s="46"/>
      <c r="CB189" s="46">
        <v>10000</v>
      </c>
      <c r="CC189" s="46"/>
      <c r="CD189" s="46"/>
      <c r="CE189" s="46">
        <v>50000</v>
      </c>
      <c r="CJ189" s="35"/>
      <c r="CK189" s="35"/>
      <c r="CL189" s="35"/>
      <c r="CM189" s="35"/>
      <c r="CN189" s="35"/>
      <c r="CO189" s="35"/>
      <c r="CP189" s="35"/>
      <c r="CQ189" s="35"/>
      <c r="CR189" s="35"/>
      <c r="CS189" s="35"/>
      <c r="CT189" s="35"/>
      <c r="CU189" s="35"/>
      <c r="CV189" s="35"/>
      <c r="CW189" s="35"/>
      <c r="CX189" s="35"/>
      <c r="CY189" s="35"/>
      <c r="CZ189" s="35"/>
      <c r="DA189" s="35"/>
      <c r="DB189" s="35"/>
      <c r="DC189" s="35"/>
      <c r="DD189" s="35"/>
      <c r="DE189" s="35"/>
      <c r="DF189" s="35"/>
      <c r="DG189" s="35"/>
      <c r="DH189" s="35"/>
      <c r="DI189" s="35"/>
      <c r="DJ189" s="35"/>
      <c r="DK189" s="35"/>
      <c r="DL189" s="35"/>
      <c r="DM189" s="35"/>
      <c r="DN189" s="35"/>
      <c r="DO189" s="35"/>
      <c r="DP189" s="35"/>
      <c r="DQ189" s="35"/>
    </row>
    <row r="190" spans="1:168" ht="18.5" x14ac:dyDescent="0.45">
      <c r="A190" s="83" t="s">
        <v>185</v>
      </c>
      <c r="B190" s="84"/>
      <c r="C190" s="84">
        <v>9857044224</v>
      </c>
      <c r="D190" s="77">
        <v>9500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23">
        <f t="shared" si="13"/>
        <v>9500</v>
      </c>
      <c r="W190" s="12"/>
      <c r="X190" s="12">
        <f t="shared" si="14"/>
        <v>9500</v>
      </c>
      <c r="Y190" s="31"/>
      <c r="Z190" s="31"/>
      <c r="AA190" s="31" t="s">
        <v>791</v>
      </c>
      <c r="AB190" s="31" t="s">
        <v>802</v>
      </c>
      <c r="AC190" s="31" t="s">
        <v>793</v>
      </c>
      <c r="AD190" s="31" t="s">
        <v>816</v>
      </c>
      <c r="AE190" s="31" t="s">
        <v>791</v>
      </c>
      <c r="AF190" s="31" t="s">
        <v>810</v>
      </c>
      <c r="AG190" s="31"/>
      <c r="AH190" s="31" t="s">
        <v>791</v>
      </c>
      <c r="AI190" s="31" t="s">
        <v>791</v>
      </c>
      <c r="AJ190" s="31" t="s">
        <v>816</v>
      </c>
      <c r="AK190" s="31" t="s">
        <v>791</v>
      </c>
      <c r="AL190" s="31" t="s">
        <v>791</v>
      </c>
      <c r="AM190" s="31" t="s">
        <v>791</v>
      </c>
      <c r="AN190" s="31"/>
      <c r="AO190" s="31" t="s">
        <v>793</v>
      </c>
      <c r="AP190" s="31" t="s">
        <v>793</v>
      </c>
      <c r="AQ190" s="31" t="s">
        <v>791</v>
      </c>
      <c r="AR190" s="31" t="s">
        <v>816</v>
      </c>
      <c r="AS190" s="31" t="s">
        <v>791</v>
      </c>
      <c r="AT190" s="31" t="s">
        <v>816</v>
      </c>
      <c r="AU190" s="31"/>
      <c r="AV190" s="31" t="s">
        <v>793</v>
      </c>
      <c r="AW190" s="31" t="s">
        <v>793</v>
      </c>
      <c r="AX190" s="31" t="s">
        <v>793</v>
      </c>
      <c r="AY190" s="31" t="s">
        <v>791</v>
      </c>
      <c r="AZ190" s="31" t="s">
        <v>791</v>
      </c>
      <c r="BA190" s="31" t="s">
        <v>791</v>
      </c>
      <c r="BB190" s="31"/>
      <c r="BC190" s="31" t="s">
        <v>880</v>
      </c>
      <c r="BD190" s="31" t="s">
        <v>791</v>
      </c>
      <c r="BE190" s="31" t="s">
        <v>793</v>
      </c>
      <c r="BF190" s="31" t="s">
        <v>802</v>
      </c>
      <c r="BG190" s="31" t="s">
        <v>793</v>
      </c>
      <c r="BH190" s="31" t="s">
        <v>793</v>
      </c>
      <c r="BI190" s="31"/>
      <c r="BJ190" s="31" t="s">
        <v>802</v>
      </c>
      <c r="BK190" s="31" t="s">
        <v>793</v>
      </c>
      <c r="BL190" s="31" t="s">
        <v>793</v>
      </c>
      <c r="BM190" s="31" t="s">
        <v>793</v>
      </c>
      <c r="BN190" s="31" t="s">
        <v>802</v>
      </c>
      <c r="BO190" s="31" t="s">
        <v>793</v>
      </c>
      <c r="BP190" s="31"/>
      <c r="BQ190" s="34" t="s">
        <v>793</v>
      </c>
      <c r="BR190" s="31" t="s">
        <v>791</v>
      </c>
      <c r="BS190" s="31" t="s">
        <v>791</v>
      </c>
      <c r="BT190" s="31" t="s">
        <v>791</v>
      </c>
      <c r="BU190" s="31" t="s">
        <v>791</v>
      </c>
      <c r="BV190" s="31" t="s">
        <v>802</v>
      </c>
      <c r="BW190" s="31"/>
      <c r="BX190" s="31" t="s">
        <v>802</v>
      </c>
      <c r="BY190" s="31" t="s">
        <v>793</v>
      </c>
      <c r="BZ190" s="31" t="s">
        <v>793</v>
      </c>
      <c r="CA190" s="31" t="s">
        <v>793</v>
      </c>
      <c r="CB190" s="31" t="s">
        <v>793</v>
      </c>
      <c r="CC190" s="31" t="s">
        <v>793</v>
      </c>
      <c r="CD190" s="31"/>
      <c r="CE190" s="31" t="s">
        <v>793</v>
      </c>
      <c r="CF190" s="31" t="s">
        <v>802</v>
      </c>
      <c r="CG190" s="31" t="s">
        <v>791</v>
      </c>
      <c r="CH190" s="31" t="s">
        <v>791</v>
      </c>
      <c r="CI190" s="31"/>
      <c r="CJ190" s="31" t="s">
        <v>793</v>
      </c>
      <c r="CK190" s="31"/>
      <c r="CL190" s="31"/>
      <c r="CM190" s="35"/>
      <c r="CN190" s="35"/>
      <c r="CO190" s="35"/>
      <c r="CP190" s="35"/>
      <c r="CQ190" s="35"/>
      <c r="CR190" s="35"/>
      <c r="CS190" s="35"/>
      <c r="CT190" s="35"/>
      <c r="CU190" s="35"/>
      <c r="CV190" s="35"/>
      <c r="CW190" s="35"/>
      <c r="CX190" s="35"/>
      <c r="CY190" s="35"/>
      <c r="CZ190" s="35"/>
      <c r="DA190" s="35"/>
      <c r="DB190" s="35"/>
      <c r="DC190" s="35"/>
      <c r="DD190" s="35"/>
      <c r="DE190" s="35"/>
      <c r="DF190" s="35"/>
      <c r="DG190" s="35"/>
      <c r="DH190" s="35"/>
      <c r="DI190" s="35"/>
      <c r="DJ190" s="35"/>
      <c r="DK190" s="35"/>
      <c r="DL190" s="35"/>
      <c r="DM190" s="35"/>
      <c r="DN190" s="35"/>
      <c r="DO190" s="35"/>
      <c r="DP190" s="35"/>
      <c r="DQ190" s="35"/>
    </row>
    <row r="191" spans="1:168" ht="18.5" x14ac:dyDescent="0.45">
      <c r="A191" s="77" t="s">
        <v>180</v>
      </c>
      <c r="B191" s="78"/>
      <c r="C191" s="78">
        <v>9801342500</v>
      </c>
      <c r="D191" s="77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>
        <v>17500</v>
      </c>
      <c r="Q191" s="12"/>
      <c r="R191" s="12"/>
      <c r="S191" s="12"/>
      <c r="T191" s="12"/>
      <c r="U191" s="12"/>
      <c r="V191" s="23">
        <f t="shared" si="13"/>
        <v>17500</v>
      </c>
      <c r="W191" s="12"/>
      <c r="X191" s="12">
        <f t="shared" si="14"/>
        <v>17500</v>
      </c>
      <c r="Y191" s="31"/>
      <c r="Z191" s="31"/>
      <c r="AA191" s="34"/>
      <c r="AB191" s="34"/>
      <c r="AC191" s="34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4"/>
      <c r="BE191" s="34"/>
      <c r="BF191" s="34"/>
      <c r="BG191" s="34"/>
      <c r="BH191" s="34"/>
      <c r="BI191" s="34"/>
      <c r="BJ191" s="31"/>
      <c r="BK191" s="31"/>
      <c r="BL191" s="31"/>
      <c r="BM191" s="31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1">
        <v>29</v>
      </c>
      <c r="CC191" s="31"/>
      <c r="CD191" s="31"/>
      <c r="CE191" s="31"/>
      <c r="CF191" s="31"/>
      <c r="CG191" s="34"/>
      <c r="CH191" s="46">
        <v>5</v>
      </c>
      <c r="CI191" s="46"/>
      <c r="CJ191" s="46"/>
      <c r="CK191" s="46"/>
      <c r="CL191" s="46"/>
      <c r="CM191" s="46"/>
      <c r="CN191" s="35"/>
      <c r="CO191" s="35"/>
      <c r="CP191" s="35"/>
      <c r="CQ191" s="35"/>
      <c r="CR191" s="35"/>
      <c r="CS191" s="35"/>
      <c r="CT191" s="35"/>
      <c r="CU191" s="35"/>
      <c r="CV191" s="35"/>
      <c r="CW191" s="35"/>
      <c r="CX191" s="35"/>
      <c r="CY191" s="35"/>
      <c r="CZ191" s="35"/>
      <c r="DA191" s="35"/>
      <c r="DB191" s="35"/>
      <c r="DC191" s="35"/>
      <c r="DD191" s="35"/>
      <c r="DE191" s="35"/>
      <c r="DF191" s="35"/>
      <c r="DG191" s="35"/>
      <c r="DH191" s="35"/>
      <c r="DI191" s="35"/>
      <c r="DJ191" s="35"/>
      <c r="DK191" s="35"/>
      <c r="DL191" s="35"/>
      <c r="DM191" s="35"/>
      <c r="DN191" s="35"/>
      <c r="DO191" s="35"/>
      <c r="DP191" s="35"/>
      <c r="DQ191" s="35"/>
    </row>
    <row r="192" spans="1:168" ht="18.5" x14ac:dyDescent="0.45">
      <c r="A192" s="77" t="s">
        <v>186</v>
      </c>
      <c r="B192" s="78"/>
      <c r="C192" s="78" t="s">
        <v>187</v>
      </c>
      <c r="D192" s="77">
        <v>63107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23">
        <f t="shared" si="13"/>
        <v>63107</v>
      </c>
      <c r="W192" s="12"/>
      <c r="X192" s="12">
        <f t="shared" si="14"/>
        <v>63107</v>
      </c>
      <c r="Y192" s="31"/>
      <c r="Z192" s="31"/>
      <c r="AA192" s="34">
        <v>6</v>
      </c>
      <c r="AB192" s="34"/>
      <c r="AC192" s="34"/>
      <c r="AD192" s="31" t="s">
        <v>793</v>
      </c>
      <c r="AE192" s="31" t="s">
        <v>793</v>
      </c>
      <c r="AF192" s="31" t="s">
        <v>810</v>
      </c>
      <c r="AG192" s="31"/>
      <c r="AH192" s="31" t="s">
        <v>793</v>
      </c>
      <c r="AI192" s="31" t="s">
        <v>794</v>
      </c>
      <c r="AJ192" s="31" t="s">
        <v>794</v>
      </c>
      <c r="AK192" s="31" t="s">
        <v>791</v>
      </c>
      <c r="AL192" s="31" t="s">
        <v>791</v>
      </c>
      <c r="AM192" s="31" t="s">
        <v>791</v>
      </c>
      <c r="AN192" s="31"/>
      <c r="AO192" s="31" t="s">
        <v>791</v>
      </c>
      <c r="AP192" s="31" t="s">
        <v>791</v>
      </c>
      <c r="AQ192" s="31" t="s">
        <v>791</v>
      </c>
      <c r="AR192" s="31" t="s">
        <v>880</v>
      </c>
      <c r="AS192" s="31" t="s">
        <v>794</v>
      </c>
      <c r="AT192" s="31" t="s">
        <v>791</v>
      </c>
      <c r="AU192" s="31"/>
      <c r="AV192" s="31" t="s">
        <v>793</v>
      </c>
      <c r="AW192" s="31" t="s">
        <v>794</v>
      </c>
      <c r="AX192" s="31" t="s">
        <v>794</v>
      </c>
      <c r="AY192" s="31" t="s">
        <v>880</v>
      </c>
      <c r="AZ192" s="31" t="s">
        <v>794</v>
      </c>
      <c r="BA192" s="31" t="s">
        <v>794</v>
      </c>
      <c r="BB192" s="31"/>
      <c r="BC192" s="31" t="s">
        <v>793</v>
      </c>
      <c r="BD192" s="34" t="s">
        <v>794</v>
      </c>
      <c r="BE192" s="34">
        <v>7</v>
      </c>
      <c r="BF192" s="34"/>
      <c r="BG192" s="34"/>
      <c r="BH192" s="34"/>
      <c r="BI192" s="34"/>
      <c r="BJ192" s="31" t="s">
        <v>794</v>
      </c>
      <c r="BK192" s="31" t="s">
        <v>794</v>
      </c>
      <c r="BL192" s="31" t="s">
        <v>794</v>
      </c>
      <c r="BM192" s="31" t="s">
        <v>794</v>
      </c>
      <c r="BN192" s="31" t="s">
        <v>793</v>
      </c>
      <c r="BO192" s="31" t="s">
        <v>791</v>
      </c>
      <c r="BP192" s="31"/>
      <c r="BQ192" s="34" t="s">
        <v>794</v>
      </c>
      <c r="BR192" s="31" t="s">
        <v>794</v>
      </c>
      <c r="BS192" s="31" t="s">
        <v>794</v>
      </c>
      <c r="BT192" s="31" t="s">
        <v>794</v>
      </c>
      <c r="BU192" s="31" t="s">
        <v>794</v>
      </c>
      <c r="BV192" s="31" t="s">
        <v>794</v>
      </c>
      <c r="BW192" s="31"/>
      <c r="BX192" s="31" t="s">
        <v>794</v>
      </c>
      <c r="BY192" s="31" t="s">
        <v>794</v>
      </c>
      <c r="BZ192" s="31" t="s">
        <v>791</v>
      </c>
      <c r="CA192" s="31" t="s">
        <v>791</v>
      </c>
      <c r="CB192" s="31" t="s">
        <v>794</v>
      </c>
      <c r="CC192" s="31" t="s">
        <v>794</v>
      </c>
      <c r="CD192" s="31"/>
      <c r="CE192" s="31" t="s">
        <v>793</v>
      </c>
      <c r="CF192" s="31" t="s">
        <v>794</v>
      </c>
      <c r="CG192" s="31" t="s">
        <v>794</v>
      </c>
      <c r="CH192" s="31"/>
      <c r="CI192" s="31"/>
      <c r="CJ192" s="31" t="s">
        <v>794</v>
      </c>
      <c r="CK192" s="31"/>
      <c r="CL192" s="31"/>
      <c r="CM192" s="35"/>
      <c r="CN192" s="35"/>
      <c r="CO192" s="35"/>
      <c r="CP192" s="35"/>
      <c r="CQ192" s="35"/>
      <c r="CR192" s="35"/>
      <c r="CS192" s="35"/>
      <c r="CT192" s="35"/>
      <c r="CU192" s="35"/>
      <c r="CV192" s="35"/>
      <c r="CW192" s="35"/>
      <c r="CX192" s="35"/>
      <c r="CY192" s="35"/>
      <c r="CZ192" s="35"/>
      <c r="DA192" s="35"/>
      <c r="DB192" s="35"/>
      <c r="DC192" s="35"/>
      <c r="DD192" s="35"/>
      <c r="DE192" s="35"/>
      <c r="DF192" s="35"/>
      <c r="DG192" s="35"/>
      <c r="DH192" s="35"/>
      <c r="DI192" s="35"/>
      <c r="DJ192" s="35"/>
      <c r="DK192" s="35"/>
      <c r="DL192" s="35"/>
      <c r="DM192" s="35"/>
      <c r="DN192" s="35"/>
      <c r="DO192" s="35"/>
      <c r="DP192" s="35"/>
      <c r="DQ192" s="35"/>
    </row>
    <row r="193" spans="1:208" ht="18.5" x14ac:dyDescent="0.45">
      <c r="A193" s="77" t="s">
        <v>165</v>
      </c>
      <c r="B193" s="78"/>
      <c r="C193" s="78">
        <v>9857037227</v>
      </c>
      <c r="D193" s="77"/>
      <c r="E193" s="12"/>
      <c r="F193" s="12"/>
      <c r="G193" s="12"/>
      <c r="H193" s="12">
        <v>6600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23">
        <f t="shared" si="13"/>
        <v>6600</v>
      </c>
      <c r="W193" s="12"/>
      <c r="X193" s="12">
        <f t="shared" si="14"/>
        <v>6600</v>
      </c>
      <c r="Y193" s="31"/>
      <c r="Z193" s="31"/>
      <c r="AA193" s="34"/>
      <c r="AB193" s="34"/>
      <c r="AC193" s="34"/>
      <c r="AD193" s="31"/>
      <c r="AE193" s="31"/>
      <c r="AF193" s="31"/>
      <c r="AG193" s="31"/>
      <c r="AH193" s="31"/>
      <c r="AI193" s="31"/>
      <c r="AJ193" s="31"/>
      <c r="AK193" s="31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1">
        <v>5</v>
      </c>
      <c r="BD193" s="34">
        <v>5</v>
      </c>
      <c r="BE193" s="34"/>
      <c r="BF193" s="34"/>
      <c r="BG193" s="34"/>
      <c r="BH193" s="34">
        <v>9</v>
      </c>
      <c r="BI193" s="34"/>
      <c r="BJ193" s="34"/>
      <c r="BK193" s="34"/>
      <c r="BL193" s="34">
        <v>15</v>
      </c>
      <c r="BM193" s="34"/>
      <c r="BN193" s="34"/>
      <c r="BO193" s="34"/>
      <c r="BP193" s="34"/>
      <c r="BQ193" s="34"/>
      <c r="BR193" s="34">
        <v>20</v>
      </c>
      <c r="BS193" s="34"/>
      <c r="BT193" s="34"/>
      <c r="BU193" s="34"/>
      <c r="BV193" s="34"/>
      <c r="BW193" s="31"/>
      <c r="BX193" s="34">
        <v>26</v>
      </c>
      <c r="BY193" s="34"/>
      <c r="BZ193" s="34"/>
      <c r="CA193" s="34"/>
      <c r="CB193" s="34"/>
      <c r="CC193" s="31">
        <v>30</v>
      </c>
      <c r="CD193" s="31"/>
      <c r="CE193" s="31"/>
      <c r="CF193" s="31"/>
      <c r="CG193" s="34">
        <v>5</v>
      </c>
      <c r="CH193" s="46">
        <v>5</v>
      </c>
      <c r="CI193" s="46"/>
      <c r="CJ193" s="46"/>
      <c r="CK193" s="46"/>
      <c r="CL193" s="46"/>
      <c r="CM193" s="46"/>
      <c r="CN193" s="35"/>
      <c r="CO193" s="35"/>
      <c r="CP193" s="35"/>
      <c r="CQ193" s="35"/>
      <c r="CR193" s="35"/>
      <c r="CS193" s="35"/>
      <c r="CT193" s="35"/>
      <c r="CU193" s="35"/>
      <c r="CV193" s="35"/>
      <c r="CW193" s="35"/>
      <c r="CX193" s="35"/>
      <c r="CY193" s="35"/>
      <c r="CZ193" s="35"/>
      <c r="DA193" s="35"/>
      <c r="DB193" s="35"/>
      <c r="DC193" s="35"/>
      <c r="DD193" s="35"/>
      <c r="DE193" s="35"/>
      <c r="DF193" s="35"/>
      <c r="DG193" s="35"/>
      <c r="DH193" s="35"/>
      <c r="DI193" s="35"/>
      <c r="DJ193" s="35"/>
      <c r="DK193" s="35"/>
      <c r="DL193" s="35"/>
      <c r="DM193" s="35"/>
      <c r="DN193" s="35"/>
      <c r="DO193" s="35"/>
      <c r="DP193" s="35"/>
      <c r="DQ193" s="35"/>
    </row>
    <row r="194" spans="1:208" ht="18.5" x14ac:dyDescent="0.45">
      <c r="A194" s="77" t="s">
        <v>188</v>
      </c>
      <c r="B194" s="78"/>
      <c r="C194" s="78">
        <v>9847546551</v>
      </c>
      <c r="D194" s="77">
        <v>27000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23">
        <f t="shared" si="13"/>
        <v>27000</v>
      </c>
      <c r="W194" s="12"/>
      <c r="X194" s="12">
        <f t="shared" si="14"/>
        <v>27000</v>
      </c>
      <c r="Y194" s="12">
        <v>3</v>
      </c>
      <c r="Z194" s="12"/>
      <c r="AA194" s="34">
        <v>7</v>
      </c>
      <c r="AB194" s="34"/>
      <c r="AC194" s="34"/>
      <c r="AD194" s="33"/>
      <c r="AE194" s="31" t="s">
        <v>791</v>
      </c>
      <c r="AF194" s="14" t="s">
        <v>794</v>
      </c>
      <c r="AG194" s="14"/>
      <c r="AH194" s="14" t="s">
        <v>793</v>
      </c>
      <c r="AI194" s="31" t="s">
        <v>793</v>
      </c>
      <c r="AJ194" s="31" t="s">
        <v>793</v>
      </c>
      <c r="AK194" s="34">
        <v>16</v>
      </c>
      <c r="AL194" s="34"/>
      <c r="AM194" s="34"/>
      <c r="AN194" s="31" t="s">
        <v>4</v>
      </c>
      <c r="AO194" s="34">
        <v>19</v>
      </c>
      <c r="AP194" s="34"/>
      <c r="AQ194" s="31"/>
      <c r="AR194" s="31" t="s">
        <v>791</v>
      </c>
      <c r="AS194" s="31" t="s">
        <v>791</v>
      </c>
      <c r="AT194" s="31" t="s">
        <v>791</v>
      </c>
      <c r="AU194" s="31"/>
      <c r="AV194" s="31" t="s">
        <v>791</v>
      </c>
      <c r="AW194" s="31" t="s">
        <v>791</v>
      </c>
      <c r="AX194" s="31" t="s">
        <v>791</v>
      </c>
      <c r="AY194" s="31" t="s">
        <v>793</v>
      </c>
      <c r="AZ194" s="31" t="s">
        <v>791</v>
      </c>
      <c r="BA194" s="31" t="s">
        <v>794</v>
      </c>
      <c r="BB194" s="31"/>
      <c r="BC194" s="31" t="s">
        <v>791</v>
      </c>
      <c r="BD194" s="31" t="s">
        <v>791</v>
      </c>
      <c r="BE194" s="31" t="s">
        <v>791</v>
      </c>
      <c r="BF194" s="31" t="s">
        <v>791</v>
      </c>
      <c r="BG194" s="31" t="s">
        <v>791</v>
      </c>
      <c r="BH194" s="31" t="s">
        <v>791</v>
      </c>
      <c r="BI194" s="31"/>
      <c r="BJ194" s="31" t="s">
        <v>791</v>
      </c>
      <c r="BK194" s="31" t="s">
        <v>791</v>
      </c>
      <c r="BL194" s="31" t="s">
        <v>791</v>
      </c>
      <c r="BM194" s="31" t="s">
        <v>791</v>
      </c>
      <c r="BN194" s="31" t="s">
        <v>791</v>
      </c>
      <c r="BO194" s="31" t="s">
        <v>791</v>
      </c>
      <c r="BP194" s="31"/>
      <c r="BQ194" s="31" t="s">
        <v>791</v>
      </c>
      <c r="BR194" s="31" t="s">
        <v>791</v>
      </c>
      <c r="BS194" s="31" t="s">
        <v>794</v>
      </c>
      <c r="BT194" s="31" t="s">
        <v>791</v>
      </c>
      <c r="BU194" s="31" t="s">
        <v>791</v>
      </c>
      <c r="BV194" s="31" t="s">
        <v>791</v>
      </c>
      <c r="BW194" s="31"/>
      <c r="BX194" s="31" t="s">
        <v>791</v>
      </c>
      <c r="BY194" s="31" t="s">
        <v>791</v>
      </c>
      <c r="BZ194" s="31" t="s">
        <v>791</v>
      </c>
      <c r="CA194" s="31" t="s">
        <v>791</v>
      </c>
      <c r="CB194" s="31" t="s">
        <v>791</v>
      </c>
      <c r="CC194" s="31" t="s">
        <v>791</v>
      </c>
      <c r="CD194" s="31"/>
      <c r="CE194" s="31" t="s">
        <v>791</v>
      </c>
      <c r="CF194" s="31" t="s">
        <v>791</v>
      </c>
      <c r="CG194" s="31" t="s">
        <v>791</v>
      </c>
      <c r="CH194" s="31"/>
      <c r="CI194" s="31"/>
      <c r="CJ194" s="31" t="s">
        <v>791</v>
      </c>
      <c r="CK194" s="31"/>
      <c r="CL194" s="31"/>
      <c r="CM194" s="35"/>
      <c r="CN194" s="35"/>
      <c r="CO194" s="35"/>
      <c r="CP194" s="35"/>
      <c r="CQ194" s="35"/>
      <c r="CR194" s="35"/>
      <c r="CS194" s="35"/>
      <c r="CT194" s="35"/>
      <c r="CU194" s="35"/>
      <c r="CV194" s="35"/>
      <c r="CW194" s="35"/>
      <c r="CX194" s="35"/>
      <c r="CY194" s="35"/>
      <c r="CZ194" s="35"/>
      <c r="DA194" s="35"/>
      <c r="DB194" s="35"/>
      <c r="DC194" s="35"/>
      <c r="DD194" s="35"/>
      <c r="DE194" s="35"/>
      <c r="DF194" s="35"/>
      <c r="DG194" s="35"/>
      <c r="DH194" s="35"/>
      <c r="DI194" s="35"/>
      <c r="DJ194" s="35"/>
      <c r="DK194" s="35"/>
      <c r="DL194" s="35"/>
      <c r="DM194" s="35"/>
      <c r="DN194" s="35"/>
      <c r="DO194" s="35"/>
      <c r="DP194" s="35"/>
      <c r="DQ194" s="35"/>
    </row>
    <row r="195" spans="1:208" x14ac:dyDescent="0.35">
      <c r="A195" s="12" t="s">
        <v>276</v>
      </c>
      <c r="B195" s="3"/>
      <c r="C195" s="18">
        <v>9857061915</v>
      </c>
      <c r="D195" s="12"/>
      <c r="E195" s="12"/>
      <c r="F195" s="14">
        <v>45000</v>
      </c>
      <c r="G195" s="14">
        <v>149000</v>
      </c>
      <c r="H195" s="14"/>
      <c r="I195" s="14">
        <v>78400</v>
      </c>
      <c r="J195" s="12"/>
      <c r="K195" s="12"/>
      <c r="L195" s="12"/>
      <c r="M195" s="12"/>
      <c r="N195" s="12"/>
      <c r="O195" s="12"/>
      <c r="P195" s="12">
        <v>27900</v>
      </c>
      <c r="Q195" s="12"/>
      <c r="R195" s="12"/>
      <c r="S195" s="12"/>
      <c r="T195" s="12"/>
      <c r="U195" s="12"/>
      <c r="V195" s="23">
        <f t="shared" si="13"/>
        <v>300300</v>
      </c>
      <c r="W195" s="12">
        <f>CH195</f>
        <v>147000</v>
      </c>
      <c r="X195" s="12">
        <f t="shared" si="14"/>
        <v>153300</v>
      </c>
      <c r="Y195" s="31"/>
      <c r="Z195" s="31"/>
      <c r="AA195" s="34"/>
      <c r="AB195" s="34"/>
      <c r="AC195" s="34"/>
      <c r="AD195" s="31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>
        <v>10</v>
      </c>
      <c r="BE195" s="34"/>
      <c r="BF195" s="34"/>
      <c r="BG195" s="34"/>
      <c r="BH195" s="34"/>
      <c r="BI195" s="34"/>
      <c r="BJ195" s="34"/>
      <c r="BK195" s="34"/>
      <c r="BL195" s="34"/>
      <c r="BM195" s="31">
        <v>27</v>
      </c>
      <c r="BN195" s="31"/>
      <c r="BO195" s="31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>
        <v>31</v>
      </c>
      <c r="CH195" s="62">
        <v>147000</v>
      </c>
      <c r="CI195" s="31"/>
      <c r="CJ195" s="46">
        <v>5</v>
      </c>
      <c r="CK195" s="46"/>
      <c r="CL195" s="46"/>
      <c r="CM195" s="46"/>
      <c r="CN195" s="35"/>
      <c r="CO195" s="35"/>
      <c r="CP195" s="35"/>
      <c r="CQ195" s="35"/>
      <c r="CR195" s="35"/>
      <c r="CS195" s="35"/>
      <c r="CT195" s="35"/>
      <c r="CU195" s="35"/>
      <c r="CV195" s="35"/>
      <c r="CW195" s="35"/>
      <c r="CX195" s="35"/>
      <c r="CY195" s="35"/>
      <c r="CZ195" s="35"/>
      <c r="DA195" s="35"/>
      <c r="DB195" s="35"/>
      <c r="DC195" s="35"/>
      <c r="DD195" s="35"/>
      <c r="DE195" s="35"/>
      <c r="DF195" s="35"/>
      <c r="DG195" s="35"/>
      <c r="DH195" s="35"/>
      <c r="DI195" s="35"/>
      <c r="DJ195" s="35"/>
      <c r="DK195" s="35"/>
      <c r="DL195" s="35"/>
      <c r="DM195" s="35"/>
      <c r="DN195" s="35"/>
      <c r="DO195" s="35"/>
      <c r="DP195" s="35"/>
      <c r="DQ195" s="35"/>
    </row>
    <row r="196" spans="1:208" ht="18.5" x14ac:dyDescent="0.45">
      <c r="A196" s="83" t="s">
        <v>189</v>
      </c>
      <c r="B196" s="84"/>
      <c r="C196" s="84">
        <v>9857058455</v>
      </c>
      <c r="D196" s="77">
        <v>68500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23">
        <f t="shared" si="13"/>
        <v>68500</v>
      </c>
      <c r="W196" s="12"/>
      <c r="X196" s="12">
        <f t="shared" si="14"/>
        <v>68500</v>
      </c>
      <c r="Y196" s="31"/>
      <c r="Z196" s="31"/>
      <c r="AA196" s="31" t="s">
        <v>793</v>
      </c>
      <c r="AB196" s="31" t="s">
        <v>793</v>
      </c>
      <c r="AC196" s="31" t="s">
        <v>793</v>
      </c>
      <c r="AD196" s="31" t="s">
        <v>793</v>
      </c>
      <c r="AE196" s="31" t="s">
        <v>793</v>
      </c>
      <c r="AF196" s="31" t="s">
        <v>793</v>
      </c>
      <c r="AG196" s="31"/>
      <c r="AH196" s="31" t="s">
        <v>791</v>
      </c>
      <c r="AI196" s="31" t="s">
        <v>793</v>
      </c>
      <c r="AJ196" s="31" t="s">
        <v>793</v>
      </c>
      <c r="AK196" s="31" t="s">
        <v>793</v>
      </c>
      <c r="AL196" s="31" t="s">
        <v>791</v>
      </c>
      <c r="AM196" s="31" t="s">
        <v>791</v>
      </c>
      <c r="AN196" s="31"/>
      <c r="AO196" s="31" t="s">
        <v>791</v>
      </c>
      <c r="AP196" s="31" t="s">
        <v>791</v>
      </c>
      <c r="AQ196" s="31" t="s">
        <v>793</v>
      </c>
      <c r="AR196" s="31" t="s">
        <v>793</v>
      </c>
      <c r="AS196" s="31" t="s">
        <v>793</v>
      </c>
      <c r="AT196" s="31" t="s">
        <v>793</v>
      </c>
      <c r="AU196" s="31"/>
      <c r="AV196" s="31" t="s">
        <v>793</v>
      </c>
      <c r="AW196" s="31" t="s">
        <v>793</v>
      </c>
      <c r="AX196" s="31" t="s">
        <v>793</v>
      </c>
      <c r="AY196" s="31" t="s">
        <v>803</v>
      </c>
      <c r="AZ196" s="31" t="s">
        <v>803</v>
      </c>
      <c r="BA196" s="31" t="s">
        <v>803</v>
      </c>
      <c r="BB196" s="31"/>
      <c r="BC196" s="31" t="s">
        <v>803</v>
      </c>
      <c r="BD196" s="31" t="s">
        <v>803</v>
      </c>
      <c r="BE196" s="31" t="s">
        <v>793</v>
      </c>
      <c r="BF196" s="31" t="s">
        <v>793</v>
      </c>
      <c r="BG196" s="31" t="s">
        <v>803</v>
      </c>
      <c r="BH196" s="31" t="s">
        <v>793</v>
      </c>
      <c r="BI196" s="31"/>
      <c r="BJ196" s="31" t="s">
        <v>793</v>
      </c>
      <c r="BK196" s="31" t="s">
        <v>793</v>
      </c>
      <c r="BL196" s="31" t="s">
        <v>793</v>
      </c>
      <c r="BM196" s="31" t="s">
        <v>793</v>
      </c>
      <c r="BN196" s="31" t="s">
        <v>794</v>
      </c>
      <c r="BO196" s="31" t="s">
        <v>791</v>
      </c>
      <c r="BP196" s="31"/>
      <c r="BQ196" s="31" t="s">
        <v>803</v>
      </c>
      <c r="BR196" s="31" t="s">
        <v>793</v>
      </c>
      <c r="BS196" s="31" t="s">
        <v>793</v>
      </c>
      <c r="BT196" s="31" t="s">
        <v>793</v>
      </c>
      <c r="BU196" s="31" t="s">
        <v>793</v>
      </c>
      <c r="BV196" s="31" t="s">
        <v>794</v>
      </c>
      <c r="BW196" s="31"/>
      <c r="BX196" s="31" t="s">
        <v>793</v>
      </c>
      <c r="BY196" s="31" t="s">
        <v>791</v>
      </c>
      <c r="BZ196" s="31" t="s">
        <v>793</v>
      </c>
      <c r="CA196" s="31" t="s">
        <v>793</v>
      </c>
      <c r="CB196" s="31" t="s">
        <v>803</v>
      </c>
      <c r="CC196" s="31" t="s">
        <v>793</v>
      </c>
      <c r="CD196" s="31"/>
      <c r="CE196" s="31" t="s">
        <v>793</v>
      </c>
      <c r="CF196" s="31" t="s">
        <v>793</v>
      </c>
      <c r="CG196" s="31" t="s">
        <v>793</v>
      </c>
      <c r="CH196" s="34" t="s">
        <v>793</v>
      </c>
      <c r="CI196" s="31"/>
      <c r="CJ196" s="31" t="s">
        <v>793</v>
      </c>
      <c r="CK196" s="31"/>
      <c r="CL196" s="31"/>
      <c r="CM196" s="35"/>
      <c r="CN196" s="35"/>
      <c r="CO196" s="35"/>
      <c r="CP196" s="35"/>
      <c r="CQ196" s="35"/>
      <c r="CR196" s="35"/>
      <c r="CS196" s="35"/>
      <c r="CT196" s="35"/>
      <c r="CU196" s="35"/>
      <c r="CV196" s="35"/>
      <c r="CW196" s="35"/>
      <c r="CX196" s="35"/>
      <c r="CY196" s="35"/>
      <c r="CZ196" s="35"/>
      <c r="DA196" s="35"/>
      <c r="DB196" s="35"/>
      <c r="DC196" s="35"/>
      <c r="DD196" s="35"/>
      <c r="DE196" s="35"/>
      <c r="DF196" s="35"/>
      <c r="DG196" s="35"/>
      <c r="DH196" s="35"/>
      <c r="DI196" s="35"/>
      <c r="DJ196" s="35"/>
      <c r="DK196" s="35"/>
      <c r="DL196" s="35"/>
      <c r="DM196" s="35"/>
      <c r="DN196" s="35"/>
      <c r="DO196" s="35"/>
      <c r="DP196" s="35"/>
      <c r="DQ196" s="35"/>
    </row>
    <row r="197" spans="1:208" ht="18.5" x14ac:dyDescent="0.45">
      <c r="A197" s="85" t="s">
        <v>190</v>
      </c>
      <c r="B197" s="86"/>
      <c r="C197" s="86" t="s">
        <v>9</v>
      </c>
      <c r="D197" s="75">
        <v>350325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23">
        <f t="shared" si="13"/>
        <v>350325</v>
      </c>
      <c r="W197" s="12"/>
      <c r="X197" s="12">
        <f t="shared" si="14"/>
        <v>350325</v>
      </c>
      <c r="Y197" s="31"/>
      <c r="Z197" s="31"/>
      <c r="AA197" s="31" t="s">
        <v>791</v>
      </c>
      <c r="AB197" s="31" t="s">
        <v>791</v>
      </c>
      <c r="AC197" s="31" t="s">
        <v>791</v>
      </c>
      <c r="AD197" s="31" t="s">
        <v>791</v>
      </c>
      <c r="AE197" s="31" t="s">
        <v>791</v>
      </c>
      <c r="AF197" s="31" t="s">
        <v>810</v>
      </c>
      <c r="AG197" s="31"/>
      <c r="AH197" s="31" t="s">
        <v>791</v>
      </c>
      <c r="AI197" s="31" t="s">
        <v>791</v>
      </c>
      <c r="AJ197" s="31" t="s">
        <v>791</v>
      </c>
      <c r="AK197" s="31" t="s">
        <v>793</v>
      </c>
      <c r="AL197" s="31" t="s">
        <v>791</v>
      </c>
      <c r="AM197" s="31" t="s">
        <v>791</v>
      </c>
      <c r="AN197" s="31"/>
      <c r="AO197" s="31" t="s">
        <v>791</v>
      </c>
      <c r="AP197" s="31" t="s">
        <v>791</v>
      </c>
      <c r="AQ197" s="31" t="s">
        <v>793</v>
      </c>
      <c r="AR197" s="31" t="s">
        <v>793</v>
      </c>
      <c r="AS197" s="31" t="s">
        <v>793</v>
      </c>
      <c r="AT197" s="31" t="s">
        <v>793</v>
      </c>
      <c r="AU197" s="31"/>
      <c r="AV197" s="31" t="s">
        <v>793</v>
      </c>
      <c r="AW197" s="31" t="s">
        <v>794</v>
      </c>
      <c r="AX197" s="31" t="s">
        <v>793</v>
      </c>
      <c r="AY197" s="31" t="s">
        <v>793</v>
      </c>
      <c r="AZ197" s="31" t="s">
        <v>793</v>
      </c>
      <c r="BA197" s="31" t="s">
        <v>793</v>
      </c>
      <c r="BB197" s="31"/>
      <c r="BC197" s="31" t="s">
        <v>793</v>
      </c>
      <c r="BD197" s="31"/>
      <c r="BE197" s="31" t="s">
        <v>793</v>
      </c>
      <c r="BF197" s="31" t="s">
        <v>793</v>
      </c>
      <c r="BG197" s="31" t="s">
        <v>793</v>
      </c>
      <c r="BH197" s="31" t="s">
        <v>793</v>
      </c>
      <c r="BI197" s="31"/>
      <c r="BJ197" s="31" t="s">
        <v>793</v>
      </c>
      <c r="BK197" s="31" t="s">
        <v>793</v>
      </c>
      <c r="BL197" s="31" t="s">
        <v>793</v>
      </c>
      <c r="BM197" s="31" t="s">
        <v>793</v>
      </c>
      <c r="BN197" s="31" t="s">
        <v>793</v>
      </c>
      <c r="BO197" s="31" t="s">
        <v>793</v>
      </c>
      <c r="BP197" s="31"/>
      <c r="BQ197" s="31" t="s">
        <v>791</v>
      </c>
      <c r="BR197" s="31" t="s">
        <v>793</v>
      </c>
      <c r="BS197" s="31" t="s">
        <v>791</v>
      </c>
      <c r="BT197" s="31" t="s">
        <v>791</v>
      </c>
      <c r="BU197" s="31" t="s">
        <v>791</v>
      </c>
      <c r="BV197" s="31" t="s">
        <v>791</v>
      </c>
      <c r="BW197" s="31"/>
      <c r="BX197" s="31" t="s">
        <v>791</v>
      </c>
      <c r="BY197" s="31" t="s">
        <v>793</v>
      </c>
      <c r="BZ197" s="31" t="s">
        <v>793</v>
      </c>
      <c r="CA197" s="31" t="s">
        <v>793</v>
      </c>
      <c r="CB197" s="31" t="s">
        <v>791</v>
      </c>
      <c r="CC197" s="31" t="s">
        <v>793</v>
      </c>
      <c r="CD197" s="31"/>
      <c r="CE197" s="31" t="s">
        <v>791</v>
      </c>
      <c r="CF197" s="31" t="s">
        <v>791</v>
      </c>
      <c r="CG197" s="31" t="s">
        <v>791</v>
      </c>
      <c r="CH197" s="34" t="s">
        <v>791</v>
      </c>
      <c r="CI197" s="31"/>
      <c r="CJ197" s="31" t="s">
        <v>791</v>
      </c>
      <c r="CK197" s="31"/>
      <c r="CL197" s="31"/>
      <c r="CM197" s="35"/>
      <c r="CN197" s="35"/>
      <c r="CO197" s="35"/>
      <c r="CP197" s="35"/>
      <c r="CQ197" s="35"/>
      <c r="CR197" s="35"/>
      <c r="CS197" s="35"/>
      <c r="CT197" s="35"/>
      <c r="CU197" s="35"/>
      <c r="CV197" s="35"/>
      <c r="CW197" s="35"/>
      <c r="CX197" s="35"/>
      <c r="CY197" s="35"/>
      <c r="CZ197" s="35"/>
      <c r="DA197" s="35"/>
      <c r="DB197" s="35"/>
      <c r="DC197" s="35"/>
      <c r="DD197" s="35"/>
      <c r="DE197" s="35"/>
      <c r="DF197" s="35"/>
      <c r="DG197" s="35"/>
      <c r="DH197" s="35"/>
      <c r="DI197" s="35"/>
      <c r="DJ197" s="35"/>
      <c r="DK197" s="35"/>
      <c r="DL197" s="35"/>
      <c r="DM197" s="35"/>
      <c r="DN197" s="35"/>
      <c r="DO197" s="35"/>
      <c r="DP197" s="35"/>
      <c r="DQ197" s="35"/>
    </row>
    <row r="198" spans="1:208" s="62" customFormat="1" ht="18.5" x14ac:dyDescent="0.45">
      <c r="A198" s="75" t="s">
        <v>191</v>
      </c>
      <c r="B198" s="76"/>
      <c r="C198" s="76">
        <v>9842741098</v>
      </c>
      <c r="D198" s="75">
        <v>121020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>
        <v>84800</v>
      </c>
      <c r="P198" s="12"/>
      <c r="Q198" s="12"/>
      <c r="R198" s="12"/>
      <c r="S198" s="12"/>
      <c r="T198" s="12"/>
      <c r="U198" s="12">
        <v>66500</v>
      </c>
      <c r="V198" s="23">
        <f t="shared" ref="V198:V230" si="15">SUM(D198:U198)</f>
        <v>272320</v>
      </c>
      <c r="W198" s="12">
        <f>AZ198+20000+20000</f>
        <v>65000</v>
      </c>
      <c r="X198" s="36">
        <f t="shared" ref="X198:X230" si="16">V198-W198</f>
        <v>207320</v>
      </c>
      <c r="Y198" s="31"/>
      <c r="Z198" s="31"/>
      <c r="AA198" s="33">
        <v>10</v>
      </c>
      <c r="AB198" s="33"/>
      <c r="AC198" s="33"/>
      <c r="AD198" s="33"/>
      <c r="AE198" s="33"/>
      <c r="AF198" s="33"/>
      <c r="AG198" s="33"/>
      <c r="AH198" s="34">
        <v>12</v>
      </c>
      <c r="AI198" s="34"/>
      <c r="AJ198" s="34">
        <v>16</v>
      </c>
      <c r="AK198" s="34"/>
      <c r="AL198" s="34"/>
      <c r="AM198" s="34"/>
      <c r="AN198" s="31" t="s">
        <v>4</v>
      </c>
      <c r="AO198" s="31">
        <v>20</v>
      </c>
      <c r="AP198" s="31"/>
      <c r="AQ198" s="31"/>
      <c r="AR198" s="34">
        <v>24</v>
      </c>
      <c r="AS198" s="34"/>
      <c r="AT198" s="34"/>
      <c r="AU198" s="34"/>
      <c r="AV198" s="31"/>
      <c r="AW198" s="34"/>
      <c r="AX198" s="34">
        <v>28</v>
      </c>
      <c r="AY198" s="34"/>
      <c r="AZ198" s="62">
        <v>25000</v>
      </c>
      <c r="BA198" s="31"/>
      <c r="BB198" s="31"/>
      <c r="BC198" s="31"/>
      <c r="BD198" s="34">
        <v>5</v>
      </c>
      <c r="BE198" s="34"/>
      <c r="BF198" s="34"/>
      <c r="BG198" s="34"/>
      <c r="BH198" s="34">
        <v>9</v>
      </c>
      <c r="BI198" s="34"/>
      <c r="BJ198" s="34"/>
      <c r="BK198" s="34"/>
      <c r="BL198" s="34"/>
      <c r="BM198" s="34"/>
      <c r="BN198" s="34"/>
      <c r="BO198" s="34"/>
      <c r="BP198" s="31" t="s">
        <v>4</v>
      </c>
      <c r="BQ198" s="34">
        <v>18</v>
      </c>
      <c r="BR198" s="34"/>
      <c r="BS198" s="34"/>
      <c r="BT198" s="34"/>
      <c r="BU198" s="31">
        <v>22</v>
      </c>
      <c r="BV198" s="34"/>
      <c r="BW198" s="34"/>
      <c r="BX198" s="34"/>
      <c r="BY198" s="31" t="s">
        <v>793</v>
      </c>
      <c r="BZ198" s="31">
        <v>26</v>
      </c>
      <c r="CA198" s="31"/>
      <c r="CB198" s="31"/>
      <c r="CC198" s="31">
        <v>29</v>
      </c>
      <c r="CD198" s="31"/>
      <c r="CE198" s="31"/>
      <c r="CF198" s="62">
        <f>20000+20000</f>
        <v>40000</v>
      </c>
      <c r="CG198" s="34"/>
      <c r="CH198" s="46">
        <v>5</v>
      </c>
      <c r="CI198" s="46"/>
      <c r="CJ198" s="46"/>
      <c r="CK198" s="46"/>
      <c r="CL198" s="46"/>
      <c r="CM198" s="46"/>
      <c r="CN198" s="35"/>
      <c r="CO198" s="35"/>
      <c r="CP198" s="35"/>
      <c r="CQ198" s="35"/>
      <c r="CR198" s="35"/>
      <c r="CS198" s="35"/>
      <c r="CT198" s="35"/>
      <c r="CU198" s="35"/>
      <c r="CV198" s="35"/>
      <c r="CW198" s="35"/>
      <c r="CX198" s="35"/>
      <c r="CY198" s="35"/>
      <c r="CZ198" s="35"/>
      <c r="DA198" s="35"/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  <c r="DL198" s="35"/>
      <c r="DM198" s="35"/>
      <c r="DN198" s="35"/>
      <c r="DO198" s="35"/>
      <c r="DP198" s="35"/>
      <c r="DQ198" s="35"/>
      <c r="FA198" s="35"/>
      <c r="FB198" s="35"/>
      <c r="FC198" s="35"/>
      <c r="FD198" s="35"/>
      <c r="FE198" s="35"/>
      <c r="FF198" s="35"/>
      <c r="FG198" s="35"/>
      <c r="FH198" s="35"/>
      <c r="FI198" s="35"/>
      <c r="FJ198" s="35"/>
      <c r="GW198" s="35"/>
      <c r="GX198" s="35"/>
      <c r="GY198" s="35"/>
      <c r="GZ198" s="35"/>
    </row>
    <row r="199" spans="1:208" ht="18.5" x14ac:dyDescent="0.45">
      <c r="A199" s="75" t="s">
        <v>15</v>
      </c>
      <c r="B199" s="76"/>
      <c r="C199" s="76">
        <v>9847025697</v>
      </c>
      <c r="D199" s="75">
        <v>6700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23">
        <f t="shared" si="15"/>
        <v>6700</v>
      </c>
      <c r="W199" s="12"/>
      <c r="X199" s="12">
        <f t="shared" si="16"/>
        <v>6700</v>
      </c>
      <c r="Y199" s="31"/>
      <c r="Z199" s="31"/>
      <c r="AA199" s="33">
        <v>10</v>
      </c>
      <c r="AB199" s="33"/>
      <c r="AC199" s="33"/>
      <c r="AD199" s="33"/>
      <c r="AE199" s="33"/>
      <c r="AF199" s="34"/>
      <c r="AG199" s="34"/>
      <c r="AH199" s="34">
        <v>15</v>
      </c>
      <c r="AI199" s="34"/>
      <c r="AJ199" s="34"/>
      <c r="AK199" s="34"/>
      <c r="AL199" s="34"/>
      <c r="AM199" s="34">
        <v>19</v>
      </c>
      <c r="AN199" s="34"/>
      <c r="AO199" s="34"/>
      <c r="AP199" s="34"/>
      <c r="AQ199" s="34">
        <v>26</v>
      </c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1">
        <v>3</v>
      </c>
      <c r="BD199" s="34"/>
      <c r="BE199" s="34"/>
      <c r="BF199" s="34"/>
      <c r="BG199" s="34"/>
      <c r="BH199" s="34"/>
      <c r="BI199" s="34"/>
      <c r="BJ199" s="34">
        <v>14</v>
      </c>
      <c r="BK199" s="34"/>
      <c r="BL199" s="34"/>
      <c r="BM199" s="34"/>
      <c r="BN199" s="34"/>
      <c r="BO199" s="34"/>
      <c r="BP199" s="34" t="s">
        <v>4</v>
      </c>
      <c r="BQ199" s="34">
        <v>20</v>
      </c>
      <c r="BR199" s="34"/>
      <c r="BS199" s="34"/>
      <c r="BT199" s="34"/>
      <c r="BU199" s="34"/>
      <c r="BV199" s="34"/>
      <c r="BW199" s="34" t="s">
        <v>4</v>
      </c>
      <c r="BX199" s="34">
        <v>25</v>
      </c>
      <c r="BY199" s="34"/>
      <c r="BZ199" s="34"/>
      <c r="CA199" s="34"/>
      <c r="CB199" s="31">
        <v>30</v>
      </c>
      <c r="CC199" s="31"/>
      <c r="CD199" s="31"/>
      <c r="CE199" s="31"/>
      <c r="CF199" s="31"/>
      <c r="CG199" s="34"/>
      <c r="CH199" s="46">
        <v>5</v>
      </c>
      <c r="CI199" s="46"/>
      <c r="CJ199" s="46"/>
      <c r="CK199" s="46"/>
      <c r="CL199" s="46"/>
      <c r="CM199" s="46"/>
      <c r="CN199" s="35"/>
      <c r="CO199" s="35"/>
      <c r="CP199" s="35"/>
      <c r="CQ199" s="35"/>
      <c r="CR199" s="35"/>
      <c r="CS199" s="35"/>
      <c r="CT199" s="35"/>
      <c r="CU199" s="35"/>
      <c r="CV199" s="35"/>
      <c r="CW199" s="35"/>
      <c r="CX199" s="35"/>
      <c r="CY199" s="35"/>
      <c r="CZ199" s="35"/>
      <c r="DA199" s="35"/>
      <c r="DB199" s="35"/>
      <c r="DC199" s="35"/>
      <c r="DD199" s="35"/>
      <c r="DE199" s="35"/>
      <c r="DF199" s="35"/>
      <c r="DG199" s="35"/>
      <c r="DH199" s="35"/>
      <c r="DI199" s="35"/>
      <c r="DJ199" s="35"/>
      <c r="DK199" s="35"/>
      <c r="DL199" s="35"/>
      <c r="DM199" s="35"/>
      <c r="DN199" s="35"/>
      <c r="DO199" s="35"/>
      <c r="DP199" s="35"/>
      <c r="DQ199" s="35"/>
      <c r="FA199" s="35"/>
      <c r="FB199" s="35"/>
      <c r="FC199" s="35"/>
      <c r="FD199" s="35"/>
      <c r="FE199" s="35"/>
      <c r="FF199" s="35"/>
      <c r="FG199" s="35"/>
      <c r="FH199" s="35"/>
      <c r="FI199" s="35"/>
      <c r="FJ199" s="35"/>
      <c r="GJ199" s="35"/>
      <c r="GK199" s="35"/>
      <c r="GL199" s="35"/>
      <c r="GM199" s="35"/>
      <c r="GN199" s="35"/>
      <c r="GO199" s="35"/>
      <c r="GP199" s="35"/>
      <c r="GQ199" s="35"/>
      <c r="GR199" s="35"/>
      <c r="GS199" s="35"/>
      <c r="GT199" s="35"/>
      <c r="GU199" s="35"/>
      <c r="GV199" s="35"/>
      <c r="GW199" s="35"/>
      <c r="GX199" s="35"/>
    </row>
    <row r="200" spans="1:208" x14ac:dyDescent="0.35">
      <c r="A200" s="12" t="s">
        <v>166</v>
      </c>
      <c r="B200" s="3"/>
      <c r="C200" s="18">
        <v>9857032849</v>
      </c>
      <c r="D200" s="12"/>
      <c r="E200" s="14">
        <v>47000</v>
      </c>
      <c r="F200" s="12"/>
      <c r="G200" s="12"/>
      <c r="H200" s="12"/>
      <c r="I200" s="12"/>
      <c r="J200" s="12"/>
      <c r="K200" s="12"/>
      <c r="L200" s="12">
        <v>33000</v>
      </c>
      <c r="M200" s="12"/>
      <c r="N200" s="12">
        <v>40500</v>
      </c>
      <c r="O200" s="12"/>
      <c r="P200" s="12"/>
      <c r="Q200" s="12"/>
      <c r="R200" s="12"/>
      <c r="S200" s="12"/>
      <c r="T200" s="12"/>
      <c r="U200" s="12"/>
      <c r="V200" s="23">
        <f t="shared" si="15"/>
        <v>120500</v>
      </c>
      <c r="W200" s="12"/>
      <c r="X200" s="12">
        <f t="shared" si="16"/>
        <v>120500</v>
      </c>
      <c r="Y200" s="31"/>
      <c r="Z200" s="31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>
        <v>27</v>
      </c>
      <c r="AS200" s="34"/>
      <c r="AT200" s="34"/>
      <c r="AU200" s="34"/>
      <c r="AV200" s="34"/>
      <c r="AW200" s="34"/>
      <c r="AX200" s="34"/>
      <c r="AY200" s="34">
        <v>31</v>
      </c>
      <c r="AZ200" s="34"/>
      <c r="BA200" s="34"/>
      <c r="BB200" s="34"/>
      <c r="BC200" s="31"/>
      <c r="BD200" s="34">
        <v>5</v>
      </c>
      <c r="BE200" s="34"/>
      <c r="BF200" s="34"/>
      <c r="BG200" s="34"/>
      <c r="BH200" s="34">
        <v>12</v>
      </c>
      <c r="BI200" s="34"/>
      <c r="BJ200" s="34"/>
      <c r="BK200" s="34"/>
      <c r="BL200" s="34"/>
      <c r="BM200" s="34"/>
      <c r="BN200" s="34"/>
      <c r="BO200" s="31">
        <v>15</v>
      </c>
      <c r="BP200" s="31"/>
      <c r="BQ200" s="31"/>
      <c r="BR200" s="34">
        <v>19</v>
      </c>
      <c r="BS200" s="34"/>
      <c r="BT200" s="34"/>
      <c r="BU200" s="34"/>
      <c r="BV200" s="31"/>
      <c r="BW200" s="31"/>
      <c r="BX200" s="31"/>
      <c r="BY200" s="31"/>
      <c r="BZ200" s="31">
        <v>26</v>
      </c>
      <c r="CA200" s="31"/>
      <c r="CB200" s="31"/>
      <c r="CC200" s="31">
        <v>31</v>
      </c>
      <c r="CD200" s="31"/>
      <c r="CE200" s="31"/>
      <c r="CF200" s="31"/>
      <c r="CG200" s="31"/>
      <c r="CH200" s="46">
        <v>6</v>
      </c>
      <c r="CI200" s="46"/>
      <c r="CJ200" s="46"/>
      <c r="CK200" s="46"/>
      <c r="CL200" s="46"/>
      <c r="CM200" s="46"/>
      <c r="CN200" s="46"/>
      <c r="CO200" s="35"/>
      <c r="CP200" s="35"/>
      <c r="CQ200" s="35"/>
      <c r="CR200" s="35"/>
      <c r="CS200" s="35"/>
      <c r="CT200" s="35"/>
      <c r="CU200" s="35"/>
      <c r="CV200" s="35"/>
      <c r="CW200" s="35"/>
      <c r="CX200" s="35"/>
      <c r="CY200" s="35"/>
      <c r="CZ200" s="35"/>
      <c r="DA200" s="35"/>
      <c r="DB200" s="35"/>
      <c r="DC200" s="35"/>
      <c r="DD200" s="35"/>
      <c r="DE200" s="35"/>
      <c r="DF200" s="35"/>
      <c r="DG200" s="35"/>
      <c r="DH200" s="35"/>
      <c r="DI200" s="35"/>
      <c r="DJ200" s="35"/>
      <c r="DK200" s="35"/>
      <c r="DL200" s="35"/>
      <c r="DM200" s="35"/>
      <c r="DN200" s="35"/>
      <c r="DO200" s="35"/>
      <c r="DP200" s="35"/>
      <c r="DQ200" s="35"/>
      <c r="FA200" s="35"/>
      <c r="FB200" s="35"/>
      <c r="FC200" s="35"/>
      <c r="FD200" s="35"/>
      <c r="FE200" s="35"/>
      <c r="FF200" s="35"/>
      <c r="FG200" s="35"/>
      <c r="FH200" s="35"/>
      <c r="FI200" s="35"/>
      <c r="FJ200" s="35"/>
      <c r="GJ200" s="35"/>
      <c r="GK200" s="35"/>
      <c r="GL200" s="35"/>
      <c r="GM200" s="35"/>
      <c r="GN200" s="35"/>
      <c r="GO200" s="35"/>
      <c r="GP200" s="35"/>
      <c r="GQ200" s="35"/>
      <c r="GR200" s="35"/>
      <c r="GS200" s="35"/>
      <c r="GT200" s="35"/>
      <c r="GU200" s="35"/>
      <c r="GV200" s="35"/>
      <c r="GW200" s="35"/>
      <c r="GX200" s="35"/>
    </row>
    <row r="201" spans="1:208" s="62" customFormat="1" ht="18.5" x14ac:dyDescent="0.45">
      <c r="A201" s="75" t="s">
        <v>160</v>
      </c>
      <c r="B201" s="76"/>
      <c r="C201" s="76">
        <v>9847098959</v>
      </c>
      <c r="D201" s="75">
        <v>226990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>
        <v>2600</v>
      </c>
      <c r="U201" s="12"/>
      <c r="V201" s="23">
        <f t="shared" si="15"/>
        <v>229590</v>
      </c>
      <c r="W201" s="12">
        <f>AB201</f>
        <v>50000</v>
      </c>
      <c r="X201" s="12">
        <f t="shared" si="16"/>
        <v>179590</v>
      </c>
      <c r="Y201" s="31"/>
      <c r="Z201" s="31"/>
      <c r="AA201" s="34">
        <v>4</v>
      </c>
      <c r="AB201" s="1">
        <v>50000</v>
      </c>
      <c r="AC201" s="33"/>
      <c r="AD201" s="33"/>
      <c r="AE201" s="33"/>
      <c r="AF201" s="34"/>
      <c r="AG201" s="34"/>
      <c r="AH201" s="34"/>
      <c r="AI201" s="34"/>
      <c r="AJ201" s="34"/>
      <c r="AK201" s="34"/>
      <c r="AL201" s="34"/>
      <c r="AM201" s="34">
        <v>20</v>
      </c>
      <c r="AN201" s="34"/>
      <c r="AO201" s="34"/>
      <c r="AP201" s="34"/>
      <c r="AQ201" s="34"/>
      <c r="AR201" s="34">
        <v>25</v>
      </c>
      <c r="AS201" s="34"/>
      <c r="AT201" s="34"/>
      <c r="AU201" s="34"/>
      <c r="AV201" s="34"/>
      <c r="AW201" s="31"/>
      <c r="AX201" s="31"/>
      <c r="AY201" s="34">
        <v>30</v>
      </c>
      <c r="AZ201" s="34"/>
      <c r="BA201" s="34"/>
      <c r="BB201" s="34"/>
      <c r="BC201" s="31" t="s">
        <v>793</v>
      </c>
      <c r="BD201" s="31" t="s">
        <v>793</v>
      </c>
      <c r="BE201" s="31" t="s">
        <v>793</v>
      </c>
      <c r="BF201" s="31" t="s">
        <v>793</v>
      </c>
      <c r="BG201" s="31" t="s">
        <v>793</v>
      </c>
      <c r="BH201" s="31" t="s">
        <v>793</v>
      </c>
      <c r="BI201" s="31"/>
      <c r="BJ201" s="31" t="s">
        <v>794</v>
      </c>
      <c r="BK201" s="34">
        <v>11</v>
      </c>
      <c r="BL201" s="34"/>
      <c r="BM201" s="34"/>
      <c r="BN201" s="31">
        <v>15</v>
      </c>
      <c r="BO201" s="31"/>
      <c r="BP201" s="31"/>
      <c r="BQ201" s="31"/>
      <c r="BR201" s="34">
        <v>18</v>
      </c>
      <c r="BS201" s="34"/>
      <c r="BT201" s="34"/>
      <c r="BU201" s="31">
        <v>22</v>
      </c>
      <c r="BV201" s="31"/>
      <c r="BW201" s="31"/>
      <c r="BX201" s="31"/>
      <c r="BY201" s="34">
        <v>27</v>
      </c>
      <c r="BZ201" s="34"/>
      <c r="CA201" s="34"/>
      <c r="CB201" s="34"/>
      <c r="CC201" s="34"/>
      <c r="CD201" s="31"/>
      <c r="CE201" s="31" t="s">
        <v>793</v>
      </c>
      <c r="CF201" s="31" t="s">
        <v>794</v>
      </c>
      <c r="CG201" s="34">
        <v>3</v>
      </c>
      <c r="CH201" s="46">
        <v>3</v>
      </c>
      <c r="CI201" s="46"/>
      <c r="CJ201" s="46"/>
      <c r="CK201" s="31"/>
      <c r="CL201" s="31"/>
      <c r="CM201" s="35"/>
      <c r="CN201" s="35"/>
      <c r="CO201" s="35"/>
      <c r="CP201" s="35"/>
      <c r="CQ201" s="35"/>
      <c r="CR201" s="35"/>
      <c r="CS201" s="35"/>
      <c r="CT201" s="35"/>
      <c r="CU201" s="35"/>
      <c r="CV201" s="35"/>
      <c r="CW201" s="35"/>
      <c r="CX201" s="35"/>
      <c r="CY201" s="35"/>
      <c r="CZ201" s="35"/>
      <c r="DA201" s="35"/>
      <c r="DB201" s="35"/>
      <c r="DC201" s="35"/>
      <c r="DD201" s="35"/>
      <c r="DE201" s="35"/>
      <c r="DF201" s="35"/>
      <c r="DG201" s="35"/>
      <c r="DH201" s="35"/>
      <c r="DI201" s="35"/>
      <c r="DJ201" s="35"/>
      <c r="DK201" s="35"/>
      <c r="DL201" s="35"/>
      <c r="DM201" s="35"/>
      <c r="DN201" s="35"/>
      <c r="DO201" s="35"/>
      <c r="DP201" s="35"/>
      <c r="DQ201" s="35"/>
      <c r="FA201" s="35"/>
      <c r="FB201" s="35"/>
      <c r="FC201" s="35"/>
      <c r="FD201" s="35"/>
      <c r="FE201" s="35"/>
      <c r="FF201" s="35"/>
      <c r="FG201" s="35"/>
      <c r="FH201" s="35"/>
      <c r="FI201" s="35"/>
      <c r="FJ201" s="35"/>
      <c r="GJ201" s="35"/>
      <c r="GK201" s="35"/>
      <c r="GL201" s="35"/>
      <c r="GM201" s="35"/>
      <c r="GN201" s="35"/>
      <c r="GO201" s="35"/>
      <c r="GP201" s="35"/>
      <c r="GQ201" s="35"/>
      <c r="GR201" s="35"/>
      <c r="GS201" s="35"/>
      <c r="GT201" s="35"/>
      <c r="GU201" s="35"/>
      <c r="GV201" s="35"/>
      <c r="GW201" s="35"/>
      <c r="GX201" s="35"/>
    </row>
    <row r="202" spans="1:208" ht="18.5" x14ac:dyDescent="0.45">
      <c r="A202" s="75" t="s">
        <v>196</v>
      </c>
      <c r="B202" s="76"/>
      <c r="C202" s="76">
        <v>9805411460</v>
      </c>
      <c r="D202" s="75">
        <v>121000</v>
      </c>
      <c r="E202" s="12"/>
      <c r="F202" s="12"/>
      <c r="G202" s="12"/>
      <c r="H202" s="12"/>
      <c r="I202" s="12"/>
      <c r="J202" s="12"/>
      <c r="K202" s="12">
        <v>34500</v>
      </c>
      <c r="L202" s="12"/>
      <c r="M202" s="12"/>
      <c r="N202" s="12"/>
      <c r="O202" s="12"/>
      <c r="P202" s="12">
        <v>2000</v>
      </c>
      <c r="Q202" s="12"/>
      <c r="R202" s="12"/>
      <c r="S202" s="12"/>
      <c r="T202" s="12"/>
      <c r="U202" s="12"/>
      <c r="V202" s="23">
        <f t="shared" si="15"/>
        <v>157500</v>
      </c>
      <c r="W202" s="12">
        <f>BO202+2000</f>
        <v>52000</v>
      </c>
      <c r="X202" s="12">
        <f t="shared" si="16"/>
        <v>105500</v>
      </c>
      <c r="Y202" s="12">
        <v>5</v>
      </c>
      <c r="Z202" s="34"/>
      <c r="AA202" s="34"/>
      <c r="AB202" s="34"/>
      <c r="AC202" s="33">
        <v>10</v>
      </c>
      <c r="AD202" s="33"/>
      <c r="AE202" s="33"/>
      <c r="AF202" s="34"/>
      <c r="AG202" s="34"/>
      <c r="AH202" s="34">
        <v>14</v>
      </c>
      <c r="AI202" s="34"/>
      <c r="AJ202" s="34"/>
      <c r="AK202" s="34"/>
      <c r="AL202" s="34">
        <v>19</v>
      </c>
      <c r="AM202" s="34"/>
      <c r="AN202" s="34"/>
      <c r="AO202" s="34"/>
      <c r="AP202" s="34"/>
      <c r="AQ202" s="34"/>
      <c r="AR202" s="34"/>
      <c r="AS202" s="34"/>
      <c r="AT202" s="34"/>
      <c r="AU202" s="34"/>
      <c r="AV202" s="31">
        <v>30</v>
      </c>
      <c r="AW202" s="34"/>
      <c r="AX202" s="34"/>
      <c r="AY202" s="34"/>
      <c r="AZ202" s="34"/>
      <c r="BA202" s="34"/>
      <c r="BB202" s="34"/>
      <c r="BC202" s="31" t="s">
        <v>798</v>
      </c>
      <c r="BD202" s="34"/>
      <c r="BE202" s="34"/>
      <c r="BF202" s="31">
        <v>5</v>
      </c>
      <c r="BG202" s="31"/>
      <c r="BH202" s="31" t="s">
        <v>798</v>
      </c>
      <c r="BI202" s="31"/>
      <c r="BJ202" s="31" t="s">
        <v>793</v>
      </c>
      <c r="BK202" s="31" t="s">
        <v>798</v>
      </c>
      <c r="BL202" s="31" t="s">
        <v>798</v>
      </c>
      <c r="BM202" s="31" t="s">
        <v>798</v>
      </c>
      <c r="BN202" s="31" t="s">
        <v>798</v>
      </c>
      <c r="BO202" s="91">
        <v>50000</v>
      </c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1">
        <v>28</v>
      </c>
      <c r="CB202" s="31"/>
      <c r="CC202" s="31"/>
      <c r="CD202" s="31"/>
      <c r="CE202" s="31" t="s">
        <v>793</v>
      </c>
      <c r="CF202" s="62">
        <v>2000</v>
      </c>
      <c r="CG202" s="34"/>
      <c r="CH202" s="46">
        <v>4</v>
      </c>
      <c r="CI202" s="46"/>
      <c r="CJ202" s="46"/>
      <c r="CK202" s="46"/>
      <c r="CL202" s="46"/>
      <c r="GJ202" s="35"/>
      <c r="GK202" s="35"/>
      <c r="GL202" s="35"/>
      <c r="GM202" s="35"/>
      <c r="GN202" s="35"/>
      <c r="GO202" s="35"/>
      <c r="GP202" s="35"/>
      <c r="GQ202" s="35"/>
      <c r="GR202" s="35"/>
      <c r="GS202" s="35"/>
      <c r="GT202" s="35"/>
      <c r="GU202" s="35"/>
      <c r="GV202" s="35"/>
      <c r="GW202" s="35"/>
      <c r="GX202" s="35"/>
    </row>
    <row r="203" spans="1:208" ht="18.5" x14ac:dyDescent="0.45">
      <c r="A203" s="12" t="s">
        <v>982</v>
      </c>
      <c r="B203" s="88"/>
      <c r="C203" s="88">
        <v>9849500942</v>
      </c>
      <c r="D203" s="87"/>
      <c r="E203" s="23"/>
      <c r="F203" s="23"/>
      <c r="G203" s="23"/>
      <c r="H203" s="23"/>
      <c r="I203" s="23"/>
      <c r="J203" s="23"/>
      <c r="K203" s="23"/>
      <c r="L203" s="12"/>
      <c r="M203" s="12"/>
      <c r="N203" s="12">
        <v>170000</v>
      </c>
      <c r="O203" s="12"/>
      <c r="P203" s="12"/>
      <c r="Q203" s="12"/>
      <c r="R203" s="12"/>
      <c r="S203" s="12"/>
      <c r="T203" s="12"/>
      <c r="U203" s="12"/>
      <c r="V203" s="23">
        <f t="shared" si="15"/>
        <v>170000</v>
      </c>
      <c r="W203" s="12">
        <f>BH203+8000+85000</f>
        <v>153000</v>
      </c>
      <c r="X203" s="12">
        <f t="shared" si="16"/>
        <v>17000</v>
      </c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62">
        <v>60000</v>
      </c>
      <c r="BI203" s="34"/>
      <c r="BJ203" s="34"/>
      <c r="BK203" s="34"/>
      <c r="BL203" s="34"/>
      <c r="BM203" s="62">
        <v>8000</v>
      </c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62">
        <v>85000</v>
      </c>
      <c r="CC203" s="31"/>
      <c r="CD203" s="31"/>
      <c r="CE203" s="31"/>
      <c r="CF203" s="31"/>
      <c r="CG203" s="34"/>
      <c r="CH203" s="46">
        <v>3</v>
      </c>
      <c r="CI203" s="46"/>
      <c r="CJ203" s="46"/>
      <c r="CK203" s="31"/>
      <c r="CL203" s="31"/>
      <c r="GJ203" s="35"/>
      <c r="GK203" s="35"/>
      <c r="GL203" s="35"/>
      <c r="GM203" s="35"/>
      <c r="GN203" s="35"/>
      <c r="GO203" s="35"/>
      <c r="GP203" s="35"/>
      <c r="GQ203" s="35"/>
      <c r="GR203" s="35"/>
      <c r="GS203" s="35"/>
      <c r="GT203" s="35"/>
      <c r="GU203" s="35"/>
      <c r="GV203" s="35"/>
      <c r="GW203" s="35"/>
      <c r="GX203" s="35"/>
    </row>
    <row r="204" spans="1:208" ht="18.5" x14ac:dyDescent="0.45">
      <c r="A204" s="75" t="s">
        <v>988</v>
      </c>
      <c r="B204" s="76"/>
      <c r="C204" s="76">
        <v>9860227938</v>
      </c>
      <c r="D204" s="75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>
        <v>83000</v>
      </c>
      <c r="P204" s="12"/>
      <c r="Q204" s="12"/>
      <c r="R204" s="12"/>
      <c r="S204" s="12"/>
      <c r="T204" s="12"/>
      <c r="U204" s="12"/>
      <c r="V204" s="23">
        <f t="shared" si="15"/>
        <v>83000</v>
      </c>
      <c r="W204" s="12"/>
      <c r="X204" s="12">
        <f t="shared" si="16"/>
        <v>83000</v>
      </c>
      <c r="Y204" s="31"/>
      <c r="Z204" s="31"/>
      <c r="AA204" s="34"/>
      <c r="AB204" s="1"/>
      <c r="AC204" s="33"/>
      <c r="AD204" s="33"/>
      <c r="AE204" s="33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1"/>
      <c r="AX204" s="31"/>
      <c r="AY204" s="34"/>
      <c r="AZ204" s="34"/>
      <c r="BA204" s="34"/>
      <c r="BB204" s="34"/>
      <c r="BC204" s="31"/>
      <c r="BD204" s="31"/>
      <c r="BE204" s="31"/>
      <c r="BF204" s="31"/>
      <c r="BG204" s="31"/>
      <c r="BH204" s="31"/>
      <c r="BI204" s="31"/>
      <c r="BJ204" s="31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46">
        <v>3</v>
      </c>
      <c r="CI204" s="46"/>
      <c r="CJ204" s="46"/>
      <c r="CK204" s="31"/>
      <c r="CL204" s="31"/>
      <c r="GJ204" s="35"/>
      <c r="GK204" s="35"/>
      <c r="GL204" s="35"/>
      <c r="GM204" s="35"/>
      <c r="GN204" s="35"/>
      <c r="GO204" s="35"/>
      <c r="GP204" s="35"/>
      <c r="GQ204" s="35"/>
      <c r="GR204" s="35"/>
      <c r="GS204" s="35"/>
      <c r="GT204" s="35"/>
      <c r="GU204" s="35"/>
      <c r="GV204" s="35"/>
      <c r="GW204" s="35"/>
      <c r="GX204" s="35"/>
    </row>
    <row r="205" spans="1:208" s="62" customFormat="1" x14ac:dyDescent="0.35">
      <c r="A205" s="12" t="s">
        <v>863</v>
      </c>
      <c r="B205" s="3"/>
      <c r="C205" s="18">
        <v>9847170197</v>
      </c>
      <c r="D205" s="12"/>
      <c r="E205" s="12"/>
      <c r="F205" s="12"/>
      <c r="G205" s="12"/>
      <c r="H205" s="12">
        <v>34000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23">
        <f t="shared" si="15"/>
        <v>34000</v>
      </c>
      <c r="W205" s="12">
        <f>AL205</f>
        <v>17000</v>
      </c>
      <c r="X205" s="12">
        <f t="shared" si="16"/>
        <v>17000</v>
      </c>
      <c r="Y205" s="8"/>
      <c r="Z205" s="34"/>
      <c r="AA205" s="33"/>
      <c r="AB205" s="33"/>
      <c r="AC205" s="33"/>
      <c r="AD205" s="33"/>
      <c r="AE205" s="33"/>
      <c r="AF205" s="34"/>
      <c r="AG205" s="34"/>
      <c r="AH205" s="34"/>
      <c r="AI205" s="34"/>
      <c r="AJ205" s="34"/>
      <c r="AK205" s="34"/>
      <c r="AL205" s="62">
        <v>17000</v>
      </c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>
        <v>15</v>
      </c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>
        <v>21</v>
      </c>
      <c r="BS205" s="34"/>
      <c r="BT205" s="34"/>
      <c r="BU205" s="34"/>
      <c r="BV205" s="34"/>
      <c r="BW205" s="34"/>
      <c r="BX205" s="34">
        <v>27</v>
      </c>
      <c r="BY205" s="34"/>
      <c r="BZ205" s="34"/>
      <c r="CA205" s="34"/>
      <c r="CB205" s="34"/>
      <c r="CC205" s="34"/>
      <c r="CD205" s="31"/>
      <c r="CE205" s="31"/>
      <c r="CF205" s="31"/>
      <c r="CG205" s="34"/>
      <c r="CH205" s="46">
        <v>5</v>
      </c>
      <c r="CI205" s="46"/>
      <c r="CJ205" s="46"/>
      <c r="CK205" s="46"/>
      <c r="CL205" s="46"/>
      <c r="CM205" s="46"/>
      <c r="CN205" s="35"/>
      <c r="CO205" s="35"/>
      <c r="CP205" s="35"/>
      <c r="CQ205" s="35"/>
      <c r="CR205" s="35"/>
      <c r="CS205" s="35"/>
      <c r="CT205" s="35"/>
      <c r="CU205" s="35"/>
      <c r="CV205" s="35"/>
      <c r="CW205" s="35"/>
      <c r="CX205" s="35"/>
      <c r="CY205" s="35"/>
      <c r="CZ205" s="35"/>
      <c r="DA205" s="35"/>
      <c r="DB205" s="35"/>
      <c r="DC205" s="35"/>
      <c r="DD205" s="35"/>
      <c r="DE205" s="35"/>
      <c r="DF205" s="35"/>
      <c r="DG205" s="35"/>
      <c r="DH205" s="35"/>
      <c r="DI205" s="35"/>
      <c r="DJ205" s="35"/>
      <c r="DK205" s="35"/>
      <c r="DL205" s="35"/>
      <c r="DM205" s="35"/>
      <c r="DN205" s="35"/>
      <c r="DO205" s="35"/>
      <c r="DP205" s="35"/>
      <c r="DQ205" s="35"/>
      <c r="DR205" s="35"/>
      <c r="DS205" s="35"/>
      <c r="DT205" s="35"/>
      <c r="DU205" s="35"/>
      <c r="DV205" s="35"/>
      <c r="DW205" s="35"/>
      <c r="DX205" s="35"/>
      <c r="DY205" s="35"/>
      <c r="DZ205" s="35"/>
      <c r="EA205" s="35"/>
      <c r="EB205" s="35"/>
      <c r="EC205" s="35"/>
      <c r="ED205" s="35"/>
      <c r="EE205" s="35"/>
      <c r="EF205" s="35"/>
      <c r="EG205" s="35"/>
      <c r="EH205" s="35"/>
      <c r="EI205" s="35"/>
      <c r="EJ205" s="35"/>
      <c r="EK205" s="35"/>
      <c r="EL205" s="35"/>
      <c r="EM205" s="35"/>
      <c r="EN205" s="35"/>
      <c r="EO205" s="35"/>
      <c r="EP205" s="35"/>
      <c r="EQ205" s="35"/>
      <c r="ER205" s="35"/>
      <c r="ES205" s="35"/>
      <c r="ET205" s="35"/>
      <c r="EU205" s="35"/>
      <c r="EV205" s="35"/>
      <c r="EW205" s="35"/>
      <c r="EX205" s="35"/>
      <c r="EY205" s="35"/>
      <c r="EZ205" s="35"/>
      <c r="FA205" s="35"/>
      <c r="FB205" s="35"/>
      <c r="FC205" s="35"/>
      <c r="FD205" s="35"/>
      <c r="FE205" s="35"/>
      <c r="FF205" s="35"/>
      <c r="FG205" s="35"/>
      <c r="FH205" s="35"/>
      <c r="FI205" s="35"/>
      <c r="FJ205" s="35"/>
      <c r="FK205" s="35"/>
      <c r="FL205" s="35"/>
      <c r="FM205" s="35"/>
      <c r="FN205" s="35"/>
      <c r="FO205" s="35"/>
      <c r="FP205" s="35"/>
      <c r="FQ205" s="35"/>
      <c r="FR205" s="35"/>
      <c r="FS205" s="35"/>
      <c r="FT205" s="35"/>
      <c r="FU205" s="35"/>
      <c r="FV205" s="35"/>
      <c r="FW205" s="35"/>
      <c r="FX205" s="35"/>
      <c r="FY205" s="35"/>
      <c r="FZ205" s="35"/>
      <c r="GA205" s="35"/>
      <c r="GB205" s="35"/>
      <c r="GC205" s="35"/>
      <c r="GD205" s="35"/>
      <c r="GE205" s="35"/>
      <c r="GF205" s="35"/>
      <c r="GG205" s="35"/>
      <c r="GH205" s="35"/>
      <c r="GI205" s="35"/>
      <c r="GJ205" s="35"/>
      <c r="GK205" s="35"/>
      <c r="GL205" s="35"/>
      <c r="GM205" s="35"/>
      <c r="GN205" s="35"/>
      <c r="GO205" s="35"/>
      <c r="GP205" s="35"/>
      <c r="GQ205" s="35"/>
      <c r="GR205" s="35"/>
      <c r="GS205" s="35"/>
      <c r="GT205" s="35"/>
      <c r="GU205" s="35"/>
      <c r="GV205" s="35"/>
      <c r="GW205" s="35"/>
      <c r="GX205" s="35"/>
    </row>
    <row r="206" spans="1:208" s="62" customFormat="1" ht="18.5" x14ac:dyDescent="0.45">
      <c r="A206" s="85" t="s">
        <v>197</v>
      </c>
      <c r="B206" s="86"/>
      <c r="C206" s="86">
        <v>9847500433</v>
      </c>
      <c r="D206" s="85">
        <v>4835</v>
      </c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23">
        <f t="shared" si="15"/>
        <v>4835</v>
      </c>
      <c r="W206" s="85"/>
      <c r="X206" s="85">
        <f t="shared" si="16"/>
        <v>4835</v>
      </c>
      <c r="Y206" s="31"/>
      <c r="Z206" s="31"/>
      <c r="AA206" s="34">
        <v>7</v>
      </c>
      <c r="AB206" s="34"/>
      <c r="AC206" s="33"/>
      <c r="AD206" s="33"/>
      <c r="AE206" s="33">
        <v>11</v>
      </c>
      <c r="AF206" s="34"/>
      <c r="AG206" s="34"/>
      <c r="AH206" s="34"/>
      <c r="AI206" s="34">
        <v>15</v>
      </c>
      <c r="AJ206" s="34"/>
      <c r="AK206" s="34"/>
      <c r="AL206" s="34"/>
      <c r="AM206" s="31" t="s">
        <v>794</v>
      </c>
      <c r="AN206" s="31"/>
      <c r="AO206" s="31" t="s">
        <v>794</v>
      </c>
      <c r="AP206" s="31">
        <v>25</v>
      </c>
      <c r="AQ206" s="31"/>
      <c r="AR206" s="31"/>
      <c r="AS206" s="31"/>
      <c r="AT206" s="31"/>
      <c r="AU206" s="31"/>
      <c r="AV206" s="31"/>
      <c r="AW206" s="34">
        <v>28</v>
      </c>
      <c r="AX206" s="34"/>
      <c r="AY206" s="34"/>
      <c r="AZ206" s="31">
        <v>31</v>
      </c>
      <c r="BA206" s="31"/>
      <c r="BB206" s="31"/>
      <c r="BC206" s="31"/>
      <c r="BD206" s="34">
        <v>5</v>
      </c>
      <c r="BE206" s="34"/>
      <c r="BF206" s="34"/>
      <c r="BG206" s="34"/>
      <c r="BH206" s="34">
        <v>8</v>
      </c>
      <c r="BI206" s="34"/>
      <c r="BJ206" s="34"/>
      <c r="BK206" s="34"/>
      <c r="BL206" s="34"/>
      <c r="BM206" s="34"/>
      <c r="BN206" s="31">
        <v>16</v>
      </c>
      <c r="BO206" s="31"/>
      <c r="BP206" s="34"/>
      <c r="BQ206" s="34"/>
      <c r="BR206" s="34"/>
      <c r="BS206" s="31" t="s">
        <v>4</v>
      </c>
      <c r="BT206" s="31" t="s">
        <v>794</v>
      </c>
      <c r="BU206" s="31" t="s">
        <v>794</v>
      </c>
      <c r="BV206" s="31" t="s">
        <v>794</v>
      </c>
      <c r="BW206" s="31"/>
      <c r="BX206" s="31" t="s">
        <v>794</v>
      </c>
      <c r="BY206" s="31" t="s">
        <v>794</v>
      </c>
      <c r="BZ206" s="31" t="s">
        <v>794</v>
      </c>
      <c r="CA206" s="31" t="s">
        <v>794</v>
      </c>
      <c r="CB206" s="31" t="s">
        <v>794</v>
      </c>
      <c r="CC206" s="31" t="s">
        <v>794</v>
      </c>
      <c r="CD206" s="31"/>
      <c r="CE206" s="31" t="s">
        <v>794</v>
      </c>
      <c r="CF206" s="31" t="s">
        <v>794</v>
      </c>
      <c r="CG206" s="31" t="s">
        <v>794</v>
      </c>
      <c r="CH206" s="34" t="s">
        <v>794</v>
      </c>
      <c r="CI206" s="31"/>
      <c r="CJ206" s="31" t="s">
        <v>794</v>
      </c>
      <c r="CK206" s="31"/>
      <c r="CL206" s="31"/>
      <c r="CM206" s="35"/>
      <c r="CN206" s="35"/>
      <c r="CO206" s="35"/>
      <c r="CP206" s="35"/>
      <c r="CQ206" s="35"/>
      <c r="CR206" s="35"/>
      <c r="CS206" s="35"/>
      <c r="CT206" s="35"/>
      <c r="CU206" s="35"/>
      <c r="CV206" s="35"/>
      <c r="CW206" s="35"/>
      <c r="CX206" s="35"/>
      <c r="CY206" s="35"/>
      <c r="CZ206" s="35"/>
      <c r="DA206" s="35"/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  <c r="DL206" s="35"/>
      <c r="DM206" s="35"/>
      <c r="DN206" s="35"/>
      <c r="DO206" s="35"/>
      <c r="DP206" s="35"/>
      <c r="DQ206" s="35"/>
      <c r="DR206" s="35"/>
      <c r="DS206" s="35"/>
      <c r="DT206" s="35"/>
      <c r="DU206" s="35"/>
      <c r="DV206" s="35"/>
      <c r="DW206" s="35"/>
      <c r="DX206" s="35"/>
      <c r="DY206" s="35"/>
      <c r="DZ206" s="35"/>
      <c r="EA206" s="35"/>
      <c r="EB206" s="35"/>
      <c r="EC206" s="35"/>
      <c r="ED206" s="35"/>
      <c r="EE206" s="35"/>
      <c r="EF206" s="35"/>
      <c r="EG206" s="35"/>
      <c r="EH206" s="35"/>
      <c r="EI206" s="35"/>
      <c r="EJ206" s="35"/>
      <c r="EK206" s="35"/>
      <c r="EL206" s="35"/>
      <c r="EM206" s="35"/>
      <c r="EN206" s="35"/>
      <c r="EO206" s="35"/>
      <c r="EP206" s="35"/>
      <c r="EQ206" s="35"/>
      <c r="ER206" s="35"/>
      <c r="ES206" s="35"/>
      <c r="ET206" s="35"/>
      <c r="EU206" s="35"/>
      <c r="EV206" s="35"/>
      <c r="EW206" s="35"/>
      <c r="EX206" s="35"/>
      <c r="EY206" s="35"/>
      <c r="EZ206" s="35"/>
      <c r="FA206" s="35"/>
      <c r="FB206" s="35"/>
      <c r="FC206" s="35"/>
      <c r="FD206" s="35"/>
      <c r="FE206" s="35"/>
      <c r="FF206" s="35"/>
      <c r="FG206" s="35"/>
      <c r="FH206" s="35"/>
      <c r="FI206" s="35"/>
      <c r="FJ206" s="35"/>
      <c r="FK206" s="35"/>
      <c r="FL206" s="35"/>
      <c r="FM206" s="35"/>
      <c r="FN206" s="35"/>
      <c r="FO206" s="35"/>
      <c r="FP206" s="35"/>
      <c r="FQ206" s="35"/>
      <c r="FR206" s="35"/>
      <c r="FS206" s="35"/>
      <c r="FT206" s="35"/>
      <c r="FU206" s="35"/>
      <c r="FV206" s="35"/>
      <c r="FW206" s="35"/>
      <c r="FX206" s="35"/>
      <c r="FY206" s="35"/>
      <c r="FZ206" s="35"/>
      <c r="GA206" s="35"/>
      <c r="GB206" s="35"/>
      <c r="GC206" s="35"/>
      <c r="GD206" s="35"/>
      <c r="GE206" s="35"/>
      <c r="GF206" s="35"/>
      <c r="GG206" s="35"/>
      <c r="GH206" s="35"/>
      <c r="GI206" s="35"/>
      <c r="GJ206" s="35"/>
      <c r="GK206" s="35"/>
      <c r="GL206" s="35"/>
      <c r="GM206" s="35"/>
      <c r="GN206" s="35"/>
      <c r="GO206" s="35"/>
      <c r="GP206" s="35"/>
      <c r="GQ206" s="35"/>
      <c r="GR206" s="35"/>
      <c r="GS206" s="35"/>
      <c r="GT206" s="35"/>
      <c r="GU206" s="35"/>
      <c r="GV206" s="35"/>
      <c r="GW206" s="35"/>
      <c r="GX206" s="35"/>
    </row>
    <row r="207" spans="1:208" ht="18.5" x14ac:dyDescent="0.45">
      <c r="A207" s="85" t="s">
        <v>198</v>
      </c>
      <c r="B207" s="86"/>
      <c r="C207" s="86" t="s">
        <v>199</v>
      </c>
      <c r="D207" s="75">
        <v>450484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23">
        <f t="shared" si="15"/>
        <v>450484</v>
      </c>
      <c r="W207" s="12"/>
      <c r="X207" s="37">
        <f t="shared" si="16"/>
        <v>450484</v>
      </c>
      <c r="Y207" s="14"/>
      <c r="Z207" s="14"/>
      <c r="AA207" s="14" t="s">
        <v>793</v>
      </c>
      <c r="AB207" s="14" t="s">
        <v>793</v>
      </c>
      <c r="AC207" s="14" t="s">
        <v>792</v>
      </c>
      <c r="AD207" s="14" t="s">
        <v>793</v>
      </c>
      <c r="AE207" s="14" t="s">
        <v>793</v>
      </c>
      <c r="AF207" s="14" t="s">
        <v>793</v>
      </c>
      <c r="AG207" s="14"/>
      <c r="AH207" s="14" t="s">
        <v>793</v>
      </c>
      <c r="AI207" s="31" t="s">
        <v>793</v>
      </c>
      <c r="AJ207" s="31" t="s">
        <v>791</v>
      </c>
      <c r="AK207" s="34">
        <v>18</v>
      </c>
      <c r="AL207" s="34"/>
      <c r="AM207" s="34"/>
      <c r="AN207" s="34"/>
      <c r="AO207" s="34"/>
      <c r="AP207" s="34">
        <v>22</v>
      </c>
      <c r="AQ207" s="34"/>
      <c r="AR207" s="34"/>
      <c r="AS207" s="34"/>
      <c r="AT207" s="31">
        <v>27</v>
      </c>
      <c r="AU207" s="31"/>
      <c r="AV207" s="31"/>
      <c r="AW207" s="31"/>
      <c r="AX207" s="31"/>
      <c r="AY207" s="31" t="s">
        <v>793</v>
      </c>
      <c r="AZ207" s="31">
        <v>2</v>
      </c>
      <c r="BA207" s="31"/>
      <c r="BB207" s="31"/>
      <c r="BC207" s="31"/>
      <c r="BD207" s="34">
        <v>2</v>
      </c>
      <c r="BE207" s="34">
        <v>10</v>
      </c>
      <c r="BF207" s="34"/>
      <c r="BG207" s="34"/>
      <c r="BH207" s="34"/>
      <c r="BI207" s="34"/>
      <c r="BJ207" s="34"/>
      <c r="BK207" s="34"/>
      <c r="BL207" s="34"/>
      <c r="BM207" s="31" t="s">
        <v>791</v>
      </c>
      <c r="BN207" s="31" t="s">
        <v>791</v>
      </c>
      <c r="BO207" s="31" t="s">
        <v>791</v>
      </c>
      <c r="BP207" s="31"/>
      <c r="BQ207" s="31" t="s">
        <v>791</v>
      </c>
      <c r="BR207" s="31" t="s">
        <v>791</v>
      </c>
      <c r="BS207" s="31" t="s">
        <v>791</v>
      </c>
      <c r="BT207" s="31" t="s">
        <v>793</v>
      </c>
      <c r="BU207" s="31" t="s">
        <v>793</v>
      </c>
      <c r="BV207" s="31" t="s">
        <v>791</v>
      </c>
      <c r="BW207" s="31"/>
      <c r="BX207" s="31" t="s">
        <v>791</v>
      </c>
      <c r="BY207" s="31" t="s">
        <v>793</v>
      </c>
      <c r="BZ207" s="31" t="s">
        <v>793</v>
      </c>
      <c r="CA207" s="31" t="s">
        <v>791</v>
      </c>
      <c r="CB207" s="31" t="s">
        <v>793</v>
      </c>
      <c r="CC207" s="31" t="s">
        <v>793</v>
      </c>
      <c r="CD207" s="31"/>
      <c r="CE207" s="31" t="s">
        <v>793</v>
      </c>
      <c r="CF207" s="31" t="s">
        <v>793</v>
      </c>
      <c r="CG207" s="31" t="s">
        <v>793</v>
      </c>
      <c r="CH207" s="34" t="s">
        <v>791</v>
      </c>
      <c r="CI207" s="31"/>
      <c r="CJ207" s="31" t="s">
        <v>793</v>
      </c>
      <c r="CK207" s="31"/>
      <c r="CL207" s="31"/>
      <c r="CM207" s="35"/>
      <c r="CN207" s="35"/>
      <c r="CO207" s="35"/>
      <c r="CP207" s="35"/>
      <c r="CQ207" s="35"/>
      <c r="CR207" s="35"/>
      <c r="CS207" s="35"/>
      <c r="CT207" s="35"/>
      <c r="CU207" s="35"/>
      <c r="CV207" s="35"/>
      <c r="CW207" s="35"/>
      <c r="CX207" s="35"/>
      <c r="CY207" s="35"/>
      <c r="CZ207" s="35"/>
      <c r="DA207" s="35"/>
      <c r="DB207" s="35"/>
      <c r="DC207" s="35"/>
      <c r="DD207" s="35"/>
      <c r="DE207" s="35"/>
      <c r="DF207" s="35"/>
      <c r="DG207" s="35"/>
      <c r="DH207" s="35"/>
      <c r="DI207" s="35"/>
      <c r="DJ207" s="35"/>
      <c r="DK207" s="35"/>
      <c r="DL207" s="35"/>
      <c r="DM207" s="35"/>
      <c r="DN207" s="35"/>
      <c r="DO207" s="35"/>
      <c r="DP207" s="35"/>
      <c r="DQ207" s="35"/>
      <c r="DR207" s="35"/>
      <c r="DS207" s="35"/>
      <c r="DT207" s="35"/>
      <c r="DU207" s="35"/>
      <c r="DV207" s="35"/>
      <c r="DW207" s="35"/>
      <c r="DX207" s="35"/>
      <c r="DY207" s="35"/>
      <c r="DZ207" s="35"/>
      <c r="EA207" s="35"/>
      <c r="EB207" s="35"/>
      <c r="EC207" s="35"/>
      <c r="ED207" s="35"/>
      <c r="EE207" s="35"/>
      <c r="EF207" s="35"/>
      <c r="EG207" s="35"/>
      <c r="EH207" s="35"/>
      <c r="EI207" s="35"/>
      <c r="EJ207" s="35"/>
      <c r="EK207" s="35"/>
      <c r="EL207" s="35"/>
      <c r="EM207" s="35"/>
      <c r="EN207" s="35"/>
      <c r="EO207" s="35"/>
      <c r="EP207" s="35"/>
      <c r="EQ207" s="35"/>
      <c r="ER207" s="35"/>
      <c r="ES207" s="35"/>
      <c r="ET207" s="35"/>
      <c r="EU207" s="35"/>
      <c r="EV207" s="35"/>
      <c r="EW207" s="35"/>
      <c r="EX207" s="35"/>
      <c r="EY207" s="35"/>
      <c r="EZ207" s="35"/>
      <c r="FA207" s="35"/>
      <c r="FB207" s="35"/>
      <c r="FC207" s="35"/>
      <c r="FD207" s="35"/>
      <c r="FE207" s="35"/>
      <c r="FF207" s="35"/>
      <c r="FG207" s="35"/>
      <c r="FH207" s="35"/>
      <c r="FI207" s="35"/>
      <c r="FJ207" s="35"/>
      <c r="FK207" s="35"/>
      <c r="FL207" s="35"/>
      <c r="FM207" s="35"/>
      <c r="FN207" s="35"/>
      <c r="FO207" s="35"/>
      <c r="FP207" s="35"/>
      <c r="FQ207" s="35"/>
      <c r="FR207" s="35"/>
      <c r="FS207" s="35"/>
      <c r="FT207" s="35"/>
      <c r="FU207" s="35"/>
      <c r="FV207" s="35"/>
      <c r="FW207" s="35"/>
      <c r="FX207" s="35"/>
      <c r="FY207" s="35"/>
      <c r="FZ207" s="35"/>
      <c r="GA207" s="35"/>
      <c r="GB207" s="35"/>
      <c r="GC207" s="35"/>
      <c r="GD207" s="35"/>
      <c r="GE207" s="35"/>
      <c r="GF207" s="35"/>
      <c r="GG207" s="35"/>
      <c r="GH207" s="35"/>
      <c r="GI207" s="35"/>
      <c r="GJ207" s="35"/>
      <c r="GK207" s="35"/>
    </row>
    <row r="208" spans="1:208" ht="18.5" x14ac:dyDescent="0.45">
      <c r="A208" s="75" t="s">
        <v>1037</v>
      </c>
      <c r="B208" s="76"/>
      <c r="C208" s="76">
        <v>9847045947</v>
      </c>
      <c r="D208" s="75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>
        <v>23000</v>
      </c>
      <c r="V208" s="23">
        <f t="shared" si="15"/>
        <v>23000</v>
      </c>
      <c r="W208" s="12"/>
      <c r="X208" s="37">
        <f t="shared" si="16"/>
        <v>23000</v>
      </c>
      <c r="Y208" s="31"/>
      <c r="Z208" s="31"/>
      <c r="AA208" s="33"/>
      <c r="AB208" s="33"/>
      <c r="AC208" s="33"/>
      <c r="AD208" s="33"/>
      <c r="AE208" s="33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1"/>
      <c r="AU208" s="31"/>
      <c r="AV208" s="31"/>
      <c r="AW208" s="34"/>
      <c r="AX208" s="34"/>
      <c r="AY208" s="34"/>
      <c r="AZ208" s="31"/>
      <c r="BA208" s="31"/>
      <c r="BB208" s="31"/>
      <c r="BC208" s="31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1"/>
      <c r="CE208" s="31"/>
      <c r="CF208" s="31"/>
      <c r="CG208" s="34"/>
      <c r="CH208" s="46">
        <v>10</v>
      </c>
      <c r="CI208" s="46"/>
      <c r="CJ208" s="46"/>
      <c r="CK208" s="46"/>
      <c r="CL208" s="46"/>
      <c r="CM208" s="46"/>
      <c r="CN208" s="46"/>
      <c r="CO208" s="46"/>
      <c r="CP208" s="46"/>
      <c r="CQ208" s="46"/>
      <c r="CR208" s="46"/>
      <c r="CS208" s="35"/>
      <c r="CT208" s="35"/>
      <c r="CU208" s="35"/>
      <c r="CV208" s="35"/>
      <c r="CW208" s="35"/>
      <c r="CX208" s="35"/>
      <c r="CY208" s="35"/>
      <c r="CZ208" s="35"/>
      <c r="DA208" s="35"/>
      <c r="DB208" s="35"/>
      <c r="DC208" s="35"/>
      <c r="DD208" s="35"/>
      <c r="DE208" s="35"/>
      <c r="DF208" s="35"/>
      <c r="DG208" s="35"/>
      <c r="DH208" s="35"/>
      <c r="DI208" s="35"/>
      <c r="DJ208" s="35"/>
      <c r="DK208" s="35"/>
      <c r="DL208" s="35"/>
      <c r="DM208" s="35"/>
      <c r="DN208" s="35"/>
      <c r="DO208" s="35"/>
      <c r="DP208" s="35"/>
      <c r="DQ208" s="35"/>
      <c r="DR208" s="35"/>
      <c r="DS208" s="35"/>
      <c r="DT208" s="35"/>
      <c r="DU208" s="35"/>
      <c r="DV208" s="35"/>
      <c r="DW208" s="35"/>
      <c r="DX208" s="35"/>
      <c r="DY208" s="35"/>
      <c r="DZ208" s="35"/>
      <c r="EA208" s="35"/>
      <c r="EB208" s="35"/>
      <c r="EC208" s="35"/>
      <c r="ED208" s="35"/>
      <c r="EE208" s="35"/>
      <c r="EF208" s="35"/>
      <c r="EG208" s="35"/>
      <c r="EH208" s="35"/>
      <c r="EI208" s="35"/>
      <c r="EJ208" s="35"/>
      <c r="EK208" s="35"/>
      <c r="EL208" s="35"/>
      <c r="EM208" s="35"/>
      <c r="EN208" s="35"/>
      <c r="EO208" s="35"/>
      <c r="EP208" s="35"/>
      <c r="EQ208" s="35"/>
      <c r="ER208" s="35"/>
      <c r="ES208" s="35"/>
      <c r="ET208" s="35"/>
      <c r="EU208" s="35"/>
      <c r="EV208" s="35"/>
      <c r="EW208" s="35"/>
      <c r="EX208" s="35"/>
      <c r="EY208" s="35"/>
      <c r="EZ208" s="35"/>
      <c r="FA208" s="35"/>
      <c r="FB208" s="35"/>
      <c r="FC208" s="35"/>
      <c r="FD208" s="35"/>
      <c r="FE208" s="35"/>
      <c r="FF208" s="35"/>
      <c r="FG208" s="35"/>
      <c r="FH208" s="35"/>
      <c r="FI208" s="35"/>
      <c r="FJ208" s="35"/>
      <c r="FK208" s="35"/>
      <c r="FL208" s="35"/>
      <c r="FM208" s="35"/>
      <c r="FN208" s="35"/>
      <c r="FO208" s="35"/>
      <c r="FP208" s="35"/>
      <c r="FQ208" s="35"/>
      <c r="FR208" s="35"/>
      <c r="FS208" s="35"/>
      <c r="FT208" s="35"/>
      <c r="FU208" s="35"/>
      <c r="FV208" s="35"/>
      <c r="FW208" s="35"/>
      <c r="FX208" s="35"/>
      <c r="FY208" s="35"/>
      <c r="FZ208" s="35"/>
      <c r="GA208" s="35"/>
      <c r="GB208" s="35"/>
      <c r="GC208" s="35"/>
      <c r="GD208" s="35"/>
      <c r="GE208" s="35"/>
      <c r="GF208" s="35"/>
      <c r="GG208" s="35"/>
      <c r="GH208" s="35"/>
      <c r="GI208" s="35"/>
      <c r="GJ208" s="35"/>
      <c r="GK208" s="35"/>
    </row>
    <row r="209" spans="1:193" ht="18.5" x14ac:dyDescent="0.45">
      <c r="A209" s="75" t="s">
        <v>200</v>
      </c>
      <c r="B209" s="76"/>
      <c r="C209" s="76">
        <v>9857037480</v>
      </c>
      <c r="D209" s="75">
        <v>8270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23">
        <f t="shared" si="15"/>
        <v>8270</v>
      </c>
      <c r="W209" s="12"/>
      <c r="X209" s="37">
        <f t="shared" si="16"/>
        <v>8270</v>
      </c>
      <c r="Y209" s="31"/>
      <c r="Z209" s="31"/>
      <c r="AA209" s="33">
        <v>10</v>
      </c>
      <c r="AB209" s="33"/>
      <c r="AC209" s="33"/>
      <c r="AD209" s="33"/>
      <c r="AE209" s="33"/>
      <c r="AF209" s="34"/>
      <c r="AG209" s="34"/>
      <c r="AH209" s="34">
        <v>22</v>
      </c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1">
        <v>28</v>
      </c>
      <c r="AU209" s="31"/>
      <c r="AV209" s="31"/>
      <c r="AW209" s="34"/>
      <c r="AX209" s="34"/>
      <c r="AY209" s="34"/>
      <c r="AZ209" s="31"/>
      <c r="BA209" s="31"/>
      <c r="BB209" s="31"/>
      <c r="BC209" s="31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 t="s">
        <v>4</v>
      </c>
      <c r="BX209" s="34">
        <v>27</v>
      </c>
      <c r="BY209" s="34"/>
      <c r="BZ209" s="34"/>
      <c r="CA209" s="34"/>
      <c r="CB209" s="34"/>
      <c r="CC209" s="34"/>
      <c r="CD209" s="31"/>
      <c r="CE209" s="31"/>
      <c r="CF209" s="31"/>
      <c r="CG209" s="31"/>
      <c r="CH209" s="46">
        <v>10</v>
      </c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35"/>
      <c r="CT209" s="35"/>
      <c r="CU209" s="35"/>
      <c r="CV209" s="35"/>
      <c r="CW209" s="35"/>
      <c r="CX209" s="35"/>
      <c r="CY209" s="35"/>
      <c r="CZ209" s="35"/>
      <c r="DA209" s="35"/>
      <c r="DB209" s="35"/>
      <c r="DC209" s="35"/>
      <c r="DD209" s="35"/>
      <c r="DE209" s="35"/>
      <c r="DF209" s="35"/>
      <c r="DG209" s="35"/>
      <c r="DH209" s="35"/>
      <c r="DI209" s="35"/>
      <c r="DJ209" s="35"/>
      <c r="DK209" s="35"/>
      <c r="DL209" s="35"/>
      <c r="DM209" s="35"/>
      <c r="DN209" s="35"/>
      <c r="DO209" s="35"/>
      <c r="DP209" s="35"/>
      <c r="DQ209" s="35"/>
      <c r="DR209" s="35"/>
      <c r="DS209" s="35"/>
      <c r="DT209" s="35"/>
      <c r="DU209" s="35"/>
      <c r="DV209" s="35"/>
      <c r="DW209" s="35"/>
      <c r="DX209" s="35"/>
      <c r="DY209" s="35"/>
      <c r="DZ209" s="35"/>
      <c r="EA209" s="35"/>
      <c r="EB209" s="35"/>
      <c r="EC209" s="35"/>
      <c r="ED209" s="35"/>
      <c r="EE209" s="35"/>
      <c r="EF209" s="35"/>
      <c r="EG209" s="35"/>
      <c r="EH209" s="35"/>
      <c r="EI209" s="35"/>
      <c r="EJ209" s="35"/>
      <c r="EK209" s="35"/>
      <c r="EL209" s="35"/>
      <c r="EM209" s="35"/>
      <c r="EN209" s="35"/>
      <c r="EO209" s="35"/>
      <c r="EP209" s="35"/>
      <c r="EQ209" s="35"/>
      <c r="ER209" s="35"/>
      <c r="ES209" s="35"/>
      <c r="ET209" s="35"/>
      <c r="EU209" s="35"/>
      <c r="EV209" s="35"/>
      <c r="EW209" s="35"/>
      <c r="EX209" s="35"/>
      <c r="EY209" s="35"/>
      <c r="EZ209" s="35"/>
      <c r="FA209" s="35"/>
      <c r="FB209" s="35"/>
      <c r="FC209" s="35"/>
      <c r="FD209" s="35"/>
      <c r="FE209" s="35"/>
      <c r="FF209" s="35"/>
      <c r="FG209" s="35"/>
      <c r="FH209" s="35"/>
      <c r="FI209" s="35"/>
      <c r="FJ209" s="35"/>
      <c r="FK209" s="35"/>
      <c r="FL209" s="35"/>
      <c r="FM209" s="35"/>
      <c r="FN209" s="35"/>
      <c r="FO209" s="35"/>
      <c r="FP209" s="35"/>
      <c r="FQ209" s="35"/>
      <c r="FR209" s="35"/>
      <c r="FS209" s="35"/>
      <c r="FT209" s="35"/>
      <c r="FU209" s="35"/>
      <c r="FV209" s="35"/>
      <c r="FW209" s="35"/>
      <c r="FX209" s="35"/>
      <c r="FY209" s="35"/>
      <c r="FZ209" s="35"/>
      <c r="GA209" s="35"/>
      <c r="GB209" s="35"/>
      <c r="GC209" s="35"/>
      <c r="GD209" s="35"/>
      <c r="GE209" s="35"/>
      <c r="GF209" s="35"/>
      <c r="GG209" s="35"/>
      <c r="GH209" s="35"/>
      <c r="GI209" s="35"/>
      <c r="GJ209" s="35"/>
      <c r="GK209" s="35"/>
    </row>
    <row r="210" spans="1:193" ht="18.5" x14ac:dyDescent="0.45">
      <c r="A210" s="75" t="s">
        <v>268</v>
      </c>
      <c r="B210" s="76"/>
      <c r="C210" s="76">
        <v>9857060900</v>
      </c>
      <c r="D210" s="75">
        <v>37000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23">
        <f t="shared" si="15"/>
        <v>37000</v>
      </c>
      <c r="W210" s="12"/>
      <c r="X210" s="12">
        <f t="shared" si="16"/>
        <v>37000</v>
      </c>
      <c r="BD210" s="31"/>
      <c r="BE210" s="31" t="s">
        <v>969</v>
      </c>
      <c r="BF210" s="31" t="s">
        <v>969</v>
      </c>
      <c r="BG210" s="31" t="s">
        <v>969</v>
      </c>
      <c r="BH210" s="31" t="s">
        <v>969</v>
      </c>
      <c r="BI210" s="31"/>
      <c r="BJ210" s="31" t="s">
        <v>969</v>
      </c>
      <c r="BK210" s="31" t="s">
        <v>969</v>
      </c>
      <c r="BL210" s="31" t="s">
        <v>969</v>
      </c>
      <c r="BM210" s="31" t="s">
        <v>969</v>
      </c>
      <c r="BN210" s="31" t="s">
        <v>969</v>
      </c>
      <c r="BO210" s="31" t="s">
        <v>969</v>
      </c>
      <c r="BP210" s="31"/>
      <c r="BQ210" s="31" t="s">
        <v>969</v>
      </c>
      <c r="BR210" s="31" t="s">
        <v>969</v>
      </c>
      <c r="BS210" s="31" t="s">
        <v>969</v>
      </c>
      <c r="BT210" s="31" t="s">
        <v>969</v>
      </c>
      <c r="BU210" s="31"/>
      <c r="BV210" s="31" t="s">
        <v>969</v>
      </c>
      <c r="BW210" s="31"/>
      <c r="BX210" s="31" t="s">
        <v>969</v>
      </c>
      <c r="BY210" s="31" t="s">
        <v>969</v>
      </c>
      <c r="BZ210" s="31" t="s">
        <v>969</v>
      </c>
      <c r="CA210" s="31" t="s">
        <v>969</v>
      </c>
      <c r="CB210" s="31" t="s">
        <v>969</v>
      </c>
      <c r="CC210" s="31" t="s">
        <v>969</v>
      </c>
      <c r="CD210" s="31"/>
      <c r="CE210" s="31" t="s">
        <v>969</v>
      </c>
      <c r="CF210" s="31" t="s">
        <v>969</v>
      </c>
      <c r="CG210" s="31" t="s">
        <v>969</v>
      </c>
      <c r="CH210" s="34" t="s">
        <v>969</v>
      </c>
      <c r="CI210" s="31"/>
      <c r="CJ210" s="31" t="s">
        <v>969</v>
      </c>
      <c r="CK210" s="31"/>
      <c r="CL210" s="31"/>
      <c r="CM210" s="35"/>
      <c r="CN210" s="35"/>
      <c r="CO210" s="35"/>
      <c r="CP210" s="35"/>
      <c r="CQ210" s="35"/>
      <c r="CR210" s="35"/>
      <c r="CS210" s="35"/>
      <c r="CT210" s="35"/>
      <c r="CU210" s="35"/>
      <c r="CV210" s="35"/>
      <c r="CW210" s="35"/>
      <c r="CX210" s="35"/>
      <c r="CY210" s="35"/>
      <c r="CZ210" s="35"/>
      <c r="DA210" s="35"/>
      <c r="DB210" s="35"/>
      <c r="DC210" s="35"/>
      <c r="DD210" s="35"/>
      <c r="DE210" s="35"/>
      <c r="DF210" s="35"/>
      <c r="DG210" s="35"/>
      <c r="DH210" s="35"/>
      <c r="DI210" s="35"/>
      <c r="DJ210" s="35"/>
      <c r="DK210" s="35"/>
      <c r="DL210" s="35"/>
      <c r="DM210" s="35"/>
      <c r="DN210" s="35"/>
      <c r="DO210" s="35"/>
      <c r="DP210" s="35"/>
      <c r="DQ210" s="35"/>
      <c r="DR210" s="35"/>
      <c r="DS210" s="35"/>
      <c r="DT210" s="35"/>
      <c r="DU210" s="35"/>
      <c r="DV210" s="35"/>
      <c r="DW210" s="35"/>
      <c r="DX210" s="35"/>
      <c r="DY210" s="35"/>
      <c r="DZ210" s="35"/>
      <c r="EA210" s="35"/>
      <c r="EB210" s="35"/>
      <c r="EC210" s="35"/>
      <c r="ED210" s="35"/>
      <c r="EE210" s="35"/>
      <c r="EF210" s="35"/>
      <c r="EG210" s="35"/>
      <c r="EH210" s="35"/>
      <c r="EI210" s="35"/>
      <c r="EJ210" s="35"/>
      <c r="EK210" s="35"/>
      <c r="EL210" s="35"/>
      <c r="EM210" s="35"/>
      <c r="EN210" s="35"/>
      <c r="EO210" s="35"/>
      <c r="EP210" s="35"/>
      <c r="EQ210" s="35"/>
      <c r="ER210" s="35"/>
      <c r="ES210" s="35"/>
      <c r="ET210" s="35"/>
      <c r="EU210" s="35"/>
      <c r="EV210" s="35"/>
      <c r="EW210" s="35"/>
      <c r="EX210" s="35"/>
      <c r="EY210" s="35"/>
      <c r="EZ210" s="35"/>
      <c r="FA210" s="35"/>
      <c r="FB210" s="35"/>
      <c r="FC210" s="35"/>
      <c r="FD210" s="35"/>
      <c r="FE210" s="35"/>
      <c r="FF210" s="35"/>
      <c r="FG210" s="35"/>
      <c r="FH210" s="35"/>
      <c r="FI210" s="35"/>
      <c r="FJ210" s="35"/>
      <c r="FK210" s="35"/>
      <c r="FL210" s="35"/>
      <c r="FM210" s="35"/>
      <c r="FN210" s="35"/>
      <c r="FO210" s="35"/>
      <c r="FP210" s="35"/>
      <c r="FQ210" s="35"/>
      <c r="FR210" s="35"/>
      <c r="FS210" s="35"/>
      <c r="FT210" s="35"/>
      <c r="FU210" s="35"/>
      <c r="FV210" s="35"/>
      <c r="FW210" s="35"/>
      <c r="FX210" s="35"/>
      <c r="FY210" s="35"/>
      <c r="FZ210" s="35"/>
      <c r="GA210" s="35"/>
      <c r="GB210" s="35"/>
      <c r="GC210" s="35"/>
      <c r="GD210" s="35"/>
      <c r="GE210" s="35"/>
      <c r="GF210" s="35"/>
      <c r="GG210" s="35"/>
      <c r="GH210" s="35"/>
      <c r="GI210" s="35"/>
      <c r="GJ210" s="35"/>
      <c r="GK210" s="35"/>
    </row>
    <row r="211" spans="1:193" x14ac:dyDescent="0.35">
      <c r="A211" s="12" t="s">
        <v>169</v>
      </c>
      <c r="B211" s="3"/>
      <c r="C211" s="71">
        <v>9857030277</v>
      </c>
      <c r="D211" s="72">
        <v>0</v>
      </c>
      <c r="E211" s="14">
        <v>67000</v>
      </c>
      <c r="F211" s="12"/>
      <c r="G211" s="12"/>
      <c r="H211" s="12">
        <f>78000+78000</f>
        <v>156000</v>
      </c>
      <c r="I211" s="12"/>
      <c r="J211" s="12"/>
      <c r="K211" s="12"/>
      <c r="L211" s="12"/>
      <c r="M211" s="12">
        <v>156000</v>
      </c>
      <c r="N211" s="12"/>
      <c r="O211" s="12">
        <v>40500</v>
      </c>
      <c r="P211" s="12"/>
      <c r="Q211" s="12"/>
      <c r="R211" s="12"/>
      <c r="S211" s="12"/>
      <c r="T211" s="12"/>
      <c r="U211" s="12"/>
      <c r="V211" s="23">
        <f t="shared" si="15"/>
        <v>419500</v>
      </c>
      <c r="W211" s="12">
        <f>AK211+46000+100000+100000</f>
        <v>266000</v>
      </c>
      <c r="X211" s="12">
        <f t="shared" si="16"/>
        <v>153500</v>
      </c>
      <c r="Y211" s="34"/>
      <c r="Z211" s="34"/>
      <c r="AA211" s="33"/>
      <c r="AB211" s="33"/>
      <c r="AC211" s="33"/>
      <c r="AD211" s="33"/>
      <c r="AE211" s="33"/>
      <c r="AF211" s="34"/>
      <c r="AG211" s="34"/>
      <c r="AH211" s="34">
        <v>15</v>
      </c>
      <c r="AI211" s="34"/>
      <c r="AJ211" s="34"/>
      <c r="AK211" s="1">
        <v>20000</v>
      </c>
      <c r="AL211" s="34"/>
      <c r="AM211" s="1">
        <v>46000</v>
      </c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1">
        <v>30</v>
      </c>
      <c r="BA211" s="31"/>
      <c r="BB211" s="31"/>
      <c r="BC211" s="31" t="s">
        <v>793</v>
      </c>
      <c r="BD211" s="31" t="s">
        <v>828</v>
      </c>
      <c r="BE211" s="1">
        <v>100000</v>
      </c>
      <c r="BF211" s="34"/>
      <c r="BG211" s="34"/>
      <c r="BH211" s="34"/>
      <c r="BI211" s="34"/>
      <c r="BJ211" s="34"/>
      <c r="BK211" s="34"/>
      <c r="BL211" s="34"/>
      <c r="BM211" s="62">
        <v>100000</v>
      </c>
      <c r="BN211" s="34"/>
      <c r="BO211" s="34"/>
      <c r="BP211" s="34"/>
      <c r="BQ211" s="34"/>
      <c r="BR211" s="34">
        <v>18</v>
      </c>
      <c r="BS211" s="34"/>
      <c r="BT211" s="34"/>
      <c r="BU211" s="31"/>
      <c r="BV211" s="31"/>
      <c r="BW211" s="31"/>
      <c r="BX211" s="34">
        <v>27</v>
      </c>
      <c r="BY211" s="34"/>
      <c r="BZ211" s="34"/>
      <c r="CA211" s="34"/>
      <c r="CB211" s="34"/>
      <c r="CC211" s="34"/>
      <c r="CD211" s="31"/>
      <c r="CE211" s="31"/>
      <c r="CF211" s="31"/>
      <c r="CG211" s="34"/>
      <c r="CH211" s="46">
        <v>2</v>
      </c>
      <c r="CI211" s="46"/>
      <c r="CJ211" s="46" t="s">
        <v>793</v>
      </c>
      <c r="CK211" s="31"/>
      <c r="CL211" s="31"/>
      <c r="CM211" s="35"/>
      <c r="CN211" s="35"/>
      <c r="CO211" s="35"/>
      <c r="CP211" s="35"/>
      <c r="CQ211" s="35"/>
      <c r="CR211" s="35"/>
      <c r="CS211" s="35"/>
      <c r="CT211" s="35"/>
      <c r="CU211" s="35"/>
      <c r="CV211" s="35"/>
      <c r="CW211" s="35"/>
      <c r="CX211" s="35"/>
      <c r="CY211" s="35"/>
      <c r="CZ211" s="35"/>
      <c r="DA211" s="35"/>
      <c r="DB211" s="35"/>
      <c r="DC211" s="35"/>
      <c r="DD211" s="35"/>
      <c r="DE211" s="35"/>
      <c r="DF211" s="35"/>
      <c r="DG211" s="35"/>
      <c r="DH211" s="35"/>
      <c r="DI211" s="35"/>
      <c r="DJ211" s="35"/>
      <c r="DK211" s="35"/>
      <c r="DL211" s="35"/>
      <c r="DM211" s="35"/>
      <c r="DN211" s="35"/>
      <c r="DO211" s="35"/>
      <c r="DP211" s="35"/>
      <c r="DQ211" s="35"/>
      <c r="DR211" s="35"/>
      <c r="DS211" s="35"/>
      <c r="DT211" s="35"/>
      <c r="DU211" s="35"/>
      <c r="DV211" s="35"/>
      <c r="DW211" s="35"/>
      <c r="DX211" s="35"/>
      <c r="DY211" s="35"/>
      <c r="DZ211" s="35"/>
      <c r="EA211" s="35"/>
      <c r="EB211" s="35"/>
      <c r="EC211" s="35"/>
      <c r="ED211" s="35"/>
      <c r="EE211" s="35"/>
      <c r="EF211" s="35"/>
      <c r="EG211" s="35"/>
      <c r="EH211" s="35"/>
      <c r="EI211" s="35"/>
      <c r="EJ211" s="35"/>
      <c r="EK211" s="35"/>
      <c r="EL211" s="35"/>
      <c r="EM211" s="35"/>
      <c r="EN211" s="35"/>
      <c r="EO211" s="35"/>
      <c r="EP211" s="35"/>
      <c r="EQ211" s="35"/>
      <c r="ER211" s="35"/>
      <c r="ES211" s="35"/>
      <c r="ET211" s="35"/>
      <c r="EU211" s="35"/>
      <c r="EV211" s="35"/>
      <c r="EW211" s="35"/>
      <c r="EX211" s="35"/>
      <c r="EY211" s="35"/>
      <c r="EZ211" s="35"/>
      <c r="FA211" s="35"/>
      <c r="FB211" s="35"/>
      <c r="FC211" s="35"/>
      <c r="FD211" s="35"/>
      <c r="FE211" s="35"/>
      <c r="FF211" s="35"/>
      <c r="FG211" s="35"/>
      <c r="FH211" s="35"/>
      <c r="FI211" s="35"/>
      <c r="FJ211" s="35"/>
      <c r="FK211" s="35"/>
      <c r="FL211" s="35"/>
      <c r="FM211" s="35"/>
      <c r="FN211" s="35"/>
      <c r="FO211" s="35"/>
      <c r="FP211" s="35"/>
      <c r="FQ211" s="35"/>
      <c r="FR211" s="35"/>
      <c r="FS211" s="35"/>
      <c r="FT211" s="35"/>
      <c r="FU211" s="35"/>
      <c r="FV211" s="35"/>
      <c r="FW211" s="35"/>
      <c r="FX211" s="35"/>
      <c r="FY211" s="35"/>
      <c r="FZ211" s="35"/>
      <c r="GA211" s="35"/>
      <c r="GB211" s="35"/>
      <c r="GC211" s="35"/>
      <c r="GD211" s="35"/>
      <c r="GE211" s="35"/>
      <c r="GF211" s="35"/>
      <c r="GG211" s="35"/>
      <c r="GH211" s="35"/>
      <c r="GI211" s="35"/>
      <c r="GJ211" s="35"/>
      <c r="GK211" s="35"/>
    </row>
    <row r="212" spans="1:193" ht="18.5" x14ac:dyDescent="0.45">
      <c r="A212" s="75" t="s">
        <v>201</v>
      </c>
      <c r="B212" s="76"/>
      <c r="C212" s="76">
        <v>9841784572</v>
      </c>
      <c r="D212" s="75">
        <v>40000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23">
        <f t="shared" si="15"/>
        <v>40000</v>
      </c>
      <c r="W212" s="12">
        <f>BZ212</f>
        <v>5000</v>
      </c>
      <c r="X212" s="12">
        <f t="shared" si="16"/>
        <v>35000</v>
      </c>
      <c r="Y212" s="31"/>
      <c r="Z212" s="34"/>
      <c r="AA212" s="33">
        <v>5</v>
      </c>
      <c r="AB212" s="33">
        <v>8</v>
      </c>
      <c r="AC212" s="33"/>
      <c r="AD212" s="33"/>
      <c r="AE212" s="33"/>
      <c r="AF212" s="34" t="s">
        <v>827</v>
      </c>
      <c r="AG212" s="34"/>
      <c r="AH212" s="34"/>
      <c r="AI212" s="34"/>
      <c r="AJ212" s="34"/>
      <c r="AK212" s="34"/>
      <c r="AL212" s="34"/>
      <c r="AM212" s="34"/>
      <c r="AN212" s="34"/>
      <c r="AO212" s="34">
        <v>21</v>
      </c>
      <c r="AP212" s="34"/>
      <c r="AQ212" s="34"/>
      <c r="AR212" s="34"/>
      <c r="AS212" s="34" t="s">
        <v>885</v>
      </c>
      <c r="AT212" s="34"/>
      <c r="AU212" s="34"/>
      <c r="AV212" s="31">
        <v>27</v>
      </c>
      <c r="AW212" s="31"/>
      <c r="AX212" s="31"/>
      <c r="AY212" s="34">
        <v>29</v>
      </c>
      <c r="AZ212" s="34"/>
      <c r="BA212" s="31" t="s">
        <v>793</v>
      </c>
      <c r="BB212" s="31"/>
      <c r="BC212" s="31">
        <v>3</v>
      </c>
      <c r="BD212" s="34">
        <v>3</v>
      </c>
      <c r="BE212" s="34"/>
      <c r="BF212" s="34">
        <v>6</v>
      </c>
      <c r="BG212" s="34"/>
      <c r="BH212" s="34"/>
      <c r="BI212" s="34" t="s">
        <v>4</v>
      </c>
      <c r="BJ212" s="34">
        <v>10</v>
      </c>
      <c r="BK212" s="34"/>
      <c r="BL212" s="34"/>
      <c r="BM212" s="31" t="s">
        <v>793</v>
      </c>
      <c r="BN212" s="31" t="s">
        <v>794</v>
      </c>
      <c r="BO212" s="31" t="s">
        <v>793</v>
      </c>
      <c r="BP212" s="34"/>
      <c r="BQ212" s="34">
        <v>16</v>
      </c>
      <c r="BR212" s="34"/>
      <c r="BS212" s="34"/>
      <c r="BT212" s="31">
        <v>19</v>
      </c>
      <c r="BU212" s="31"/>
      <c r="BV212" s="31" t="s">
        <v>4</v>
      </c>
      <c r="BW212" s="31"/>
      <c r="BX212" s="31">
        <v>22</v>
      </c>
      <c r="BY212" s="31" t="s">
        <v>807</v>
      </c>
      <c r="BZ212" s="62">
        <v>5000</v>
      </c>
      <c r="CA212" s="31"/>
      <c r="CB212" s="31"/>
      <c r="CC212" s="31"/>
      <c r="CD212" s="31"/>
      <c r="CE212" s="31">
        <v>31</v>
      </c>
      <c r="CF212" s="31"/>
      <c r="CG212" s="31"/>
      <c r="CH212" s="46">
        <v>4</v>
      </c>
      <c r="CI212" s="46"/>
      <c r="CJ212" s="46"/>
      <c r="CK212" s="46"/>
      <c r="CL212" s="46"/>
    </row>
    <row r="213" spans="1:193" x14ac:dyDescent="0.35">
      <c r="A213" s="12" t="s">
        <v>171</v>
      </c>
      <c r="B213" s="3"/>
      <c r="C213" s="18">
        <v>9857030401</v>
      </c>
      <c r="D213" s="12"/>
      <c r="E213" s="12"/>
      <c r="F213" s="12"/>
      <c r="G213" s="14"/>
      <c r="H213" s="14"/>
      <c r="I213" s="14"/>
      <c r="J213" s="12"/>
      <c r="K213" s="12"/>
      <c r="L213" s="12"/>
      <c r="M213" s="12">
        <v>15500</v>
      </c>
      <c r="N213" s="12"/>
      <c r="O213" s="12"/>
      <c r="P213" s="12"/>
      <c r="Q213" s="12"/>
      <c r="R213" s="12"/>
      <c r="S213" s="12"/>
      <c r="T213" s="12"/>
      <c r="U213" s="12"/>
      <c r="V213" s="23">
        <f t="shared" si="15"/>
        <v>15500</v>
      </c>
      <c r="W213" s="12"/>
      <c r="X213" s="12">
        <f t="shared" si="16"/>
        <v>15500</v>
      </c>
      <c r="Y213" s="34"/>
      <c r="Z213" s="34"/>
      <c r="AA213" s="33"/>
      <c r="AB213" s="33"/>
      <c r="AC213" s="33"/>
      <c r="AD213" s="33"/>
      <c r="AE213" s="33"/>
      <c r="AF213" s="34"/>
      <c r="AG213" s="34"/>
      <c r="AH213" s="34"/>
      <c r="AI213" s="34"/>
      <c r="AJ213" s="1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1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>
        <v>19</v>
      </c>
      <c r="BS213" s="34"/>
      <c r="BT213" s="34"/>
      <c r="BU213" s="34"/>
      <c r="BV213" s="31"/>
      <c r="BW213" s="31"/>
      <c r="BX213" s="34">
        <v>23</v>
      </c>
      <c r="BY213" s="34"/>
      <c r="BZ213" s="31" t="s">
        <v>793</v>
      </c>
      <c r="CA213" s="31">
        <v>26</v>
      </c>
      <c r="CB213" s="31"/>
      <c r="CC213" s="31">
        <v>28</v>
      </c>
      <c r="CD213" s="31"/>
      <c r="CE213" s="31" t="s">
        <v>793</v>
      </c>
      <c r="CF213" s="31"/>
      <c r="CG213" s="34"/>
      <c r="CH213" s="46">
        <v>2</v>
      </c>
      <c r="CI213" s="46"/>
      <c r="CJ213" s="46">
        <v>4</v>
      </c>
      <c r="CK213" s="46"/>
      <c r="CL213" s="46"/>
    </row>
    <row r="214" spans="1:193" s="62" customFormat="1" ht="18.5" x14ac:dyDescent="0.45">
      <c r="A214" s="75" t="s">
        <v>202</v>
      </c>
      <c r="B214" s="76"/>
      <c r="C214" s="76">
        <v>9847840110</v>
      </c>
      <c r="D214" s="75">
        <v>154912</v>
      </c>
      <c r="E214" s="12"/>
      <c r="F214" s="12"/>
      <c r="G214" s="14">
        <v>84400</v>
      </c>
      <c r="H214" s="14"/>
      <c r="I214" s="14">
        <v>246700</v>
      </c>
      <c r="J214" s="12"/>
      <c r="K214" s="12"/>
      <c r="L214" s="12"/>
      <c r="M214" s="12"/>
      <c r="N214" s="12">
        <v>174800</v>
      </c>
      <c r="O214" s="12">
        <v>54600</v>
      </c>
      <c r="P214" s="12"/>
      <c r="Q214" s="12"/>
      <c r="R214" s="12"/>
      <c r="S214" s="12">
        <v>81640</v>
      </c>
      <c r="T214" s="12"/>
      <c r="U214" s="12">
        <v>125000</v>
      </c>
      <c r="V214" s="23">
        <f t="shared" si="15"/>
        <v>922052</v>
      </c>
      <c r="W214" s="12">
        <f>AD214+50000+60000+50000+200000+50000</f>
        <v>460000</v>
      </c>
      <c r="X214" s="37">
        <f t="shared" si="16"/>
        <v>462052</v>
      </c>
      <c r="Y214" s="12">
        <v>4</v>
      </c>
      <c r="Z214" s="34"/>
      <c r="AA214" s="33"/>
      <c r="AB214" s="33">
        <v>5</v>
      </c>
      <c r="AC214" s="33">
        <v>8</v>
      </c>
      <c r="AD214" s="1">
        <v>50000</v>
      </c>
      <c r="AE214" s="1"/>
      <c r="AF214" s="31" t="s">
        <v>828</v>
      </c>
      <c r="AG214" s="34"/>
      <c r="AH214" s="34"/>
      <c r="AI214" s="34"/>
      <c r="AJ214" s="34">
        <v>15</v>
      </c>
      <c r="AK214" s="34"/>
      <c r="AL214" s="34"/>
      <c r="AM214" s="34">
        <v>19</v>
      </c>
      <c r="AN214" s="34"/>
      <c r="AO214" s="34"/>
      <c r="AP214" s="34"/>
      <c r="AQ214" s="31">
        <v>21</v>
      </c>
      <c r="AR214" s="31"/>
      <c r="AS214" s="31">
        <v>24</v>
      </c>
      <c r="AT214" s="31"/>
      <c r="AU214" s="31"/>
      <c r="AV214" s="31">
        <v>27</v>
      </c>
      <c r="AW214" s="31"/>
      <c r="AX214" s="62">
        <v>50000</v>
      </c>
      <c r="AY214" s="34">
        <v>31</v>
      </c>
      <c r="AZ214" s="34"/>
      <c r="BA214" s="34"/>
      <c r="BB214" s="34"/>
      <c r="BC214" s="34"/>
      <c r="BD214" s="34">
        <v>5</v>
      </c>
      <c r="BE214" s="34"/>
      <c r="BF214" s="34"/>
      <c r="BG214" s="1">
        <v>60000</v>
      </c>
      <c r="BH214" s="34"/>
      <c r="BI214" s="34"/>
      <c r="BJ214" s="34"/>
      <c r="BK214" s="34"/>
      <c r="BL214" s="1">
        <v>50000</v>
      </c>
      <c r="BM214" s="34"/>
      <c r="BN214" s="34"/>
      <c r="BO214" s="34"/>
      <c r="BP214" s="34"/>
      <c r="BQ214" s="34"/>
      <c r="BR214" s="31"/>
      <c r="BS214" s="1">
        <v>200000</v>
      </c>
      <c r="BT214" s="31"/>
      <c r="BU214" s="31"/>
      <c r="BV214" s="31"/>
      <c r="BW214" s="31"/>
      <c r="BX214" s="34"/>
      <c r="BY214" s="34"/>
      <c r="BZ214" s="62">
        <v>50000</v>
      </c>
      <c r="CA214" s="34"/>
      <c r="CB214" s="31"/>
      <c r="CC214" s="31"/>
      <c r="CD214" s="31"/>
      <c r="CE214" s="31">
        <v>30</v>
      </c>
      <c r="CF214" s="31"/>
      <c r="CG214" s="34"/>
      <c r="CH214" s="46">
        <v>5</v>
      </c>
      <c r="CI214" s="46"/>
      <c r="CJ214" s="46"/>
      <c r="CK214" s="46"/>
      <c r="CL214" s="46"/>
      <c r="CM214" s="46"/>
      <c r="CN214" s="35"/>
      <c r="CO214" s="35"/>
      <c r="CP214" s="35"/>
      <c r="CQ214" s="35"/>
      <c r="CR214" s="35"/>
      <c r="CS214" s="35"/>
      <c r="CT214" s="35"/>
      <c r="CU214" s="35"/>
      <c r="CV214" s="35"/>
      <c r="CW214" s="35"/>
      <c r="FA214" s="35"/>
      <c r="FB214" s="35"/>
      <c r="FC214" s="35"/>
      <c r="FD214" s="35"/>
      <c r="FE214" s="35"/>
      <c r="FF214" s="35"/>
      <c r="FG214" s="35"/>
      <c r="FH214" s="35"/>
      <c r="FI214" s="35"/>
      <c r="FJ214" s="35"/>
    </row>
    <row r="215" spans="1:193" x14ac:dyDescent="0.35">
      <c r="A215" s="12" t="s">
        <v>172</v>
      </c>
      <c r="B215" s="18"/>
      <c r="C215" s="18">
        <v>985720831</v>
      </c>
      <c r="D215" s="12">
        <v>23104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23">
        <f t="shared" si="15"/>
        <v>23104</v>
      </c>
      <c r="W215" s="12"/>
      <c r="X215" s="12">
        <f t="shared" si="16"/>
        <v>23104</v>
      </c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1" t="s">
        <v>796</v>
      </c>
      <c r="AZ215" s="31" t="s">
        <v>796</v>
      </c>
      <c r="BA215" s="31" t="s">
        <v>796</v>
      </c>
      <c r="BB215" s="31"/>
      <c r="BC215" s="31" t="s">
        <v>796</v>
      </c>
      <c r="BD215" s="31"/>
      <c r="BE215" s="31"/>
      <c r="BF215" s="31" t="s">
        <v>796</v>
      </c>
      <c r="BG215" s="31" t="s">
        <v>796</v>
      </c>
      <c r="BH215" s="31" t="s">
        <v>796</v>
      </c>
      <c r="BI215" s="31"/>
      <c r="BJ215" s="31" t="s">
        <v>796</v>
      </c>
      <c r="BK215" s="31" t="s">
        <v>796</v>
      </c>
      <c r="BL215" s="31" t="s">
        <v>796</v>
      </c>
      <c r="BM215" s="31" t="s">
        <v>796</v>
      </c>
      <c r="BN215" s="31" t="s">
        <v>796</v>
      </c>
      <c r="BO215" s="31" t="s">
        <v>796</v>
      </c>
      <c r="BP215" s="31"/>
      <c r="BQ215" s="31" t="s">
        <v>796</v>
      </c>
      <c r="BR215" s="31" t="s">
        <v>796</v>
      </c>
      <c r="BS215" s="31" t="s">
        <v>796</v>
      </c>
      <c r="BT215" s="31" t="s">
        <v>796</v>
      </c>
      <c r="BU215" s="31" t="s">
        <v>796</v>
      </c>
      <c r="BV215" s="31"/>
      <c r="BW215" s="31"/>
      <c r="BX215" s="31" t="s">
        <v>796</v>
      </c>
      <c r="BY215" s="31" t="s">
        <v>796</v>
      </c>
      <c r="BZ215" s="31" t="s">
        <v>796</v>
      </c>
      <c r="CA215" s="31" t="s">
        <v>796</v>
      </c>
      <c r="CB215" s="31" t="s">
        <v>796</v>
      </c>
      <c r="CC215" s="31" t="s">
        <v>796</v>
      </c>
      <c r="CD215" s="31"/>
      <c r="CE215" s="31" t="s">
        <v>796</v>
      </c>
      <c r="CF215" s="31" t="s">
        <v>796</v>
      </c>
      <c r="CG215" s="31" t="s">
        <v>796</v>
      </c>
      <c r="CH215" s="34" t="s">
        <v>796</v>
      </c>
      <c r="CI215" s="31"/>
      <c r="CJ215" s="31" t="s">
        <v>796</v>
      </c>
      <c r="CK215" s="31"/>
      <c r="CL215" s="31"/>
      <c r="CN215" s="35"/>
      <c r="CO215" s="35"/>
      <c r="CP215" s="35"/>
      <c r="CQ215" s="35"/>
      <c r="CR215" s="35"/>
      <c r="CS215" s="35"/>
      <c r="CT215" s="35"/>
      <c r="CU215" s="35"/>
      <c r="CV215" s="35"/>
      <c r="CW215" s="35"/>
    </row>
    <row r="216" spans="1:193" s="62" customFormat="1" x14ac:dyDescent="0.35">
      <c r="A216" s="12" t="s">
        <v>155</v>
      </c>
      <c r="B216" s="3"/>
      <c r="C216" s="18">
        <v>9857034280</v>
      </c>
      <c r="D216" s="12">
        <v>133850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>
        <v>17000</v>
      </c>
      <c r="S216" s="12"/>
      <c r="T216" s="12"/>
      <c r="U216" s="12"/>
      <c r="V216" s="23">
        <f t="shared" si="15"/>
        <v>150850</v>
      </c>
      <c r="W216" s="12"/>
      <c r="X216" s="23">
        <f t="shared" si="16"/>
        <v>150850</v>
      </c>
      <c r="Y216" s="12">
        <v>10</v>
      </c>
      <c r="Z216" s="34"/>
      <c r="AA216" s="34"/>
      <c r="AB216" s="34"/>
      <c r="AC216" s="34"/>
      <c r="AD216" s="34"/>
      <c r="AE216" s="34"/>
      <c r="AF216" s="34"/>
      <c r="AG216" s="34"/>
      <c r="AH216" s="34">
        <v>16</v>
      </c>
      <c r="AI216" s="34"/>
      <c r="AJ216" s="34"/>
      <c r="AK216" s="34"/>
      <c r="AL216" s="34"/>
      <c r="AM216" s="34"/>
      <c r="AN216" s="31" t="s">
        <v>4</v>
      </c>
      <c r="AO216" s="34">
        <v>23</v>
      </c>
      <c r="AP216" s="34"/>
      <c r="AQ216" s="34"/>
      <c r="AR216" s="34"/>
      <c r="AS216" s="34"/>
      <c r="AT216" s="34">
        <v>30</v>
      </c>
      <c r="AU216" s="31"/>
      <c r="AV216" s="31"/>
      <c r="AW216" s="34"/>
      <c r="AX216" s="34"/>
      <c r="AY216" s="34"/>
      <c r="AZ216" s="34"/>
      <c r="BA216" s="34"/>
      <c r="BB216" s="34"/>
      <c r="BC216" s="31">
        <v>5</v>
      </c>
      <c r="BD216" s="34">
        <v>5</v>
      </c>
      <c r="BE216" s="34"/>
      <c r="BF216" s="34"/>
      <c r="BG216" s="34"/>
      <c r="BH216" s="34">
        <v>10</v>
      </c>
      <c r="BI216" s="34"/>
      <c r="BJ216" s="34"/>
      <c r="BK216" s="34"/>
      <c r="BL216" s="34"/>
      <c r="BM216" s="31">
        <v>18</v>
      </c>
      <c r="BN216" s="31"/>
      <c r="BO216" s="31"/>
      <c r="BP216" s="34"/>
      <c r="BQ216" s="34"/>
      <c r="BR216" s="34"/>
      <c r="BS216" s="34"/>
      <c r="BT216" s="34"/>
      <c r="BU216" s="31">
        <v>25</v>
      </c>
      <c r="BV216" s="31"/>
      <c r="BW216" s="31"/>
      <c r="BX216" s="34"/>
      <c r="BY216" s="34"/>
      <c r="BZ216" s="34"/>
      <c r="CA216" s="34"/>
      <c r="CB216" s="31">
        <v>30</v>
      </c>
      <c r="CC216" s="31"/>
      <c r="CD216" s="31"/>
      <c r="CE216" s="31"/>
      <c r="CF216" s="31"/>
      <c r="CG216" s="34"/>
      <c r="CH216" s="46">
        <v>5</v>
      </c>
      <c r="CI216" s="46"/>
      <c r="CJ216" s="46"/>
      <c r="CK216" s="46"/>
      <c r="CL216" s="46"/>
      <c r="CM216" s="46"/>
      <c r="CN216" s="35"/>
      <c r="CO216" s="35"/>
      <c r="CP216" s="35"/>
      <c r="CQ216" s="35"/>
      <c r="CR216" s="35"/>
      <c r="CS216" s="35"/>
      <c r="CT216" s="35"/>
      <c r="CU216" s="35"/>
      <c r="CV216" s="35"/>
      <c r="CW216" s="35"/>
      <c r="FA216" s="35"/>
      <c r="FB216" s="35"/>
      <c r="FC216" s="35"/>
      <c r="FD216" s="35"/>
      <c r="FE216" s="35"/>
      <c r="FF216" s="35"/>
      <c r="FG216" s="35"/>
      <c r="FH216" s="35"/>
      <c r="FI216" s="35"/>
      <c r="FJ216" s="35"/>
    </row>
    <row r="217" spans="1:193" ht="18.5" x14ac:dyDescent="0.45">
      <c r="A217" s="75" t="s">
        <v>203</v>
      </c>
      <c r="B217" s="76"/>
      <c r="C217" s="76">
        <v>9847370779</v>
      </c>
      <c r="D217" s="75">
        <v>41500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23">
        <f t="shared" si="15"/>
        <v>41500</v>
      </c>
      <c r="W217" s="12"/>
      <c r="X217" s="23">
        <f t="shared" si="16"/>
        <v>41500</v>
      </c>
      <c r="Y217" s="12">
        <v>10</v>
      </c>
      <c r="Z217" s="34"/>
      <c r="AA217" s="34"/>
      <c r="AB217" s="34"/>
      <c r="AC217" s="34"/>
      <c r="AD217" s="34"/>
      <c r="AE217" s="34"/>
      <c r="AF217" s="34"/>
      <c r="AG217" s="34"/>
      <c r="AH217" s="34">
        <v>16</v>
      </c>
      <c r="AI217" s="34"/>
      <c r="AJ217" s="34"/>
      <c r="AK217" s="34"/>
      <c r="AL217" s="34"/>
      <c r="AM217" s="34"/>
      <c r="AN217" s="31" t="s">
        <v>4</v>
      </c>
      <c r="AO217" s="34">
        <v>23</v>
      </c>
      <c r="AP217" s="34"/>
      <c r="AQ217" s="34"/>
      <c r="AR217" s="34"/>
      <c r="AS217" s="34"/>
      <c r="AT217" s="34">
        <v>30</v>
      </c>
      <c r="AU217" s="31"/>
      <c r="AV217" s="31"/>
      <c r="AW217" s="34"/>
      <c r="AX217" s="34"/>
      <c r="AY217" s="34"/>
      <c r="AZ217" s="34"/>
      <c r="BA217" s="34"/>
      <c r="BB217" s="34"/>
      <c r="BC217" s="31">
        <v>5</v>
      </c>
      <c r="BD217" s="34">
        <v>5</v>
      </c>
      <c r="BE217" s="34"/>
      <c r="BF217" s="34"/>
      <c r="BG217" s="34"/>
      <c r="BH217" s="34">
        <v>10</v>
      </c>
      <c r="BI217" s="34"/>
      <c r="BJ217" s="34"/>
      <c r="BK217" s="34"/>
      <c r="BL217" s="34"/>
      <c r="BM217" s="31">
        <v>18</v>
      </c>
      <c r="BN217" s="31"/>
      <c r="BO217" s="31"/>
      <c r="BP217" s="34"/>
      <c r="BQ217" s="34"/>
      <c r="BR217" s="34"/>
      <c r="BS217" s="34"/>
      <c r="BT217" s="34"/>
      <c r="BU217" s="31">
        <v>25</v>
      </c>
      <c r="BV217" s="31"/>
      <c r="BW217" s="31"/>
      <c r="BX217" s="34"/>
      <c r="BY217" s="34"/>
      <c r="BZ217" s="34"/>
      <c r="CA217" s="34"/>
      <c r="CB217" s="31">
        <v>30</v>
      </c>
      <c r="CC217" s="31"/>
      <c r="CD217" s="31"/>
      <c r="CE217" s="31"/>
      <c r="CF217" s="31"/>
      <c r="CG217" s="34"/>
      <c r="CH217" s="46">
        <v>5</v>
      </c>
      <c r="CI217" s="46"/>
      <c r="CJ217" s="46"/>
      <c r="CK217" s="46"/>
      <c r="CL217" s="46"/>
      <c r="CM217" s="46"/>
    </row>
    <row r="218" spans="1:193" ht="18.5" x14ac:dyDescent="0.45">
      <c r="A218" s="75" t="s">
        <v>204</v>
      </c>
      <c r="B218" s="76"/>
      <c r="C218" s="76">
        <v>9748800844</v>
      </c>
      <c r="D218" s="75">
        <v>94000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23">
        <f t="shared" si="15"/>
        <v>94000</v>
      </c>
      <c r="W218" s="12"/>
      <c r="X218" s="23">
        <f t="shared" si="16"/>
        <v>94000</v>
      </c>
      <c r="Y218" s="12">
        <v>10</v>
      </c>
      <c r="Z218" s="34"/>
      <c r="AA218" s="34"/>
      <c r="AB218" s="34"/>
      <c r="AC218" s="34"/>
      <c r="AD218" s="34"/>
      <c r="AE218" s="34"/>
      <c r="AF218" s="34"/>
      <c r="AG218" s="34"/>
      <c r="AH218" s="34">
        <v>16</v>
      </c>
      <c r="AI218" s="34"/>
      <c r="AJ218" s="34"/>
      <c r="AK218" s="34"/>
      <c r="AL218" s="34"/>
      <c r="AM218" s="34"/>
      <c r="AN218" s="31" t="s">
        <v>4</v>
      </c>
      <c r="AO218" s="34">
        <v>23</v>
      </c>
      <c r="AP218" s="34"/>
      <c r="AQ218" s="34"/>
      <c r="AR218" s="34"/>
      <c r="AS218" s="34"/>
      <c r="AT218" s="34">
        <v>30</v>
      </c>
      <c r="AU218" s="31"/>
      <c r="AV218" s="31"/>
      <c r="AW218" s="34"/>
      <c r="AX218" s="34"/>
      <c r="AY218" s="34"/>
      <c r="AZ218" s="34"/>
      <c r="BA218" s="34"/>
      <c r="BB218" s="34"/>
      <c r="BC218" s="31">
        <v>5</v>
      </c>
      <c r="BD218" s="34">
        <v>5</v>
      </c>
      <c r="BE218" s="34"/>
      <c r="BF218" s="34"/>
      <c r="BG218" s="34"/>
      <c r="BH218" s="34">
        <v>10</v>
      </c>
      <c r="BI218" s="34"/>
      <c r="BJ218" s="34"/>
      <c r="BK218" s="34"/>
      <c r="BL218" s="34"/>
      <c r="BM218" s="31">
        <v>18</v>
      </c>
      <c r="BN218" s="31"/>
      <c r="BO218" s="31"/>
      <c r="BP218" s="34"/>
      <c r="BQ218" s="34"/>
      <c r="BR218" s="34"/>
      <c r="BS218" s="34"/>
      <c r="BT218" s="34"/>
      <c r="BU218" s="31">
        <v>25</v>
      </c>
      <c r="BV218" s="31"/>
      <c r="BW218" s="31"/>
      <c r="BX218" s="34"/>
      <c r="BY218" s="34"/>
      <c r="BZ218" s="34"/>
      <c r="CA218" s="34"/>
      <c r="CB218" s="31">
        <v>30</v>
      </c>
      <c r="CC218" s="31"/>
      <c r="CD218" s="31"/>
      <c r="CE218" s="31"/>
      <c r="CF218" s="31"/>
      <c r="CG218" s="34"/>
      <c r="CH218" s="46">
        <v>5</v>
      </c>
      <c r="CI218" s="46"/>
      <c r="CJ218" s="46"/>
      <c r="CK218" s="46"/>
      <c r="CL218" s="46"/>
      <c r="CM218" s="46"/>
    </row>
    <row r="219" spans="1:193" ht="18.5" x14ac:dyDescent="0.45">
      <c r="A219" s="75" t="s">
        <v>205</v>
      </c>
      <c r="B219" s="76"/>
      <c r="C219" s="76">
        <v>9867858760</v>
      </c>
      <c r="D219" s="75">
        <v>97000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23">
        <f t="shared" si="15"/>
        <v>97000</v>
      </c>
      <c r="W219" s="12"/>
      <c r="X219" s="23">
        <f t="shared" si="16"/>
        <v>97000</v>
      </c>
      <c r="Y219" s="12">
        <v>10</v>
      </c>
      <c r="Z219" s="12"/>
      <c r="AA219" s="12"/>
      <c r="AB219" s="12"/>
      <c r="AC219" s="12"/>
      <c r="AD219" s="12"/>
      <c r="AE219" s="12"/>
      <c r="AF219" s="12"/>
      <c r="AG219" s="12"/>
      <c r="AH219" s="34">
        <v>16</v>
      </c>
      <c r="AI219" s="34"/>
      <c r="AJ219" s="34"/>
      <c r="AK219" s="34"/>
      <c r="AL219" s="34"/>
      <c r="AM219" s="34"/>
      <c r="AN219" s="31" t="s">
        <v>4</v>
      </c>
      <c r="AO219" s="34">
        <v>23</v>
      </c>
      <c r="AP219" s="34"/>
      <c r="AQ219" s="34"/>
      <c r="AR219" s="34"/>
      <c r="AS219" s="34"/>
      <c r="AT219" s="34">
        <v>30</v>
      </c>
      <c r="AU219" s="31"/>
      <c r="AV219" s="31"/>
      <c r="AW219" s="34"/>
      <c r="AX219" s="34"/>
      <c r="AY219" s="34"/>
      <c r="AZ219" s="34"/>
      <c r="BA219" s="34"/>
      <c r="BB219" s="34"/>
      <c r="BC219" s="31">
        <v>5</v>
      </c>
      <c r="BD219" s="34">
        <v>5</v>
      </c>
      <c r="BE219" s="34"/>
      <c r="BF219" s="34"/>
      <c r="BG219" s="34"/>
      <c r="BH219" s="34">
        <v>10</v>
      </c>
      <c r="BI219" s="34"/>
      <c r="BJ219" s="34"/>
      <c r="BK219" s="34"/>
      <c r="BL219" s="34"/>
      <c r="BM219" s="31">
        <v>18</v>
      </c>
      <c r="BN219" s="31"/>
      <c r="BO219" s="31"/>
      <c r="BP219" s="34"/>
      <c r="BQ219" s="34"/>
      <c r="BR219" s="34"/>
      <c r="BS219" s="34"/>
      <c r="BT219" s="34"/>
      <c r="BU219" s="31">
        <v>25</v>
      </c>
      <c r="BV219" s="31"/>
      <c r="BW219" s="31"/>
      <c r="BX219" s="34"/>
      <c r="BY219" s="34"/>
      <c r="BZ219" s="34"/>
      <c r="CA219" s="34"/>
      <c r="CB219" s="31">
        <v>30</v>
      </c>
      <c r="CC219" s="31"/>
      <c r="CD219" s="31"/>
      <c r="CE219" s="31"/>
      <c r="CF219" s="31"/>
      <c r="CG219" s="34"/>
      <c r="CH219" s="46">
        <v>5</v>
      </c>
      <c r="CI219" s="46"/>
      <c r="CJ219" s="46"/>
      <c r="CK219" s="46"/>
      <c r="CL219" s="46"/>
      <c r="CM219" s="46"/>
    </row>
    <row r="220" spans="1:193" ht="18.5" x14ac:dyDescent="0.45">
      <c r="A220" s="75" t="s">
        <v>206</v>
      </c>
      <c r="B220" s="76"/>
      <c r="C220" s="76">
        <v>9857035848</v>
      </c>
      <c r="D220" s="75">
        <v>24300</v>
      </c>
      <c r="E220" s="12"/>
      <c r="F220" s="12"/>
      <c r="G220" s="12"/>
      <c r="H220" s="12">
        <v>56000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23">
        <f t="shared" si="15"/>
        <v>80300</v>
      </c>
      <c r="W220" s="12">
        <f>BY220</f>
        <v>56000</v>
      </c>
      <c r="X220" s="12">
        <f t="shared" si="16"/>
        <v>24300</v>
      </c>
      <c r="Y220" s="12">
        <f t="shared" ref="Y220:AU220" si="17">W220-X220</f>
        <v>31700</v>
      </c>
      <c r="Z220" s="12">
        <f t="shared" si="17"/>
        <v>-7400</v>
      </c>
      <c r="AA220" s="12">
        <f t="shared" si="17"/>
        <v>39100</v>
      </c>
      <c r="AB220" s="12">
        <f t="shared" si="17"/>
        <v>-46500</v>
      </c>
      <c r="AC220" s="12">
        <f t="shared" si="17"/>
        <v>85600</v>
      </c>
      <c r="AD220" s="12">
        <f t="shared" si="17"/>
        <v>-132100</v>
      </c>
      <c r="AE220" s="12">
        <f t="shared" si="17"/>
        <v>217700</v>
      </c>
      <c r="AF220" s="12">
        <f t="shared" si="17"/>
        <v>-349800</v>
      </c>
      <c r="AG220" s="12">
        <f t="shared" si="17"/>
        <v>567500</v>
      </c>
      <c r="AH220" s="12">
        <f t="shared" si="17"/>
        <v>-917300</v>
      </c>
      <c r="AI220" s="12">
        <f t="shared" si="17"/>
        <v>1484800</v>
      </c>
      <c r="AJ220" s="12">
        <f t="shared" si="17"/>
        <v>-2402100</v>
      </c>
      <c r="AK220" s="12">
        <f t="shared" si="17"/>
        <v>3886900</v>
      </c>
      <c r="AL220" s="12">
        <f t="shared" si="17"/>
        <v>-6289000</v>
      </c>
      <c r="AM220" s="12">
        <f t="shared" si="17"/>
        <v>10175900</v>
      </c>
      <c r="AN220" s="12">
        <f t="shared" si="17"/>
        <v>-16464900</v>
      </c>
      <c r="AO220" s="12">
        <f t="shared" si="17"/>
        <v>26640800</v>
      </c>
      <c r="AP220" s="12">
        <f t="shared" si="17"/>
        <v>-43105700</v>
      </c>
      <c r="AQ220" s="12">
        <f t="shared" si="17"/>
        <v>69746500</v>
      </c>
      <c r="AR220" s="12">
        <f t="shared" si="17"/>
        <v>-112852200</v>
      </c>
      <c r="AS220" s="12">
        <f t="shared" si="17"/>
        <v>182598700</v>
      </c>
      <c r="AT220" s="12">
        <f t="shared" si="17"/>
        <v>-295450900</v>
      </c>
      <c r="AU220" s="12">
        <f t="shared" si="17"/>
        <v>478049600</v>
      </c>
      <c r="AV220" s="12"/>
      <c r="AW220" s="12"/>
      <c r="AX220" s="12"/>
      <c r="AY220" s="34">
        <v>29</v>
      </c>
      <c r="AZ220" s="34"/>
      <c r="BA220" s="31">
        <v>31</v>
      </c>
      <c r="BB220" s="31"/>
      <c r="BC220" s="31" t="s">
        <v>792</v>
      </c>
      <c r="BD220" s="34">
        <v>4</v>
      </c>
      <c r="BE220" s="34"/>
      <c r="BF220" s="34"/>
      <c r="BG220" s="34" t="s">
        <v>911</v>
      </c>
      <c r="BH220" s="34">
        <v>7</v>
      </c>
      <c r="BI220" s="34"/>
      <c r="BJ220" s="34">
        <v>8</v>
      </c>
      <c r="BK220" s="31" t="s">
        <v>792</v>
      </c>
      <c r="BL220" s="31">
        <v>11</v>
      </c>
      <c r="BM220" s="34"/>
      <c r="BN220" s="31">
        <v>13</v>
      </c>
      <c r="BO220" s="31"/>
      <c r="BP220" s="34"/>
      <c r="BQ220" s="34">
        <v>15</v>
      </c>
      <c r="BR220" s="31" t="s">
        <v>798</v>
      </c>
      <c r="BS220" s="31" t="s">
        <v>798</v>
      </c>
      <c r="BT220" s="31" t="s">
        <v>798</v>
      </c>
      <c r="BU220" s="31" t="s">
        <v>798</v>
      </c>
      <c r="BV220" s="31" t="s">
        <v>798</v>
      </c>
      <c r="BW220" s="31"/>
      <c r="BX220" s="31" t="s">
        <v>798</v>
      </c>
      <c r="BY220" s="62">
        <v>56000</v>
      </c>
      <c r="BZ220" s="31"/>
      <c r="CA220" s="31"/>
      <c r="CB220" s="31"/>
      <c r="CC220" s="31"/>
      <c r="CD220" s="31"/>
      <c r="CE220" s="31"/>
      <c r="CF220" s="31"/>
      <c r="CG220" s="34"/>
      <c r="CH220" s="46">
        <v>3</v>
      </c>
      <c r="CI220" s="46"/>
      <c r="CJ220" s="46"/>
      <c r="CK220" s="31"/>
      <c r="CL220" s="31"/>
    </row>
    <row r="221" spans="1:193" ht="18.5" x14ac:dyDescent="0.45">
      <c r="A221" s="75" t="s">
        <v>1039</v>
      </c>
      <c r="B221" s="76"/>
      <c r="C221" s="76"/>
      <c r="D221" s="75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23"/>
      <c r="W221" s="12">
        <v>186000</v>
      </c>
      <c r="X221" s="8">
        <f t="shared" si="16"/>
        <v>-186000</v>
      </c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34"/>
      <c r="AZ221" s="34"/>
      <c r="BA221" s="31"/>
      <c r="BB221" s="31"/>
      <c r="BC221" s="31"/>
      <c r="BD221" s="34"/>
      <c r="BE221" s="34"/>
      <c r="BF221" s="34"/>
      <c r="BG221" s="34"/>
      <c r="BH221" s="34"/>
      <c r="BI221" s="34"/>
      <c r="BJ221" s="34"/>
      <c r="BK221" s="31"/>
      <c r="BL221" s="31"/>
      <c r="BM221" s="34"/>
      <c r="BN221" s="31"/>
      <c r="BO221" s="31"/>
      <c r="BP221" s="34"/>
      <c r="BQ221" s="34"/>
      <c r="BR221" s="31"/>
      <c r="BS221" s="31"/>
      <c r="BT221" s="31"/>
      <c r="BU221" s="31"/>
      <c r="BV221" s="31"/>
      <c r="BW221" s="31"/>
      <c r="BX221" s="31"/>
      <c r="BY221" s="62"/>
      <c r="BZ221" s="31"/>
      <c r="CA221" s="31"/>
      <c r="CB221" s="31"/>
      <c r="CC221" s="31"/>
      <c r="CD221" s="31"/>
      <c r="CE221" s="31"/>
      <c r="CF221" s="31"/>
      <c r="CG221" s="34"/>
      <c r="CH221" s="35"/>
      <c r="CI221" s="35"/>
      <c r="CJ221" s="35"/>
      <c r="CK221" s="1">
        <v>186000</v>
      </c>
    </row>
    <row r="222" spans="1:193" ht="18.5" x14ac:dyDescent="0.45">
      <c r="A222" s="85" t="s">
        <v>207</v>
      </c>
      <c r="B222" s="86"/>
      <c r="C222" s="86" t="s">
        <v>208</v>
      </c>
      <c r="D222" s="75">
        <v>41500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23">
        <f t="shared" si="15"/>
        <v>41500</v>
      </c>
      <c r="W222" s="12"/>
      <c r="X222" s="12">
        <f t="shared" si="16"/>
        <v>41500</v>
      </c>
      <c r="Y222" s="31"/>
      <c r="Z222" s="31"/>
      <c r="AA222" s="31" t="s">
        <v>793</v>
      </c>
      <c r="AB222" s="31" t="s">
        <v>793</v>
      </c>
      <c r="AC222" s="31" t="s">
        <v>793</v>
      </c>
      <c r="AD222" s="31" t="s">
        <v>793</v>
      </c>
      <c r="AE222" s="31" t="s">
        <v>793</v>
      </c>
      <c r="AF222" s="31" t="s">
        <v>793</v>
      </c>
      <c r="AG222" s="31"/>
      <c r="AH222" s="31" t="s">
        <v>793</v>
      </c>
      <c r="AI222" s="31" t="s">
        <v>793</v>
      </c>
      <c r="AJ222" s="31" t="s">
        <v>793</v>
      </c>
      <c r="AK222" s="31" t="s">
        <v>793</v>
      </c>
      <c r="AL222" s="31" t="s">
        <v>793</v>
      </c>
      <c r="AM222" s="31" t="s">
        <v>791</v>
      </c>
      <c r="AN222" s="31"/>
      <c r="AO222" s="31" t="s">
        <v>793</v>
      </c>
      <c r="AP222" s="31" t="s">
        <v>793</v>
      </c>
      <c r="AQ222" s="31" t="s">
        <v>793</v>
      </c>
      <c r="AR222" s="31" t="s">
        <v>793</v>
      </c>
      <c r="AS222" s="31" t="s">
        <v>793</v>
      </c>
      <c r="AT222" s="31" t="s">
        <v>793</v>
      </c>
      <c r="AU222" s="31"/>
      <c r="AV222" s="31" t="s">
        <v>793</v>
      </c>
      <c r="AW222" s="31" t="s">
        <v>793</v>
      </c>
      <c r="AX222" s="31" t="s">
        <v>793</v>
      </c>
      <c r="AY222" s="31" t="s">
        <v>791</v>
      </c>
      <c r="AZ222" s="31" t="s">
        <v>793</v>
      </c>
      <c r="BA222" s="31" t="s">
        <v>793</v>
      </c>
      <c r="BB222" s="31"/>
      <c r="BC222" s="31" t="s">
        <v>793</v>
      </c>
      <c r="BD222" s="31"/>
      <c r="BE222" s="31"/>
      <c r="BF222" s="31"/>
      <c r="BG222" s="31" t="s">
        <v>793</v>
      </c>
      <c r="BH222" s="31" t="s">
        <v>793</v>
      </c>
      <c r="BI222" s="31"/>
      <c r="BJ222" s="31" t="s">
        <v>793</v>
      </c>
      <c r="BK222" s="31" t="s">
        <v>793</v>
      </c>
      <c r="BL222" s="31" t="s">
        <v>793</v>
      </c>
      <c r="BM222" s="31" t="s">
        <v>793</v>
      </c>
      <c r="BN222" s="31" t="s">
        <v>791</v>
      </c>
      <c r="BO222" s="31" t="s">
        <v>793</v>
      </c>
      <c r="BP222" s="31"/>
      <c r="BQ222" s="31"/>
      <c r="BR222" s="31" t="s">
        <v>793</v>
      </c>
      <c r="BS222" s="31" t="s">
        <v>793</v>
      </c>
      <c r="BT222" s="31" t="s">
        <v>793</v>
      </c>
      <c r="BU222" s="31" t="s">
        <v>794</v>
      </c>
      <c r="BV222" s="31" t="s">
        <v>794</v>
      </c>
      <c r="BW222" s="31"/>
      <c r="BX222" s="31" t="s">
        <v>793</v>
      </c>
      <c r="BY222" s="31" t="s">
        <v>793</v>
      </c>
      <c r="BZ222" s="31" t="s">
        <v>793</v>
      </c>
      <c r="CA222" s="31" t="s">
        <v>794</v>
      </c>
      <c r="CB222" s="31" t="s">
        <v>793</v>
      </c>
      <c r="CC222" s="31" t="s">
        <v>793</v>
      </c>
      <c r="CD222" s="31"/>
      <c r="CE222" s="31" t="s">
        <v>793</v>
      </c>
      <c r="CF222" s="31" t="s">
        <v>793</v>
      </c>
      <c r="CG222" s="31" t="s">
        <v>793</v>
      </c>
      <c r="CH222" s="34" t="s">
        <v>793</v>
      </c>
      <c r="CI222" s="31"/>
      <c r="CJ222" s="31" t="s">
        <v>793</v>
      </c>
      <c r="CK222" s="31"/>
      <c r="CL222" s="31"/>
    </row>
    <row r="223" spans="1:193" x14ac:dyDescent="0.35">
      <c r="A223" s="17" t="s">
        <v>1004</v>
      </c>
      <c r="B223" s="54"/>
      <c r="C223" s="48">
        <v>9857021274</v>
      </c>
      <c r="D223" s="8"/>
      <c r="E223" s="14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>
        <v>86000</v>
      </c>
      <c r="R223" s="12"/>
      <c r="S223" s="12"/>
      <c r="T223" s="12"/>
      <c r="U223" s="12"/>
      <c r="V223" s="23">
        <f t="shared" si="15"/>
        <v>86000</v>
      </c>
      <c r="W223" s="12"/>
      <c r="X223" s="23">
        <f t="shared" si="16"/>
        <v>86000</v>
      </c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1"/>
      <c r="AW223" s="31"/>
      <c r="AX223" s="34"/>
      <c r="AY223" s="34"/>
      <c r="AZ223" s="31"/>
      <c r="BA223" s="31"/>
      <c r="BB223" s="31"/>
      <c r="BC223" s="31"/>
      <c r="BD223" s="34"/>
      <c r="BE223" s="34"/>
      <c r="BF223" s="34"/>
      <c r="BG223" s="34"/>
      <c r="BH223" s="34"/>
      <c r="BI223" s="34"/>
      <c r="BJ223" s="34"/>
      <c r="BK223" s="34"/>
      <c r="BL223" s="34"/>
      <c r="BM223" s="31"/>
      <c r="BN223" s="31"/>
      <c r="BO223" s="31"/>
      <c r="BP223" s="31"/>
      <c r="BQ223" s="31"/>
      <c r="BR223" s="34"/>
      <c r="BS223" s="34"/>
      <c r="BT223" s="34"/>
      <c r="BU223" s="31"/>
      <c r="BV223" s="31"/>
      <c r="BW223" s="34"/>
      <c r="BX223" s="34"/>
      <c r="BY223" s="34"/>
      <c r="BZ223" s="34"/>
      <c r="CA223" s="31">
        <v>26</v>
      </c>
      <c r="CB223" s="31"/>
      <c r="CC223" s="31">
        <v>30</v>
      </c>
      <c r="CD223" s="31"/>
      <c r="CE223" s="31"/>
      <c r="CF223" s="31"/>
      <c r="CG223" s="34">
        <v>2</v>
      </c>
      <c r="CH223" s="46">
        <v>2</v>
      </c>
      <c r="CI223" s="1">
        <v>86000</v>
      </c>
      <c r="CJ223" s="46"/>
      <c r="CK223" s="31"/>
      <c r="CL223" s="31"/>
    </row>
    <row r="224" spans="1:193" ht="18.5" x14ac:dyDescent="0.45">
      <c r="A224" s="75" t="s">
        <v>209</v>
      </c>
      <c r="B224" s="76"/>
      <c r="C224" s="76">
        <v>985737480</v>
      </c>
      <c r="D224" s="75">
        <v>4600</v>
      </c>
      <c r="E224" s="12"/>
      <c r="F224" s="12"/>
      <c r="G224" s="12"/>
      <c r="H224" s="12"/>
      <c r="I224" s="12"/>
      <c r="J224" s="12">
        <v>16600</v>
      </c>
      <c r="K224" s="12"/>
      <c r="L224" s="12"/>
      <c r="M224" s="12"/>
      <c r="N224" s="12"/>
      <c r="O224" s="12"/>
      <c r="P224" s="12"/>
      <c r="Q224" s="12"/>
      <c r="R224" s="12">
        <v>16500</v>
      </c>
      <c r="S224" s="12"/>
      <c r="T224" s="12"/>
      <c r="U224" s="12"/>
      <c r="V224" s="23">
        <f t="shared" si="15"/>
        <v>37700</v>
      </c>
      <c r="W224" s="12">
        <f>AT224+16600</f>
        <v>21200</v>
      </c>
      <c r="X224" s="12">
        <f t="shared" si="16"/>
        <v>16500</v>
      </c>
      <c r="Y224" s="12">
        <v>5</v>
      </c>
      <c r="Z224" s="34"/>
      <c r="AA224" s="34"/>
      <c r="AB224" s="34"/>
      <c r="AC224" s="34">
        <v>11</v>
      </c>
      <c r="AD224" s="34"/>
      <c r="AE224" s="34"/>
      <c r="AF224" s="34"/>
      <c r="AG224" s="34"/>
      <c r="AH224" s="34"/>
      <c r="AI224" s="34">
        <v>16</v>
      </c>
      <c r="AJ224" s="34"/>
      <c r="AK224" s="34"/>
      <c r="AL224" s="34"/>
      <c r="AM224" s="34"/>
      <c r="AN224" s="31"/>
      <c r="AO224" s="34">
        <v>19</v>
      </c>
      <c r="AP224" s="34"/>
      <c r="AQ224" s="31"/>
      <c r="AR224" s="34"/>
      <c r="AS224" s="34"/>
      <c r="AT224" s="62">
        <v>4600</v>
      </c>
      <c r="AU224" s="31"/>
      <c r="AV224" s="31"/>
      <c r="AW224" s="34"/>
      <c r="AX224" s="34"/>
      <c r="AY224" s="34"/>
      <c r="AZ224" s="34"/>
      <c r="BA224" s="34"/>
      <c r="BB224" s="34"/>
      <c r="BC224" s="34"/>
      <c r="BD224" s="34">
        <v>10</v>
      </c>
      <c r="BE224" s="34"/>
      <c r="BF224" s="34"/>
      <c r="BG224" s="34"/>
      <c r="BH224" s="34"/>
      <c r="BI224" s="34"/>
      <c r="BJ224" s="34"/>
      <c r="BK224" s="34"/>
      <c r="BL224" s="34"/>
      <c r="BM224" s="31">
        <v>14</v>
      </c>
      <c r="BN224" s="31"/>
      <c r="BO224" s="31"/>
      <c r="BP224" s="34"/>
      <c r="BQ224" s="34">
        <v>20</v>
      </c>
      <c r="BR224" s="34"/>
      <c r="BS224" s="34"/>
      <c r="BT224" s="34"/>
      <c r="BU224" s="62">
        <v>16600</v>
      </c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1"/>
      <c r="CI224" s="46"/>
      <c r="CJ224" s="46"/>
      <c r="CK224" s="46"/>
      <c r="CL224" s="46"/>
      <c r="CM224" s="46"/>
      <c r="CN224" s="46"/>
    </row>
    <row r="225" spans="1:166" x14ac:dyDescent="0.35">
      <c r="A225" s="15" t="s">
        <v>236</v>
      </c>
      <c r="B225" s="3"/>
      <c r="C225" s="16">
        <v>9857022973</v>
      </c>
      <c r="D225" s="23">
        <v>-5750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23">
        <f t="shared" si="15"/>
        <v>-5750</v>
      </c>
      <c r="W225" s="15"/>
      <c r="X225" s="15">
        <f t="shared" si="16"/>
        <v>-5750</v>
      </c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BS225" s="44"/>
      <c r="BT225" s="44"/>
      <c r="BU225" s="44"/>
      <c r="BV225" s="44"/>
      <c r="BW225" s="44"/>
      <c r="BX225" s="44"/>
      <c r="BY225" s="44"/>
      <c r="BZ225" s="44"/>
      <c r="CA225" s="44"/>
      <c r="CB225" s="44"/>
      <c r="CC225" s="44"/>
      <c r="CD225" s="44"/>
      <c r="CE225" s="44"/>
      <c r="CF225" s="44"/>
      <c r="CG225" s="44"/>
      <c r="CH225" s="31"/>
      <c r="CI225" s="31"/>
      <c r="CJ225" s="31"/>
      <c r="CK225" s="31"/>
      <c r="CL225" s="31"/>
    </row>
    <row r="226" spans="1:166" ht="18.5" x14ac:dyDescent="0.45">
      <c r="A226" s="75" t="s">
        <v>211</v>
      </c>
      <c r="B226" s="76"/>
      <c r="C226" s="76">
        <v>9847329589</v>
      </c>
      <c r="D226" s="75">
        <v>77122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23">
        <f t="shared" si="15"/>
        <v>77122</v>
      </c>
      <c r="W226" s="12"/>
      <c r="X226" s="23">
        <f t="shared" si="16"/>
        <v>77122</v>
      </c>
      <c r="Y226" s="31"/>
      <c r="Z226" s="31"/>
      <c r="AA226" s="31" t="s">
        <v>792</v>
      </c>
      <c r="AB226" s="31" t="s">
        <v>792</v>
      </c>
      <c r="AC226" s="31" t="s">
        <v>792</v>
      </c>
      <c r="AD226" s="31" t="s">
        <v>792</v>
      </c>
      <c r="AE226" s="31" t="s">
        <v>792</v>
      </c>
      <c r="AF226" s="31" t="s">
        <v>793</v>
      </c>
      <c r="AG226" s="31" t="s">
        <v>792</v>
      </c>
      <c r="AH226" s="31" t="s">
        <v>792</v>
      </c>
      <c r="AI226" s="31" t="s">
        <v>792</v>
      </c>
      <c r="AJ226" s="31" t="s">
        <v>792</v>
      </c>
      <c r="AK226" s="31" t="s">
        <v>792</v>
      </c>
      <c r="AL226" s="31" t="s">
        <v>792</v>
      </c>
      <c r="AM226" s="31" t="s">
        <v>792</v>
      </c>
      <c r="AN226" s="31"/>
      <c r="AO226" s="31" t="s">
        <v>792</v>
      </c>
      <c r="AP226" s="31" t="s">
        <v>792</v>
      </c>
      <c r="AQ226" s="31" t="s">
        <v>792</v>
      </c>
      <c r="AR226" s="31" t="s">
        <v>792</v>
      </c>
      <c r="AS226" s="31" t="s">
        <v>792</v>
      </c>
      <c r="AT226" s="31" t="s">
        <v>792</v>
      </c>
      <c r="AU226" s="31"/>
      <c r="AV226" s="31" t="s">
        <v>792</v>
      </c>
      <c r="AW226" s="34">
        <v>31</v>
      </c>
      <c r="AX226" s="34"/>
      <c r="AY226" s="34"/>
      <c r="AZ226" s="34"/>
      <c r="BA226" s="34"/>
      <c r="BB226" s="34"/>
      <c r="BC226" s="34"/>
      <c r="BD226" s="34">
        <v>4</v>
      </c>
      <c r="BE226" s="34"/>
      <c r="BF226" s="34"/>
      <c r="BG226" s="31" t="s">
        <v>792</v>
      </c>
      <c r="BH226" s="31" t="s">
        <v>792</v>
      </c>
      <c r="BI226" s="31"/>
      <c r="BJ226" s="31" t="s">
        <v>792</v>
      </c>
      <c r="BK226" s="31" t="s">
        <v>792</v>
      </c>
      <c r="BL226" s="31" t="s">
        <v>792</v>
      </c>
      <c r="BM226" s="31" t="s">
        <v>792</v>
      </c>
      <c r="BN226" s="31" t="s">
        <v>792</v>
      </c>
      <c r="BO226" s="31" t="s">
        <v>792</v>
      </c>
      <c r="BP226" s="31"/>
      <c r="BQ226" s="31" t="s">
        <v>792</v>
      </c>
      <c r="BR226" s="31" t="s">
        <v>792</v>
      </c>
      <c r="BS226" s="31" t="s">
        <v>792</v>
      </c>
      <c r="BT226" s="31" t="s">
        <v>794</v>
      </c>
      <c r="BU226" s="31" t="s">
        <v>792</v>
      </c>
      <c r="BV226" s="31" t="s">
        <v>792</v>
      </c>
      <c r="BW226" s="31"/>
      <c r="BX226" s="31" t="s">
        <v>792</v>
      </c>
      <c r="BY226" s="31" t="s">
        <v>792</v>
      </c>
      <c r="BZ226" s="31" t="s">
        <v>792</v>
      </c>
      <c r="CA226" s="31" t="s">
        <v>792</v>
      </c>
      <c r="CB226" s="31" t="s">
        <v>792</v>
      </c>
      <c r="CC226" s="31" t="s">
        <v>792</v>
      </c>
      <c r="CD226" s="31"/>
      <c r="CE226" s="31" t="s">
        <v>792</v>
      </c>
      <c r="CF226" s="31" t="s">
        <v>792</v>
      </c>
      <c r="CG226" s="31" t="s">
        <v>792</v>
      </c>
      <c r="CH226" s="31" t="s">
        <v>792</v>
      </c>
      <c r="CI226" s="31"/>
      <c r="CJ226" s="31" t="s">
        <v>792</v>
      </c>
      <c r="CK226" s="31"/>
      <c r="CL226" s="31"/>
    </row>
    <row r="227" spans="1:166" ht="18.5" x14ac:dyDescent="0.45">
      <c r="A227" s="89" t="s">
        <v>212</v>
      </c>
      <c r="B227" s="90"/>
      <c r="C227" s="90">
        <v>9857034615</v>
      </c>
      <c r="D227" s="75">
        <v>142100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>
        <v>67000</v>
      </c>
      <c r="P227" s="12"/>
      <c r="Q227" s="12"/>
      <c r="R227" s="12"/>
      <c r="S227" s="12"/>
      <c r="T227" s="12"/>
      <c r="U227" s="12"/>
      <c r="V227" s="23">
        <f t="shared" si="15"/>
        <v>209100</v>
      </c>
      <c r="W227" s="12">
        <f>BD227+46500</f>
        <v>77500</v>
      </c>
      <c r="X227" s="12">
        <f t="shared" si="16"/>
        <v>131600</v>
      </c>
      <c r="Y227" s="12">
        <f t="shared" ref="Y227:AS227" si="18">W227-X227</f>
        <v>-54100</v>
      </c>
      <c r="Z227" s="12">
        <f t="shared" si="18"/>
        <v>185700</v>
      </c>
      <c r="AA227" s="12">
        <f t="shared" si="18"/>
        <v>-239800</v>
      </c>
      <c r="AB227" s="12">
        <f t="shared" si="18"/>
        <v>425500</v>
      </c>
      <c r="AC227" s="12">
        <f t="shared" si="18"/>
        <v>-665300</v>
      </c>
      <c r="AD227" s="12">
        <f t="shared" si="18"/>
        <v>1090800</v>
      </c>
      <c r="AE227" s="12">
        <f t="shared" si="18"/>
        <v>-1756100</v>
      </c>
      <c r="AF227" s="12">
        <f t="shared" si="18"/>
        <v>2846900</v>
      </c>
      <c r="AG227" s="12">
        <f t="shared" si="18"/>
        <v>-4603000</v>
      </c>
      <c r="AH227" s="12">
        <f t="shared" si="18"/>
        <v>7449900</v>
      </c>
      <c r="AI227" s="12">
        <f t="shared" si="18"/>
        <v>-12052900</v>
      </c>
      <c r="AJ227" s="12">
        <f t="shared" si="18"/>
        <v>19502800</v>
      </c>
      <c r="AK227" s="12">
        <f t="shared" si="18"/>
        <v>-31555700</v>
      </c>
      <c r="AL227" s="12">
        <f t="shared" si="18"/>
        <v>51058500</v>
      </c>
      <c r="AM227" s="12">
        <f t="shared" si="18"/>
        <v>-82614200</v>
      </c>
      <c r="AN227" s="12">
        <f t="shared" si="18"/>
        <v>133672700</v>
      </c>
      <c r="AO227" s="12">
        <f t="shared" si="18"/>
        <v>-216286900</v>
      </c>
      <c r="AP227" s="12">
        <f t="shared" si="18"/>
        <v>349959600</v>
      </c>
      <c r="AQ227" s="12">
        <f t="shared" si="18"/>
        <v>-566246500</v>
      </c>
      <c r="AR227" s="12">
        <f t="shared" si="18"/>
        <v>916206100</v>
      </c>
      <c r="AS227" s="12">
        <f t="shared" si="18"/>
        <v>-1482452600</v>
      </c>
      <c r="AT227" s="34"/>
      <c r="AU227" s="34"/>
      <c r="AV227" s="34"/>
      <c r="AW227" s="31"/>
      <c r="AX227" s="34"/>
      <c r="AY227" s="34">
        <v>30</v>
      </c>
      <c r="AZ227" s="34"/>
      <c r="BA227" s="34"/>
      <c r="BB227" s="34"/>
      <c r="BC227" s="31">
        <v>31000</v>
      </c>
      <c r="BD227" s="1">
        <v>31000</v>
      </c>
      <c r="BE227" s="34"/>
      <c r="BF227" s="34"/>
      <c r="BG227" s="34"/>
      <c r="BH227" s="34"/>
      <c r="BI227" s="34"/>
      <c r="BJ227" s="34"/>
      <c r="BK227" s="34"/>
      <c r="BL227" s="34"/>
      <c r="BM227" s="62">
        <v>46500</v>
      </c>
      <c r="BN227" s="34"/>
      <c r="BO227" s="34"/>
      <c r="BP227" s="34"/>
      <c r="BQ227" s="34"/>
      <c r="BR227" s="34"/>
      <c r="BS227" s="34"/>
      <c r="BT227" s="34"/>
      <c r="BU227" s="34"/>
      <c r="BV227" s="34"/>
      <c r="BW227" s="31" t="s">
        <v>4</v>
      </c>
      <c r="BX227" s="34">
        <v>25</v>
      </c>
      <c r="BY227" s="34"/>
      <c r="BZ227" s="34"/>
      <c r="CA227" s="34"/>
      <c r="CB227" s="31">
        <v>28</v>
      </c>
      <c r="CC227" s="31"/>
      <c r="CD227" s="31"/>
      <c r="CE227" s="31">
        <v>31</v>
      </c>
      <c r="CF227" s="31"/>
      <c r="CG227" s="31"/>
      <c r="CH227" s="46">
        <v>8</v>
      </c>
      <c r="CI227" s="46"/>
      <c r="CJ227" s="46"/>
      <c r="CK227" s="46"/>
      <c r="CL227" s="46"/>
      <c r="CM227" s="46"/>
      <c r="CN227" s="46"/>
      <c r="CO227" s="46"/>
      <c r="CP227" s="46"/>
    </row>
    <row r="228" spans="1:166" ht="18.5" x14ac:dyDescent="0.45">
      <c r="A228" s="85" t="s">
        <v>214</v>
      </c>
      <c r="B228" s="86"/>
      <c r="C228" s="86" t="s">
        <v>9</v>
      </c>
      <c r="D228" s="75">
        <v>24000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23">
        <f t="shared" si="15"/>
        <v>24000</v>
      </c>
      <c r="W228" s="12"/>
      <c r="X228" s="12">
        <f t="shared" si="16"/>
        <v>24000</v>
      </c>
      <c r="Y228" s="31"/>
      <c r="Z228" s="31"/>
      <c r="AA228" s="31" t="s">
        <v>793</v>
      </c>
      <c r="AB228" s="31" t="s">
        <v>791</v>
      </c>
      <c r="AC228" s="31" t="s">
        <v>791</v>
      </c>
      <c r="AD228" s="31" t="s">
        <v>791</v>
      </c>
      <c r="AE228" s="31" t="s">
        <v>791</v>
      </c>
      <c r="AF228" s="31" t="s">
        <v>793</v>
      </c>
      <c r="AG228" s="31"/>
      <c r="AH228" s="31" t="s">
        <v>791</v>
      </c>
      <c r="AI228" s="31" t="s">
        <v>793</v>
      </c>
      <c r="AJ228" s="31" t="s">
        <v>793</v>
      </c>
      <c r="AK228" s="31" t="s">
        <v>793</v>
      </c>
      <c r="AL228" s="31" t="s">
        <v>793</v>
      </c>
      <c r="AM228" s="31" t="s">
        <v>791</v>
      </c>
      <c r="AN228" s="31"/>
      <c r="AO228" s="31" t="s">
        <v>793</v>
      </c>
      <c r="AP228" s="31" t="s">
        <v>793</v>
      </c>
      <c r="AQ228" s="31" t="s">
        <v>793</v>
      </c>
      <c r="AR228" s="31" t="s">
        <v>793</v>
      </c>
      <c r="AS228" s="31" t="s">
        <v>793</v>
      </c>
      <c r="AT228" s="31" t="s">
        <v>793</v>
      </c>
      <c r="AU228" s="31"/>
      <c r="AV228" s="31" t="s">
        <v>793</v>
      </c>
      <c r="AW228" s="31" t="s">
        <v>793</v>
      </c>
      <c r="AX228" s="31" t="s">
        <v>793</v>
      </c>
      <c r="AY228" s="31" t="s">
        <v>793</v>
      </c>
      <c r="AZ228" s="31" t="s">
        <v>794</v>
      </c>
      <c r="BA228" s="31" t="s">
        <v>793</v>
      </c>
      <c r="BB228" s="31"/>
      <c r="BC228" s="31" t="s">
        <v>793</v>
      </c>
      <c r="BD228" s="31"/>
      <c r="BE228" s="31" t="s">
        <v>793</v>
      </c>
      <c r="BF228" s="31" t="s">
        <v>793</v>
      </c>
      <c r="BG228" s="31" t="s">
        <v>793</v>
      </c>
      <c r="BH228" s="31" t="s">
        <v>793</v>
      </c>
      <c r="BI228" s="31"/>
      <c r="BJ228" s="31" t="s">
        <v>794</v>
      </c>
      <c r="BK228" s="31" t="s">
        <v>793</v>
      </c>
      <c r="BL228" s="31" t="s">
        <v>793</v>
      </c>
      <c r="BM228" s="31" t="s">
        <v>793</v>
      </c>
      <c r="BN228" s="31" t="s">
        <v>791</v>
      </c>
      <c r="BO228" s="31" t="s">
        <v>793</v>
      </c>
      <c r="BP228" s="31"/>
      <c r="BQ228" s="31" t="s">
        <v>791</v>
      </c>
      <c r="BR228" s="31" t="s">
        <v>793</v>
      </c>
      <c r="BS228" s="31" t="s">
        <v>793</v>
      </c>
      <c r="BT228" s="31" t="s">
        <v>793</v>
      </c>
      <c r="BU228" s="31" t="s">
        <v>793</v>
      </c>
      <c r="BV228" s="31" t="s">
        <v>793</v>
      </c>
      <c r="BW228" s="31"/>
      <c r="BX228" s="31" t="s">
        <v>793</v>
      </c>
      <c r="BY228" s="31" t="s">
        <v>793</v>
      </c>
      <c r="BZ228" s="31" t="s">
        <v>793</v>
      </c>
      <c r="CA228" s="31" t="s">
        <v>793</v>
      </c>
      <c r="CB228" s="31" t="s">
        <v>793</v>
      </c>
      <c r="CC228" s="31" t="s">
        <v>793</v>
      </c>
      <c r="CD228" s="31"/>
      <c r="CE228" s="31" t="s">
        <v>793</v>
      </c>
      <c r="CF228" s="31" t="s">
        <v>793</v>
      </c>
      <c r="CG228" s="31" t="s">
        <v>793</v>
      </c>
      <c r="CH228" s="31" t="s">
        <v>793</v>
      </c>
      <c r="CI228" s="31"/>
      <c r="CJ228" s="31" t="s">
        <v>793</v>
      </c>
      <c r="CK228" s="31"/>
      <c r="CL228" s="31"/>
    </row>
    <row r="229" spans="1:166" s="62" customFormat="1" x14ac:dyDescent="0.35">
      <c r="A229" s="17" t="s">
        <v>182</v>
      </c>
      <c r="B229" s="54"/>
      <c r="C229" s="48">
        <v>98039144</v>
      </c>
      <c r="D229" s="8">
        <v>0</v>
      </c>
      <c r="E229" s="14">
        <v>65000</v>
      </c>
      <c r="F229" s="12"/>
      <c r="G229" s="12"/>
      <c r="H229" s="12"/>
      <c r="I229" s="12"/>
      <c r="J229" s="12"/>
      <c r="K229" s="12"/>
      <c r="L229" s="12"/>
      <c r="M229" s="12"/>
      <c r="N229" s="12"/>
      <c r="O229" s="23">
        <v>30500</v>
      </c>
      <c r="P229" s="23"/>
      <c r="Q229" s="23"/>
      <c r="R229" s="12"/>
      <c r="S229" s="12">
        <v>35000</v>
      </c>
      <c r="T229" s="12"/>
      <c r="U229" s="12">
        <v>30500</v>
      </c>
      <c r="V229" s="23">
        <f t="shared" si="15"/>
        <v>161000</v>
      </c>
      <c r="W229" s="23">
        <f>BU229</f>
        <v>95500</v>
      </c>
      <c r="X229" s="23">
        <f t="shared" si="16"/>
        <v>65500</v>
      </c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>
        <v>24</v>
      </c>
      <c r="AS229" s="34"/>
      <c r="AT229" s="34"/>
      <c r="AU229" s="34"/>
      <c r="AV229" s="31">
        <v>28</v>
      </c>
      <c r="AW229" s="31"/>
      <c r="AX229" s="34"/>
      <c r="AY229" s="34"/>
      <c r="AZ229" s="31"/>
      <c r="BA229" s="31"/>
      <c r="BB229" s="31"/>
      <c r="BC229" s="31"/>
      <c r="BD229" s="34">
        <v>2</v>
      </c>
      <c r="BE229" s="34">
        <v>10</v>
      </c>
      <c r="BF229" s="34"/>
      <c r="BG229" s="34"/>
      <c r="BH229" s="34"/>
      <c r="BI229" s="34"/>
      <c r="BJ229" s="34"/>
      <c r="BK229" s="34"/>
      <c r="BL229" s="34"/>
      <c r="BM229" s="31">
        <v>15</v>
      </c>
      <c r="BN229" s="31"/>
      <c r="BO229" s="31"/>
      <c r="BP229" s="31"/>
      <c r="BQ229" s="31"/>
      <c r="BR229" s="34">
        <v>18</v>
      </c>
      <c r="BS229" s="34"/>
      <c r="BT229" s="46"/>
      <c r="BU229" s="46">
        <v>95500</v>
      </c>
      <c r="BV229" s="35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4"/>
      <c r="CH229" s="46">
        <v>5</v>
      </c>
      <c r="CI229" s="46"/>
      <c r="CJ229" s="46"/>
      <c r="CK229" s="46"/>
      <c r="CL229" s="46"/>
      <c r="CM229" s="46"/>
      <c r="CN229" s="35"/>
      <c r="CO229" s="35"/>
      <c r="CP229" s="35"/>
      <c r="CQ229" s="35"/>
      <c r="CR229" s="35"/>
      <c r="CS229" s="35"/>
      <c r="CT229" s="35"/>
      <c r="CU229" s="35"/>
      <c r="CV229" s="35"/>
      <c r="CW229" s="35"/>
      <c r="FA229" s="35"/>
      <c r="FB229" s="35"/>
      <c r="FC229" s="35"/>
      <c r="FD229" s="35"/>
      <c r="FE229" s="35"/>
      <c r="FF229" s="35"/>
      <c r="FG229" s="35"/>
      <c r="FH229" s="35"/>
      <c r="FI229" s="35"/>
      <c r="FJ229" s="35"/>
    </row>
    <row r="230" spans="1:166" s="62" customFormat="1" ht="18.5" x14ac:dyDescent="0.45">
      <c r="A230" s="75" t="s">
        <v>237</v>
      </c>
      <c r="B230" s="76"/>
      <c r="C230" s="76">
        <v>9847951616</v>
      </c>
      <c r="D230" s="75">
        <v>15243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>
        <v>173250</v>
      </c>
      <c r="U230" s="8"/>
      <c r="V230" s="23">
        <f t="shared" si="15"/>
        <v>188493</v>
      </c>
      <c r="W230" s="8">
        <v>73250</v>
      </c>
      <c r="X230" s="8">
        <f t="shared" si="16"/>
        <v>115243</v>
      </c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46">
        <v>15</v>
      </c>
      <c r="CI230" s="46"/>
      <c r="CJ230" s="46">
        <v>73250</v>
      </c>
      <c r="CK230" s="46"/>
      <c r="CL230" s="46"/>
      <c r="CM230" s="46"/>
      <c r="CN230" s="46"/>
      <c r="CO230" s="46"/>
      <c r="CP230" s="46"/>
      <c r="CQ230" s="46"/>
      <c r="CR230" s="46"/>
      <c r="CS230" s="46"/>
      <c r="CT230" s="46" t="s">
        <v>790</v>
      </c>
      <c r="CU230" s="35"/>
      <c r="CV230" s="35"/>
      <c r="CW230" s="35"/>
      <c r="CX230" s="35"/>
      <c r="CY230" s="35"/>
      <c r="CZ230" s="35"/>
      <c r="DA230" s="35"/>
      <c r="DB230" s="35"/>
      <c r="DC230" s="35"/>
      <c r="DD230" s="35"/>
      <c r="DE230" s="35"/>
      <c r="DF230" s="35"/>
      <c r="DG230" s="35"/>
      <c r="DH230" s="35"/>
      <c r="DI230" s="35"/>
      <c r="DJ230" s="35"/>
      <c r="DK230" s="35"/>
      <c r="DL230" s="35"/>
      <c r="DM230" s="35"/>
      <c r="DN230" s="35"/>
      <c r="FA230" s="35"/>
      <c r="FB230" s="35"/>
      <c r="FC230" s="35"/>
      <c r="FD230" s="35"/>
      <c r="FE230" s="35"/>
      <c r="FF230" s="35"/>
      <c r="FG230" s="35"/>
      <c r="FH230" s="35"/>
      <c r="FI230" s="35"/>
      <c r="FJ230" s="35"/>
    </row>
    <row r="231" spans="1:166" s="62" customFormat="1" ht="18.5" x14ac:dyDescent="0.45">
      <c r="A231" s="85" t="s">
        <v>215</v>
      </c>
      <c r="B231" s="86"/>
      <c r="C231" s="86" t="s">
        <v>216</v>
      </c>
      <c r="D231" s="75">
        <v>16300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23">
        <f t="shared" ref="V231:V262" si="19">SUM(D231:U231)</f>
        <v>16300</v>
      </c>
      <c r="W231" s="12"/>
      <c r="X231" s="23">
        <f t="shared" ref="X231:X262" si="20">V231-W231</f>
        <v>16300</v>
      </c>
      <c r="Y231" s="14"/>
      <c r="Z231" s="14"/>
      <c r="AA231" s="14" t="s">
        <v>791</v>
      </c>
      <c r="AB231" s="14" t="s">
        <v>803</v>
      </c>
      <c r="AC231" s="14" t="s">
        <v>793</v>
      </c>
      <c r="AD231" s="14" t="s">
        <v>793</v>
      </c>
      <c r="AE231" s="14" t="s">
        <v>793</v>
      </c>
      <c r="AF231" s="14" t="s">
        <v>793</v>
      </c>
      <c r="AG231" s="14"/>
      <c r="AH231" s="14" t="s">
        <v>791</v>
      </c>
      <c r="AI231" s="31" t="s">
        <v>791</v>
      </c>
      <c r="AJ231" s="31" t="s">
        <v>791</v>
      </c>
      <c r="AK231" s="31" t="s">
        <v>791</v>
      </c>
      <c r="AL231" s="31" t="s">
        <v>791</v>
      </c>
      <c r="AM231" s="31" t="s">
        <v>793</v>
      </c>
      <c r="AN231" s="31"/>
      <c r="AO231" s="31" t="s">
        <v>791</v>
      </c>
      <c r="AP231" s="31" t="s">
        <v>803</v>
      </c>
      <c r="AQ231" s="31" t="s">
        <v>791</v>
      </c>
      <c r="AR231" s="31" t="s">
        <v>793</v>
      </c>
      <c r="AS231" s="31" t="s">
        <v>793</v>
      </c>
      <c r="AT231" s="31" t="s">
        <v>791</v>
      </c>
      <c r="AU231" s="31"/>
      <c r="AV231" s="31" t="s">
        <v>793</v>
      </c>
      <c r="AW231" s="31" t="s">
        <v>803</v>
      </c>
      <c r="AX231" s="31" t="s">
        <v>793</v>
      </c>
      <c r="AY231" s="31" t="s">
        <v>791</v>
      </c>
      <c r="AZ231" s="31" t="s">
        <v>793</v>
      </c>
      <c r="BA231" s="31" t="s">
        <v>793</v>
      </c>
      <c r="BB231" s="31"/>
      <c r="BC231" s="31" t="s">
        <v>793</v>
      </c>
      <c r="BD231" s="31"/>
      <c r="BE231" s="31" t="s">
        <v>793</v>
      </c>
      <c r="BF231" s="31"/>
      <c r="BG231" s="31" t="s">
        <v>793</v>
      </c>
      <c r="BH231" s="31" t="s">
        <v>793</v>
      </c>
      <c r="BI231" s="31"/>
      <c r="BJ231" s="31" t="s">
        <v>793</v>
      </c>
      <c r="BK231" s="31" t="s">
        <v>793</v>
      </c>
      <c r="BL231" s="31" t="s">
        <v>793</v>
      </c>
      <c r="BM231" s="31" t="s">
        <v>793</v>
      </c>
      <c r="BN231" s="31" t="s">
        <v>791</v>
      </c>
      <c r="BO231" s="31" t="s">
        <v>803</v>
      </c>
      <c r="BP231" s="31"/>
      <c r="BQ231" s="31" t="s">
        <v>793</v>
      </c>
      <c r="BR231" s="31" t="s">
        <v>793</v>
      </c>
      <c r="BS231" s="31" t="s">
        <v>793</v>
      </c>
      <c r="BT231" s="31" t="s">
        <v>791</v>
      </c>
      <c r="BU231" s="31" t="s">
        <v>791</v>
      </c>
      <c r="BV231" s="31" t="s">
        <v>791</v>
      </c>
      <c r="BW231" s="31"/>
      <c r="BX231" s="31" t="s">
        <v>793</v>
      </c>
      <c r="BY231" s="31" t="s">
        <v>793</v>
      </c>
      <c r="BZ231" s="31" t="s">
        <v>791</v>
      </c>
      <c r="CA231" s="31" t="s">
        <v>793</v>
      </c>
      <c r="CB231" s="31" t="s">
        <v>793</v>
      </c>
      <c r="CC231" s="31" t="s">
        <v>793</v>
      </c>
      <c r="CD231" s="31"/>
      <c r="CE231" s="31" t="s">
        <v>791</v>
      </c>
      <c r="CF231" s="31" t="s">
        <v>791</v>
      </c>
      <c r="CG231" s="31" t="s">
        <v>791</v>
      </c>
      <c r="CH231" s="31" t="s">
        <v>791</v>
      </c>
      <c r="CI231" s="31"/>
      <c r="CJ231" s="31" t="s">
        <v>791</v>
      </c>
      <c r="CK231" s="31"/>
      <c r="CL231" s="31"/>
      <c r="CM231" s="35"/>
      <c r="CN231" s="35"/>
      <c r="CO231" s="35"/>
      <c r="CP231" s="35"/>
      <c r="CQ231" s="35"/>
      <c r="CR231" s="35"/>
      <c r="CS231" s="35"/>
      <c r="CT231" s="35"/>
      <c r="CU231" s="35"/>
      <c r="CV231" s="35"/>
      <c r="CW231" s="35"/>
      <c r="FA231" s="35"/>
      <c r="FB231" s="35"/>
      <c r="FC231" s="35"/>
      <c r="FD231" s="35"/>
      <c r="FE231" s="35"/>
      <c r="FF231" s="35"/>
      <c r="FG231" s="35"/>
      <c r="FH231" s="35"/>
      <c r="FI231" s="35"/>
      <c r="FJ231" s="35"/>
    </row>
    <row r="232" spans="1:166" ht="18.5" x14ac:dyDescent="0.45">
      <c r="A232" s="75" t="s">
        <v>238</v>
      </c>
      <c r="B232" s="76"/>
      <c r="C232" s="76">
        <v>9847495376</v>
      </c>
      <c r="D232" s="75">
        <v>-3500</v>
      </c>
      <c r="E232" s="8"/>
      <c r="F232" s="8"/>
      <c r="G232" s="8"/>
      <c r="H232" s="8"/>
      <c r="I232" s="8"/>
      <c r="J232" s="8"/>
      <c r="K232" s="8"/>
      <c r="L232" s="8"/>
      <c r="M232" s="15"/>
      <c r="N232" s="12"/>
      <c r="O232" s="12">
        <v>17000</v>
      </c>
      <c r="P232" s="12"/>
      <c r="Q232" s="12"/>
      <c r="R232" s="12"/>
      <c r="S232" s="12"/>
      <c r="T232" s="12"/>
      <c r="U232" s="12"/>
      <c r="V232" s="23">
        <f t="shared" si="19"/>
        <v>13500</v>
      </c>
      <c r="W232" s="12">
        <f>BK232</f>
        <v>7500</v>
      </c>
      <c r="X232" s="23">
        <f t="shared" si="20"/>
        <v>6000</v>
      </c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62">
        <f>2500+5000</f>
        <v>7500</v>
      </c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1" t="s">
        <v>4</v>
      </c>
      <c r="BX232" s="34">
        <v>24</v>
      </c>
      <c r="BY232" s="34"/>
      <c r="BZ232" s="34"/>
      <c r="CA232" s="31"/>
      <c r="CB232" s="31"/>
      <c r="CC232" s="31"/>
      <c r="CD232" s="31"/>
      <c r="CE232" s="31"/>
      <c r="CF232" s="31"/>
      <c r="CG232" s="34"/>
      <c r="CH232" s="46">
        <v>3</v>
      </c>
      <c r="CI232" s="46"/>
      <c r="CJ232" s="46"/>
      <c r="CK232" s="31"/>
      <c r="CL232" s="31"/>
    </row>
    <row r="233" spans="1:166" ht="18.5" x14ac:dyDescent="0.45">
      <c r="A233" s="75" t="s">
        <v>991</v>
      </c>
      <c r="B233" s="76"/>
      <c r="C233" s="76">
        <v>9857030867</v>
      </c>
      <c r="D233" s="75"/>
      <c r="E233" s="8"/>
      <c r="F233" s="8"/>
      <c r="G233" s="8"/>
      <c r="H233" s="8"/>
      <c r="I233" s="8"/>
      <c r="J233" s="8"/>
      <c r="K233" s="8"/>
      <c r="L233" s="8"/>
      <c r="M233" s="15"/>
      <c r="N233" s="12"/>
      <c r="O233" s="12"/>
      <c r="P233" s="12">
        <v>13000</v>
      </c>
      <c r="Q233" s="12"/>
      <c r="R233" s="12"/>
      <c r="S233" s="12"/>
      <c r="T233" s="12"/>
      <c r="U233" s="12"/>
      <c r="V233" s="23">
        <f t="shared" si="19"/>
        <v>13000</v>
      </c>
      <c r="W233" s="12"/>
      <c r="X233" s="23">
        <f t="shared" si="20"/>
        <v>13000</v>
      </c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62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1"/>
      <c r="CC233" s="31"/>
      <c r="CD233" s="31"/>
      <c r="CE233" s="31"/>
      <c r="CF233" s="31"/>
      <c r="CG233" s="34"/>
      <c r="CH233" s="46">
        <v>3</v>
      </c>
      <c r="CI233" s="46"/>
      <c r="CJ233" s="46"/>
      <c r="CK233" s="31"/>
      <c r="CL233" s="31"/>
    </row>
    <row r="234" spans="1:166" ht="18.5" x14ac:dyDescent="0.45">
      <c r="A234" s="75" t="s">
        <v>1034</v>
      </c>
      <c r="B234" s="76"/>
      <c r="C234" s="76">
        <v>9851230482</v>
      </c>
      <c r="D234" s="75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>
        <v>55500</v>
      </c>
      <c r="V234" s="23">
        <f t="shared" si="19"/>
        <v>55500</v>
      </c>
      <c r="W234" s="8"/>
      <c r="X234" s="8">
        <f t="shared" si="20"/>
        <v>55500</v>
      </c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CH234" s="46">
        <v>30</v>
      </c>
      <c r="CI234" s="46"/>
      <c r="CJ234" s="46"/>
      <c r="CK234" s="46"/>
      <c r="CL234" s="46"/>
      <c r="CM234" s="46"/>
      <c r="CN234" s="46"/>
      <c r="CO234" s="46"/>
      <c r="CP234" s="46"/>
      <c r="CQ234" s="46"/>
      <c r="CR234" s="46" t="s">
        <v>878</v>
      </c>
    </row>
    <row r="235" spans="1:166" ht="18.5" x14ac:dyDescent="0.45">
      <c r="A235" s="75" t="s">
        <v>218</v>
      </c>
      <c r="B235" s="76"/>
      <c r="C235" s="76">
        <v>9857038683</v>
      </c>
      <c r="D235" s="75">
        <v>71115</v>
      </c>
      <c r="E235" s="12"/>
      <c r="F235" s="14">
        <v>19160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23">
        <f t="shared" si="19"/>
        <v>90275</v>
      </c>
      <c r="W235" s="12">
        <f>AE235</f>
        <v>25000</v>
      </c>
      <c r="X235" s="23">
        <f t="shared" si="20"/>
        <v>65275</v>
      </c>
      <c r="Y235" s="14"/>
      <c r="Z235" s="14"/>
      <c r="AA235" s="14">
        <v>5</v>
      </c>
      <c r="AB235" s="32"/>
      <c r="AC235" s="14" t="s">
        <v>793</v>
      </c>
      <c r="AD235" s="14">
        <v>7</v>
      </c>
      <c r="AE235" s="8">
        <v>25000</v>
      </c>
      <c r="AF235" s="12"/>
      <c r="AG235" s="12"/>
      <c r="AH235" s="12"/>
      <c r="AI235" s="34">
        <v>18</v>
      </c>
      <c r="AJ235" s="34"/>
      <c r="AK235" s="12"/>
      <c r="AL235" s="34"/>
      <c r="AM235" s="12"/>
      <c r="AN235" s="12"/>
      <c r="AO235" s="12"/>
      <c r="AP235" s="34">
        <v>20</v>
      </c>
      <c r="AQ235" s="34"/>
      <c r="AR235" s="34">
        <v>23</v>
      </c>
      <c r="AS235" s="34"/>
      <c r="AT235" s="34"/>
      <c r="AU235" s="31"/>
      <c r="AV235" s="31"/>
      <c r="AW235" s="31">
        <v>27</v>
      </c>
      <c r="AX235" s="31"/>
      <c r="AY235" s="31" t="s">
        <v>793</v>
      </c>
      <c r="AZ235" s="31">
        <v>31</v>
      </c>
      <c r="BA235" s="31"/>
      <c r="BB235" s="31"/>
      <c r="BC235" s="31"/>
      <c r="BD235" s="34">
        <v>4</v>
      </c>
      <c r="BE235" s="34"/>
      <c r="BF235" s="34">
        <v>8</v>
      </c>
      <c r="BG235" s="34"/>
      <c r="BH235" s="34"/>
      <c r="BI235" s="34"/>
      <c r="BJ235" s="34"/>
      <c r="BK235" s="31"/>
      <c r="BL235" s="31">
        <v>10</v>
      </c>
      <c r="BM235" s="31" t="s">
        <v>793</v>
      </c>
      <c r="BN235" s="31">
        <v>14</v>
      </c>
      <c r="BO235" s="31"/>
      <c r="BP235" s="31"/>
      <c r="BQ235" s="34">
        <v>15</v>
      </c>
      <c r="BR235" s="31" t="s">
        <v>793</v>
      </c>
      <c r="BS235" s="31" t="s">
        <v>807</v>
      </c>
      <c r="BT235" s="31" t="s">
        <v>970</v>
      </c>
      <c r="BU235" s="31">
        <v>24</v>
      </c>
      <c r="BV235" s="31"/>
      <c r="BW235" s="34"/>
      <c r="BX235" s="34"/>
      <c r="BY235" s="34"/>
      <c r="BZ235" s="34"/>
      <c r="CA235" s="31">
        <v>27</v>
      </c>
      <c r="CB235" s="31"/>
      <c r="CC235" s="31"/>
      <c r="CD235" s="31"/>
      <c r="CE235" s="31">
        <v>31</v>
      </c>
      <c r="CF235" s="31"/>
      <c r="CG235" s="31"/>
      <c r="CH235" s="46">
        <v>4</v>
      </c>
      <c r="CI235" s="46"/>
      <c r="CJ235" s="46"/>
      <c r="CK235" s="46"/>
      <c r="CL235" s="46"/>
    </row>
    <row r="236" spans="1:166" x14ac:dyDescent="0.35">
      <c r="A236" s="12" t="s">
        <v>219</v>
      </c>
      <c r="B236" s="3"/>
      <c r="C236" s="18">
        <v>9857035807</v>
      </c>
      <c r="D236" s="12">
        <v>187626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23">
        <f t="shared" si="19"/>
        <v>187626</v>
      </c>
      <c r="W236" s="12"/>
      <c r="X236" s="36">
        <f t="shared" si="20"/>
        <v>187626</v>
      </c>
      <c r="Y236" s="14">
        <v>7</v>
      </c>
      <c r="Z236" s="33"/>
      <c r="AA236" s="33"/>
      <c r="AB236" s="33"/>
      <c r="AC236" s="33"/>
      <c r="AD236" s="33"/>
      <c r="AE236" s="12">
        <v>12</v>
      </c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>
        <v>25</v>
      </c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1"/>
      <c r="BD236" s="34">
        <v>5</v>
      </c>
      <c r="BE236" s="34"/>
      <c r="BF236" s="34"/>
      <c r="BG236" s="34"/>
      <c r="BH236" s="34"/>
      <c r="BI236" s="34"/>
      <c r="BJ236" s="34"/>
      <c r="BK236" s="34"/>
      <c r="BL236" s="34">
        <v>20</v>
      </c>
      <c r="BM236" s="31"/>
      <c r="BN236" s="31"/>
      <c r="BO236" s="34"/>
      <c r="BP236" s="34"/>
      <c r="BQ236" s="34"/>
      <c r="BR236" s="34"/>
      <c r="BS236" s="34"/>
      <c r="BT236" s="34"/>
      <c r="BU236" s="34"/>
      <c r="BV236" s="34"/>
      <c r="BW236" s="34">
        <v>26</v>
      </c>
      <c r="BX236" s="34"/>
      <c r="BY236" s="34"/>
      <c r="BZ236" s="34"/>
      <c r="CA236" s="34"/>
      <c r="CB236" s="34"/>
      <c r="CC236" s="31"/>
      <c r="CD236" s="31"/>
      <c r="CE236" s="31"/>
      <c r="CF236" s="31"/>
      <c r="CG236" s="34"/>
      <c r="CH236" s="46">
        <v>5</v>
      </c>
      <c r="CI236" s="46"/>
      <c r="CJ236" s="46"/>
      <c r="CK236" s="46"/>
      <c r="CL236" s="46"/>
      <c r="CM236" s="46"/>
    </row>
    <row r="237" spans="1:166" ht="18.5" x14ac:dyDescent="0.45">
      <c r="A237" s="75" t="s">
        <v>220</v>
      </c>
      <c r="B237" s="76"/>
      <c r="C237" s="76">
        <v>9857029720</v>
      </c>
      <c r="D237" s="75">
        <v>27800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23">
        <f t="shared" si="19"/>
        <v>27800</v>
      </c>
      <c r="W237" s="12"/>
      <c r="X237" s="23">
        <f t="shared" si="20"/>
        <v>27800</v>
      </c>
      <c r="Y237" s="14"/>
      <c r="Z237" s="31"/>
      <c r="AA237" s="31" t="s">
        <v>793</v>
      </c>
      <c r="AB237" s="31" t="s">
        <v>793</v>
      </c>
      <c r="AC237" s="31" t="s">
        <v>793</v>
      </c>
      <c r="AD237" s="31" t="s">
        <v>791</v>
      </c>
      <c r="AE237" s="31" t="s">
        <v>791</v>
      </c>
      <c r="AF237" s="31" t="s">
        <v>829</v>
      </c>
      <c r="AG237" s="31"/>
      <c r="AH237" s="31" t="s">
        <v>791</v>
      </c>
      <c r="AI237" s="31" t="s">
        <v>791</v>
      </c>
      <c r="AJ237" s="31" t="s">
        <v>791</v>
      </c>
      <c r="AK237" s="31" t="s">
        <v>793</v>
      </c>
      <c r="AL237" s="31" t="s">
        <v>793</v>
      </c>
      <c r="AM237" s="31" t="s">
        <v>793</v>
      </c>
      <c r="AN237" s="31"/>
      <c r="AO237" s="31" t="s">
        <v>793</v>
      </c>
      <c r="AP237" s="31" t="s">
        <v>793</v>
      </c>
      <c r="AQ237" s="31" t="s">
        <v>793</v>
      </c>
      <c r="AR237" s="31" t="s">
        <v>791</v>
      </c>
      <c r="AS237" s="31" t="s">
        <v>791</v>
      </c>
      <c r="AT237" s="31" t="s">
        <v>791</v>
      </c>
      <c r="AU237" s="31"/>
      <c r="AV237" s="31" t="s">
        <v>791</v>
      </c>
      <c r="AW237" s="31" t="s">
        <v>791</v>
      </c>
      <c r="AX237" s="31" t="s">
        <v>791</v>
      </c>
      <c r="AY237" s="31" t="s">
        <v>793</v>
      </c>
      <c r="AZ237" s="31"/>
      <c r="BA237" s="31" t="s">
        <v>791</v>
      </c>
      <c r="BB237" s="31"/>
      <c r="BC237" s="31" t="s">
        <v>791</v>
      </c>
      <c r="BD237" s="31" t="s">
        <v>793</v>
      </c>
      <c r="BE237" s="31" t="s">
        <v>793</v>
      </c>
      <c r="BF237" s="31" t="s">
        <v>793</v>
      </c>
      <c r="BG237" s="31" t="s">
        <v>793</v>
      </c>
      <c r="BH237" s="31" t="s">
        <v>791</v>
      </c>
      <c r="BI237" s="31"/>
      <c r="BJ237" s="31" t="s">
        <v>791</v>
      </c>
      <c r="BK237" s="31" t="s">
        <v>791</v>
      </c>
      <c r="BL237" s="31" t="s">
        <v>793</v>
      </c>
      <c r="BM237" s="31" t="s">
        <v>793</v>
      </c>
      <c r="BN237" s="31" t="s">
        <v>793</v>
      </c>
      <c r="BO237" s="31" t="s">
        <v>793</v>
      </c>
      <c r="BP237" s="31"/>
      <c r="BQ237" s="31" t="s">
        <v>791</v>
      </c>
      <c r="BR237" s="31">
        <v>16</v>
      </c>
      <c r="BS237" s="31" t="s">
        <v>791</v>
      </c>
      <c r="BT237" s="31" t="s">
        <v>791</v>
      </c>
      <c r="BU237" s="31" t="s">
        <v>791</v>
      </c>
      <c r="BV237" s="31" t="s">
        <v>791</v>
      </c>
      <c r="BW237" s="31"/>
      <c r="BX237" s="31" t="s">
        <v>791</v>
      </c>
      <c r="BY237" s="31" t="s">
        <v>793</v>
      </c>
      <c r="BZ237" s="31" t="s">
        <v>791</v>
      </c>
      <c r="CA237" s="31" t="s">
        <v>791</v>
      </c>
      <c r="CB237" s="31" t="s">
        <v>791</v>
      </c>
      <c r="CC237" s="31" t="s">
        <v>791</v>
      </c>
      <c r="CD237" s="31"/>
      <c r="CE237" s="31" t="s">
        <v>791</v>
      </c>
      <c r="CF237" s="31" t="s">
        <v>791</v>
      </c>
      <c r="CG237" s="31" t="s">
        <v>793</v>
      </c>
      <c r="CH237" s="31" t="s">
        <v>793</v>
      </c>
      <c r="CI237" s="31"/>
      <c r="CJ237" s="31" t="s">
        <v>793</v>
      </c>
      <c r="CK237" s="31"/>
      <c r="CL237" s="31"/>
    </row>
    <row r="238" spans="1:166" ht="18.5" x14ac:dyDescent="0.45">
      <c r="A238" s="75" t="s">
        <v>221</v>
      </c>
      <c r="B238" s="76"/>
      <c r="C238" s="76">
        <v>9857028222</v>
      </c>
      <c r="D238" s="75">
        <v>6000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23">
        <f t="shared" si="19"/>
        <v>6000</v>
      </c>
      <c r="W238" s="12"/>
      <c r="X238" s="23">
        <f t="shared" si="20"/>
        <v>6000</v>
      </c>
      <c r="Y238" s="31"/>
      <c r="Z238" s="31"/>
      <c r="AA238" s="31" t="s">
        <v>793</v>
      </c>
      <c r="AB238" s="31" t="s">
        <v>792</v>
      </c>
      <c r="AC238" s="31" t="s">
        <v>792</v>
      </c>
      <c r="AD238" s="31" t="s">
        <v>792</v>
      </c>
      <c r="AE238" s="31" t="s">
        <v>792</v>
      </c>
      <c r="AF238" s="31" t="s">
        <v>793</v>
      </c>
      <c r="AG238" s="31"/>
      <c r="AH238" s="31" t="s">
        <v>792</v>
      </c>
      <c r="AI238" s="31" t="s">
        <v>792</v>
      </c>
      <c r="AJ238" s="31" t="s">
        <v>792</v>
      </c>
      <c r="AK238" s="31" t="s">
        <v>792</v>
      </c>
      <c r="AL238" s="31" t="s">
        <v>792</v>
      </c>
      <c r="AM238" s="31" t="s">
        <v>792</v>
      </c>
      <c r="AN238" s="31"/>
      <c r="AO238" s="31" t="s">
        <v>792</v>
      </c>
      <c r="AP238" s="31" t="s">
        <v>792</v>
      </c>
      <c r="AQ238" s="31" t="s">
        <v>792</v>
      </c>
      <c r="AR238" s="31" t="s">
        <v>792</v>
      </c>
      <c r="AS238" s="31" t="s">
        <v>792</v>
      </c>
      <c r="AT238" s="31" t="s">
        <v>791</v>
      </c>
      <c r="AU238" s="31"/>
      <c r="AV238" s="31" t="s">
        <v>792</v>
      </c>
      <c r="AW238" s="31" t="s">
        <v>792</v>
      </c>
      <c r="AX238" s="31" t="s">
        <v>792</v>
      </c>
      <c r="AY238" s="31" t="s">
        <v>792</v>
      </c>
      <c r="AZ238" s="31" t="s">
        <v>791</v>
      </c>
      <c r="BA238" s="31" t="s">
        <v>792</v>
      </c>
      <c r="BB238" s="31"/>
      <c r="BC238" s="31"/>
      <c r="BD238" s="31"/>
      <c r="BE238" s="31" t="s">
        <v>793</v>
      </c>
      <c r="BF238" s="31" t="s">
        <v>792</v>
      </c>
      <c r="BG238" s="31" t="s">
        <v>792</v>
      </c>
      <c r="BH238" s="31" t="s">
        <v>792</v>
      </c>
      <c r="BI238" s="31"/>
      <c r="BJ238" s="31" t="s">
        <v>792</v>
      </c>
      <c r="BK238" s="31" t="s">
        <v>792</v>
      </c>
      <c r="BL238" s="31" t="s">
        <v>792</v>
      </c>
      <c r="BM238" s="31" t="s">
        <v>792</v>
      </c>
      <c r="BN238" s="31" t="s">
        <v>792</v>
      </c>
      <c r="BO238" s="31" t="s">
        <v>792</v>
      </c>
      <c r="BP238" s="31"/>
      <c r="BQ238" s="31"/>
      <c r="BR238" s="34"/>
      <c r="BS238" s="34"/>
      <c r="BT238" s="34"/>
      <c r="BU238" s="31" t="s">
        <v>792</v>
      </c>
      <c r="BV238" s="31" t="s">
        <v>792</v>
      </c>
      <c r="BW238" s="31"/>
      <c r="BX238" s="31" t="s">
        <v>792</v>
      </c>
      <c r="BY238" s="34">
        <v>10</v>
      </c>
      <c r="BZ238" s="34"/>
      <c r="CA238" s="34"/>
      <c r="CB238" s="34"/>
      <c r="CC238" s="34"/>
      <c r="CD238" s="34"/>
      <c r="CE238" s="34"/>
      <c r="CF238" s="34"/>
      <c r="CG238" s="34"/>
      <c r="CH238" s="46">
        <v>10</v>
      </c>
      <c r="CI238" s="46"/>
      <c r="CJ238" s="46"/>
      <c r="CK238" s="46"/>
      <c r="CL238" s="46"/>
      <c r="CM238" s="46"/>
      <c r="CN238" s="46"/>
      <c r="CO238" s="46"/>
      <c r="CP238" s="46"/>
      <c r="CQ238" s="46"/>
      <c r="CR238" s="46"/>
    </row>
    <row r="239" spans="1:166" ht="18.5" x14ac:dyDescent="0.45">
      <c r="A239" s="85" t="s">
        <v>222</v>
      </c>
      <c r="B239" s="86"/>
      <c r="C239" s="86">
        <v>9817422907</v>
      </c>
      <c r="D239" s="75">
        <v>497371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23">
        <f t="shared" si="19"/>
        <v>497371</v>
      </c>
      <c r="W239" s="12">
        <f>AJ239+20000</f>
        <v>40000</v>
      </c>
      <c r="X239" s="23">
        <f t="shared" si="20"/>
        <v>457371</v>
      </c>
      <c r="Y239" s="14"/>
      <c r="Z239" s="14"/>
      <c r="AA239" s="14">
        <v>5</v>
      </c>
      <c r="AB239" s="12"/>
      <c r="AC239" s="14" t="s">
        <v>792</v>
      </c>
      <c r="AD239" s="14" t="s">
        <v>792</v>
      </c>
      <c r="AE239" s="14" t="s">
        <v>792</v>
      </c>
      <c r="AF239" s="53" t="s">
        <v>825</v>
      </c>
      <c r="AG239" s="12"/>
      <c r="AH239" s="12"/>
      <c r="AI239" s="31" t="s">
        <v>792</v>
      </c>
      <c r="AJ239" s="1">
        <v>20000</v>
      </c>
      <c r="AK239" s="34" t="s">
        <v>845</v>
      </c>
      <c r="AL239" s="34"/>
      <c r="AM239" s="34"/>
      <c r="AN239" s="34"/>
      <c r="AO239" s="34"/>
      <c r="AP239" s="31" t="s">
        <v>792</v>
      </c>
      <c r="AQ239" s="31" t="s">
        <v>792</v>
      </c>
      <c r="AR239" s="31" t="s">
        <v>793</v>
      </c>
      <c r="AS239" s="31" t="s">
        <v>793</v>
      </c>
      <c r="AT239" s="31">
        <v>24</v>
      </c>
      <c r="AU239" s="31"/>
      <c r="AV239" s="31" t="s">
        <v>792</v>
      </c>
      <c r="AW239" s="31" t="s">
        <v>792</v>
      </c>
      <c r="AX239" s="31" t="s">
        <v>792</v>
      </c>
      <c r="AY239" s="31" t="s">
        <v>792</v>
      </c>
      <c r="AZ239" s="31" t="s">
        <v>792</v>
      </c>
      <c r="BA239" s="31" t="s">
        <v>792</v>
      </c>
      <c r="BB239" s="31"/>
      <c r="BC239" s="31" t="s">
        <v>792</v>
      </c>
      <c r="BD239" s="31"/>
      <c r="BE239" s="34">
        <v>5</v>
      </c>
      <c r="BF239" s="34"/>
      <c r="BG239" s="34"/>
      <c r="BH239" s="31" t="s">
        <v>792</v>
      </c>
      <c r="BI239" s="31"/>
      <c r="BJ239" s="52">
        <v>0.79166666666666663</v>
      </c>
      <c r="BK239" s="62">
        <v>20000</v>
      </c>
      <c r="BL239" s="34"/>
      <c r="BM239" s="34"/>
      <c r="BN239" s="34"/>
      <c r="BO239" s="34"/>
      <c r="BP239" s="34"/>
      <c r="BQ239" s="34"/>
      <c r="BR239" s="34"/>
      <c r="BS239" s="101"/>
      <c r="BT239" s="31" t="s">
        <v>792</v>
      </c>
      <c r="BU239" s="31" t="s">
        <v>792</v>
      </c>
      <c r="BV239" s="31" t="s">
        <v>792</v>
      </c>
      <c r="BW239" s="31"/>
      <c r="BX239" s="31" t="s">
        <v>792</v>
      </c>
      <c r="BY239" s="31" t="s">
        <v>792</v>
      </c>
      <c r="BZ239" s="31" t="s">
        <v>792</v>
      </c>
      <c r="CA239" s="31" t="s">
        <v>791</v>
      </c>
      <c r="CB239" s="31" t="s">
        <v>792</v>
      </c>
      <c r="CC239" s="31" t="s">
        <v>792</v>
      </c>
      <c r="CD239" s="31"/>
      <c r="CE239" s="31" t="s">
        <v>792</v>
      </c>
      <c r="CF239" s="31" t="s">
        <v>792</v>
      </c>
      <c r="CG239" s="31" t="s">
        <v>792</v>
      </c>
      <c r="CH239" s="46">
        <v>2</v>
      </c>
      <c r="CI239" s="46"/>
      <c r="CJ239" s="46" t="s">
        <v>792</v>
      </c>
      <c r="CK239" s="31"/>
      <c r="CL239" s="31"/>
    </row>
    <row r="240" spans="1:166" ht="18.5" x14ac:dyDescent="0.45">
      <c r="A240" s="75" t="s">
        <v>223</v>
      </c>
      <c r="B240" s="76"/>
      <c r="C240" s="76">
        <v>9857030778</v>
      </c>
      <c r="D240" s="75">
        <v>31000</v>
      </c>
      <c r="E240" s="23"/>
      <c r="F240" s="23"/>
      <c r="G240" s="23"/>
      <c r="H240" s="23"/>
      <c r="I240" s="23"/>
      <c r="J240" s="23"/>
      <c r="K240" s="23"/>
      <c r="L240" s="23"/>
      <c r="M240" s="23"/>
      <c r="N240" s="12"/>
      <c r="O240" s="12"/>
      <c r="P240" s="12"/>
      <c r="Q240" s="12"/>
      <c r="R240" s="12"/>
      <c r="S240" s="12"/>
      <c r="T240" s="12"/>
      <c r="U240" s="12"/>
      <c r="V240" s="23">
        <f t="shared" si="19"/>
        <v>31000</v>
      </c>
      <c r="W240" s="12">
        <f>AR240</f>
        <v>19000</v>
      </c>
      <c r="X240" s="23">
        <f t="shared" si="20"/>
        <v>12000</v>
      </c>
      <c r="Y240" s="12">
        <v>10</v>
      </c>
      <c r="Z240" s="34"/>
      <c r="AA240" s="34"/>
      <c r="AB240" s="34"/>
      <c r="AC240" s="34"/>
      <c r="AD240" s="34"/>
      <c r="AE240" s="34"/>
      <c r="AF240" s="34"/>
      <c r="AG240" s="34"/>
      <c r="AH240" s="34">
        <v>13</v>
      </c>
      <c r="AI240" s="34"/>
      <c r="AJ240" s="34"/>
      <c r="AK240" s="34">
        <v>20</v>
      </c>
      <c r="AL240" s="34"/>
      <c r="AM240" s="34"/>
      <c r="AN240" s="34"/>
      <c r="AO240" s="34"/>
      <c r="AP240" s="34"/>
      <c r="AQ240" s="34"/>
      <c r="AR240" s="34">
        <v>19000</v>
      </c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1" t="s">
        <v>843</v>
      </c>
      <c r="BS240" s="31" t="s">
        <v>843</v>
      </c>
      <c r="CH240" s="31" t="s">
        <v>869</v>
      </c>
      <c r="CI240" s="31"/>
      <c r="CJ240" s="31" t="s">
        <v>843</v>
      </c>
      <c r="CK240" s="31"/>
      <c r="CL240" s="31"/>
    </row>
    <row r="241" spans="1:166" ht="18.5" x14ac:dyDescent="0.45">
      <c r="A241" s="75" t="s">
        <v>30</v>
      </c>
      <c r="B241" s="76"/>
      <c r="C241" s="76">
        <v>9847007976</v>
      </c>
      <c r="D241" s="75">
        <v>207000</v>
      </c>
      <c r="E241" s="12"/>
      <c r="F241" s="12"/>
      <c r="G241" s="12"/>
      <c r="H241" s="12"/>
      <c r="I241" s="12"/>
      <c r="J241" s="12">
        <v>176000</v>
      </c>
      <c r="K241" s="12">
        <v>26500</v>
      </c>
      <c r="L241" s="12">
        <f>83000+176000</f>
        <v>259000</v>
      </c>
      <c r="M241" s="12"/>
      <c r="N241" s="12"/>
      <c r="O241" s="12"/>
      <c r="P241" s="12">
        <v>83000</v>
      </c>
      <c r="Q241" s="12"/>
      <c r="R241" s="12">
        <v>77000</v>
      </c>
      <c r="S241" s="12">
        <v>176000</v>
      </c>
      <c r="T241" s="12"/>
      <c r="U241" s="12">
        <v>176000</v>
      </c>
      <c r="V241" s="23">
        <f t="shared" si="19"/>
        <v>1180500</v>
      </c>
      <c r="W241" s="12">
        <f>AM241+70000+30000+50000+50000+50000+100000+55000+45000</f>
        <v>458500</v>
      </c>
      <c r="X241" s="23">
        <f t="shared" si="20"/>
        <v>722000</v>
      </c>
      <c r="Y241" s="12">
        <v>15</v>
      </c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1">
        <v>8500</v>
      </c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62">
        <f>70000+30000</f>
        <v>100000</v>
      </c>
      <c r="BB241" s="62"/>
      <c r="BC241" s="31"/>
      <c r="BD241" s="34" t="s">
        <v>960</v>
      </c>
      <c r="BE241" s="34"/>
      <c r="BF241" s="34"/>
      <c r="BG241" s="1">
        <v>50000</v>
      </c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1"/>
      <c r="BU241" s="31"/>
      <c r="BV241" s="62">
        <v>50000</v>
      </c>
      <c r="BW241" s="31"/>
      <c r="BX241" s="31"/>
      <c r="BY241" s="62">
        <f>50000+100000</f>
        <v>150000</v>
      </c>
      <c r="BZ241" s="31"/>
      <c r="CA241" s="31"/>
      <c r="CB241" s="31"/>
      <c r="CC241" s="31"/>
      <c r="CD241" s="31"/>
      <c r="CE241" s="62">
        <f>55000+45000</f>
        <v>100000</v>
      </c>
      <c r="CF241" s="31"/>
      <c r="CG241" s="31"/>
      <c r="CH241" s="46">
        <v>4</v>
      </c>
      <c r="CI241" s="46"/>
      <c r="CJ241" s="46"/>
      <c r="CK241" s="46"/>
      <c r="CL241" s="46"/>
    </row>
    <row r="242" spans="1:166" x14ac:dyDescent="0.35">
      <c r="A242" s="12" t="s">
        <v>890</v>
      </c>
      <c r="B242" s="3"/>
      <c r="C242" s="18">
        <v>9851010550</v>
      </c>
      <c r="D242" s="12"/>
      <c r="E242" s="12"/>
      <c r="F242" s="12"/>
      <c r="G242" s="12"/>
      <c r="H242" s="12"/>
      <c r="I242" s="12"/>
      <c r="J242" s="12">
        <v>30500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23">
        <f t="shared" si="19"/>
        <v>30500</v>
      </c>
      <c r="W242" s="12"/>
      <c r="X242" s="23">
        <f t="shared" si="20"/>
        <v>30500</v>
      </c>
      <c r="Y242" s="12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1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1" t="s">
        <v>911</v>
      </c>
      <c r="BD242" s="34">
        <v>5</v>
      </c>
      <c r="BE242" s="34"/>
      <c r="BF242" s="34"/>
      <c r="BG242" s="34"/>
      <c r="BH242" s="34">
        <v>7</v>
      </c>
      <c r="BI242" s="34"/>
      <c r="BJ242" s="31" t="s">
        <v>792</v>
      </c>
      <c r="BK242" s="34">
        <v>11</v>
      </c>
      <c r="BL242" s="34"/>
      <c r="BM242" s="34"/>
      <c r="BN242" s="31">
        <v>14</v>
      </c>
      <c r="BO242" s="34"/>
      <c r="BP242" s="34"/>
      <c r="BQ242" s="31" t="s">
        <v>792</v>
      </c>
      <c r="BR242" s="34">
        <v>19</v>
      </c>
      <c r="BS242" s="34"/>
      <c r="BT242" s="34"/>
      <c r="BU242" s="34"/>
      <c r="BV242" s="31"/>
      <c r="BW242" s="34"/>
      <c r="BX242" s="34">
        <v>23</v>
      </c>
      <c r="BY242" s="34"/>
      <c r="BZ242" s="31" t="s">
        <v>792</v>
      </c>
      <c r="CA242" s="31" t="s">
        <v>792</v>
      </c>
      <c r="CB242" s="31" t="s">
        <v>792</v>
      </c>
      <c r="CC242" s="31">
        <v>28</v>
      </c>
      <c r="CD242" s="31"/>
      <c r="CE242" s="31">
        <v>30</v>
      </c>
      <c r="CF242" s="31"/>
      <c r="CG242" s="34">
        <v>3</v>
      </c>
      <c r="CH242" s="46">
        <v>3</v>
      </c>
      <c r="CI242" s="46"/>
      <c r="CJ242" s="46"/>
      <c r="CK242" s="31"/>
      <c r="CL242" s="31"/>
    </row>
    <row r="243" spans="1:166" ht="18.5" x14ac:dyDescent="0.45">
      <c r="A243" s="75" t="s">
        <v>224</v>
      </c>
      <c r="B243" s="76"/>
      <c r="C243" s="76">
        <v>9813274660</v>
      </c>
      <c r="D243" s="75">
        <v>146000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23">
        <f t="shared" si="19"/>
        <v>146000</v>
      </c>
      <c r="W243" s="12"/>
      <c r="X243" s="23">
        <f t="shared" si="20"/>
        <v>146000</v>
      </c>
      <c r="Y243" s="31"/>
      <c r="Z243" s="31"/>
      <c r="AA243" s="31" t="s">
        <v>793</v>
      </c>
      <c r="AB243" s="14" t="s">
        <v>793</v>
      </c>
      <c r="AC243" s="31" t="s">
        <v>793</v>
      </c>
      <c r="AD243" s="31" t="s">
        <v>793</v>
      </c>
      <c r="AE243" s="31" t="s">
        <v>793</v>
      </c>
      <c r="AF243" s="31" t="s">
        <v>793</v>
      </c>
      <c r="AG243" s="31"/>
      <c r="AH243" s="31" t="s">
        <v>793</v>
      </c>
      <c r="AI243" s="31" t="s">
        <v>793</v>
      </c>
      <c r="AJ243" s="31" t="s">
        <v>793</v>
      </c>
      <c r="AK243" s="31" t="s">
        <v>791</v>
      </c>
      <c r="AL243" s="31" t="s">
        <v>793</v>
      </c>
      <c r="AM243" s="31" t="s">
        <v>793</v>
      </c>
      <c r="AN243" s="31"/>
      <c r="AO243" s="34">
        <v>19</v>
      </c>
      <c r="AP243" s="34"/>
      <c r="AQ243" s="31" t="s">
        <v>793</v>
      </c>
      <c r="AR243" s="31" t="s">
        <v>794</v>
      </c>
      <c r="AS243" s="31" t="s">
        <v>794</v>
      </c>
      <c r="AT243" s="31">
        <v>24</v>
      </c>
      <c r="AU243" s="31"/>
      <c r="AV243" s="31" t="s">
        <v>793</v>
      </c>
      <c r="AW243" s="31" t="s">
        <v>807</v>
      </c>
      <c r="AX243" s="31" t="s">
        <v>793</v>
      </c>
      <c r="AY243" s="31" t="s">
        <v>793</v>
      </c>
      <c r="AZ243" s="31" t="s">
        <v>803</v>
      </c>
      <c r="BA243" s="31">
        <v>31</v>
      </c>
      <c r="BB243" s="31"/>
      <c r="BC243" s="31"/>
      <c r="BD243" s="31"/>
      <c r="BE243" s="31" t="s">
        <v>793</v>
      </c>
      <c r="BF243" s="31" t="s">
        <v>793</v>
      </c>
      <c r="BG243" s="31" t="s">
        <v>793</v>
      </c>
      <c r="BH243" s="31" t="s">
        <v>793</v>
      </c>
      <c r="BI243" s="31"/>
      <c r="BJ243" s="31" t="s">
        <v>793</v>
      </c>
      <c r="BK243" s="31" t="s">
        <v>792</v>
      </c>
      <c r="BL243" s="31" t="s">
        <v>793</v>
      </c>
      <c r="BM243" s="31" t="s">
        <v>793</v>
      </c>
      <c r="BN243" s="31" t="s">
        <v>793</v>
      </c>
      <c r="BO243" s="31" t="s">
        <v>791</v>
      </c>
      <c r="BP243" s="31"/>
      <c r="BQ243" s="31" t="s">
        <v>793</v>
      </c>
      <c r="BR243" s="31" t="s">
        <v>794</v>
      </c>
      <c r="BS243" s="31" t="s">
        <v>793</v>
      </c>
      <c r="BT243" s="31" t="s">
        <v>793</v>
      </c>
      <c r="BU243" s="31" t="s">
        <v>793</v>
      </c>
      <c r="BV243" s="31" t="s">
        <v>793</v>
      </c>
      <c r="BW243" s="31"/>
      <c r="BX243" s="31" t="s">
        <v>793</v>
      </c>
      <c r="BY243" s="31" t="s">
        <v>793</v>
      </c>
      <c r="BZ243" s="31" t="s">
        <v>793</v>
      </c>
      <c r="CA243" s="31" t="s">
        <v>793</v>
      </c>
      <c r="CB243" s="31" t="s">
        <v>792</v>
      </c>
      <c r="CC243" s="31" t="s">
        <v>791</v>
      </c>
      <c r="CD243" s="31"/>
      <c r="CE243" s="31" t="s">
        <v>793</v>
      </c>
      <c r="CF243" s="31"/>
      <c r="CG243" s="31" t="s">
        <v>793</v>
      </c>
      <c r="CH243" s="31" t="s">
        <v>793</v>
      </c>
      <c r="CI243" s="31"/>
      <c r="CJ243" s="31" t="s">
        <v>793</v>
      </c>
      <c r="CK243" s="31"/>
      <c r="CL243" s="31"/>
    </row>
    <row r="244" spans="1:166" ht="18.5" x14ac:dyDescent="0.45">
      <c r="A244" s="75" t="s">
        <v>225</v>
      </c>
      <c r="B244" s="76"/>
      <c r="C244" s="76">
        <v>9857030252</v>
      </c>
      <c r="D244" s="75">
        <v>21000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23">
        <f t="shared" si="19"/>
        <v>21000</v>
      </c>
      <c r="W244" s="12"/>
      <c r="X244" s="23">
        <f t="shared" si="20"/>
        <v>21000</v>
      </c>
      <c r="Y244" s="31"/>
      <c r="Z244" s="31"/>
      <c r="AA244" s="31">
        <v>5</v>
      </c>
      <c r="AB244" s="34"/>
      <c r="AC244" s="12">
        <v>8</v>
      </c>
      <c r="AD244" s="12"/>
      <c r="AE244" s="12"/>
      <c r="AF244" s="31" t="s">
        <v>4</v>
      </c>
      <c r="AG244" s="31"/>
      <c r="AH244" s="34">
        <v>12</v>
      </c>
      <c r="AI244" s="34"/>
      <c r="AJ244" s="34">
        <v>14</v>
      </c>
      <c r="AK244" s="34"/>
      <c r="AL244" s="34">
        <v>20</v>
      </c>
      <c r="AM244" s="34"/>
      <c r="AN244" s="34"/>
      <c r="AO244" s="34"/>
      <c r="AP244" s="34"/>
      <c r="AQ244" s="34"/>
      <c r="AR244" s="34">
        <v>24</v>
      </c>
      <c r="AS244" s="34"/>
      <c r="AT244" s="34"/>
      <c r="AU244" s="34"/>
      <c r="AV244" s="31">
        <v>27</v>
      </c>
      <c r="AW244" s="31"/>
      <c r="AX244" s="31"/>
      <c r="AY244" s="34">
        <v>30</v>
      </c>
      <c r="AZ244" s="34"/>
      <c r="BA244" s="34"/>
      <c r="BB244" s="34"/>
      <c r="BC244" s="31">
        <v>4</v>
      </c>
      <c r="BD244" s="34">
        <v>4</v>
      </c>
      <c r="BE244" s="34"/>
      <c r="BF244" s="34"/>
      <c r="BG244" s="34">
        <v>8</v>
      </c>
      <c r="BH244" s="34"/>
      <c r="BI244" s="34"/>
      <c r="BJ244" s="34"/>
      <c r="BK244" s="34">
        <v>12</v>
      </c>
      <c r="BL244" s="34"/>
      <c r="BM244" s="34"/>
      <c r="BN244" s="34"/>
      <c r="BO244" s="34"/>
      <c r="BP244" s="34"/>
      <c r="BQ244" s="34"/>
      <c r="BR244" s="34"/>
      <c r="BS244" s="31">
        <v>21</v>
      </c>
      <c r="BT244" s="31">
        <v>20</v>
      </c>
      <c r="BU244" s="31"/>
      <c r="BV244" s="31"/>
      <c r="BW244" s="31" t="s">
        <v>4</v>
      </c>
      <c r="BX244" s="34">
        <v>24</v>
      </c>
      <c r="BY244" s="34"/>
      <c r="BZ244" s="34"/>
      <c r="CA244" s="31">
        <v>27</v>
      </c>
      <c r="CB244" s="31"/>
      <c r="CC244" s="31"/>
      <c r="CD244" s="31"/>
      <c r="CE244" s="31">
        <v>3</v>
      </c>
      <c r="CF244" s="31"/>
      <c r="CG244" s="34"/>
      <c r="CH244" s="46">
        <v>3</v>
      </c>
      <c r="CI244" s="46"/>
      <c r="CJ244" s="46"/>
      <c r="CK244" s="31"/>
      <c r="CL244" s="31"/>
    </row>
    <row r="245" spans="1:166" ht="18.5" x14ac:dyDescent="0.45">
      <c r="A245" s="85" t="s">
        <v>226</v>
      </c>
      <c r="B245" s="86"/>
      <c r="C245" s="86">
        <v>9857080819</v>
      </c>
      <c r="D245" s="75">
        <v>38000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23">
        <f t="shared" si="19"/>
        <v>38000</v>
      </c>
      <c r="W245" s="12"/>
      <c r="X245" s="23">
        <f t="shared" si="20"/>
        <v>38000</v>
      </c>
      <c r="Y245" s="31"/>
      <c r="Z245" s="31"/>
      <c r="AA245" s="31">
        <v>5</v>
      </c>
      <c r="AB245" s="34"/>
      <c r="AC245" s="14" t="s">
        <v>793</v>
      </c>
      <c r="AD245" s="31" t="s">
        <v>793</v>
      </c>
      <c r="AE245" s="31" t="s">
        <v>793</v>
      </c>
      <c r="AF245" s="31" t="s">
        <v>809</v>
      </c>
      <c r="AG245" s="31"/>
      <c r="AH245" s="31" t="s">
        <v>793</v>
      </c>
      <c r="AI245" s="31" t="s">
        <v>793</v>
      </c>
      <c r="AJ245" s="31" t="s">
        <v>793</v>
      </c>
      <c r="AK245" s="31" t="s">
        <v>791</v>
      </c>
      <c r="AL245" s="31" t="s">
        <v>793</v>
      </c>
      <c r="AM245" s="31" t="s">
        <v>791</v>
      </c>
      <c r="AN245" s="31"/>
      <c r="AO245" s="31" t="s">
        <v>793</v>
      </c>
      <c r="AP245" s="31" t="s">
        <v>793</v>
      </c>
      <c r="AQ245" s="31" t="s">
        <v>793</v>
      </c>
      <c r="AR245" s="31" t="s">
        <v>793</v>
      </c>
      <c r="AS245" s="31" t="s">
        <v>793</v>
      </c>
      <c r="AT245" s="31" t="s">
        <v>793</v>
      </c>
      <c r="AU245" s="31"/>
      <c r="AV245" s="31" t="s">
        <v>793</v>
      </c>
      <c r="AW245" s="31" t="s">
        <v>793</v>
      </c>
      <c r="AX245" s="31" t="s">
        <v>791</v>
      </c>
      <c r="AY245" s="31" t="s">
        <v>793</v>
      </c>
      <c r="AZ245" s="31" t="s">
        <v>793</v>
      </c>
      <c r="BA245" s="31" t="s">
        <v>793</v>
      </c>
      <c r="BB245" s="31"/>
      <c r="BC245" s="31" t="s">
        <v>793</v>
      </c>
      <c r="BD245" s="31"/>
      <c r="BE245" s="31" t="s">
        <v>793</v>
      </c>
      <c r="BF245" s="31" t="s">
        <v>793</v>
      </c>
      <c r="BG245" s="31" t="s">
        <v>793</v>
      </c>
      <c r="BH245" s="31" t="s">
        <v>793</v>
      </c>
      <c r="BI245" s="31"/>
      <c r="BJ245" s="31" t="s">
        <v>793</v>
      </c>
      <c r="BK245" s="31" t="s">
        <v>793</v>
      </c>
      <c r="BL245" s="31" t="s">
        <v>793</v>
      </c>
      <c r="BM245" s="31" t="s">
        <v>793</v>
      </c>
      <c r="BN245" s="31" t="s">
        <v>793</v>
      </c>
      <c r="BO245" s="31" t="s">
        <v>793</v>
      </c>
      <c r="BP245" s="31"/>
      <c r="BQ245" s="31" t="s">
        <v>793</v>
      </c>
      <c r="BR245" s="31" t="s">
        <v>791</v>
      </c>
      <c r="BS245" s="31" t="s">
        <v>793</v>
      </c>
      <c r="BT245" s="31" t="s">
        <v>793</v>
      </c>
      <c r="BU245" s="31" t="s">
        <v>793</v>
      </c>
      <c r="BV245" s="31" t="s">
        <v>793</v>
      </c>
      <c r="BW245" s="31"/>
      <c r="BX245" s="31" t="s">
        <v>793</v>
      </c>
      <c r="BY245" s="31" t="s">
        <v>793</v>
      </c>
      <c r="BZ245" s="31" t="s">
        <v>793</v>
      </c>
      <c r="CA245" s="31" t="s">
        <v>793</v>
      </c>
      <c r="CB245" s="31" t="s">
        <v>793</v>
      </c>
      <c r="CC245" s="31" t="s">
        <v>794</v>
      </c>
      <c r="CD245" s="31"/>
      <c r="CE245" s="31" t="s">
        <v>793</v>
      </c>
      <c r="CF245" s="31" t="s">
        <v>793</v>
      </c>
      <c r="CG245" s="31" t="s">
        <v>793</v>
      </c>
      <c r="CH245" s="31" t="s">
        <v>793</v>
      </c>
      <c r="CI245" s="31"/>
      <c r="CJ245" s="31" t="s">
        <v>793</v>
      </c>
      <c r="CK245" s="31"/>
      <c r="CL245" s="31"/>
    </row>
    <row r="246" spans="1:166" ht="18.5" x14ac:dyDescent="0.45">
      <c r="A246" s="75" t="s">
        <v>227</v>
      </c>
      <c r="B246" s="76"/>
      <c r="C246" s="76">
        <v>9856003938</v>
      </c>
      <c r="D246" s="75">
        <v>34075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23">
        <f t="shared" si="19"/>
        <v>34075</v>
      </c>
      <c r="W246" s="12"/>
      <c r="X246" s="23">
        <f t="shared" si="20"/>
        <v>34075</v>
      </c>
      <c r="Y246" s="12">
        <v>15</v>
      </c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1" t="s">
        <v>793</v>
      </c>
      <c r="AN246" s="31"/>
      <c r="AO246" s="31" t="s">
        <v>793</v>
      </c>
      <c r="AP246" s="31" t="s">
        <v>791</v>
      </c>
      <c r="AQ246" s="31" t="s">
        <v>791</v>
      </c>
      <c r="AR246" s="31" t="s">
        <v>793</v>
      </c>
      <c r="AS246" s="31" t="s">
        <v>793</v>
      </c>
      <c r="AT246" s="31" t="s">
        <v>791</v>
      </c>
      <c r="AU246" s="31"/>
      <c r="AV246" s="31" t="s">
        <v>791</v>
      </c>
      <c r="AW246" s="31" t="s">
        <v>803</v>
      </c>
      <c r="AX246" s="31" t="s">
        <v>803</v>
      </c>
      <c r="AY246" s="31" t="s">
        <v>794</v>
      </c>
      <c r="AZ246" s="31" t="s">
        <v>793</v>
      </c>
      <c r="BA246" s="31" t="s">
        <v>793</v>
      </c>
      <c r="BB246" s="31"/>
      <c r="BC246" s="31" t="s">
        <v>793</v>
      </c>
      <c r="BD246" s="31"/>
      <c r="BE246" s="31" t="s">
        <v>791</v>
      </c>
      <c r="BF246" s="31" t="s">
        <v>794</v>
      </c>
      <c r="BG246" s="31" t="s">
        <v>793</v>
      </c>
      <c r="BH246" s="31" t="s">
        <v>793</v>
      </c>
      <c r="BI246" s="31"/>
      <c r="BJ246" s="31" t="s">
        <v>791</v>
      </c>
      <c r="BK246" s="31" t="s">
        <v>791</v>
      </c>
      <c r="BL246" s="31" t="s">
        <v>793</v>
      </c>
      <c r="BM246" s="31" t="s">
        <v>791</v>
      </c>
      <c r="BN246" s="31" t="s">
        <v>803</v>
      </c>
      <c r="BO246" s="31" t="s">
        <v>793</v>
      </c>
      <c r="BP246" s="31"/>
      <c r="BQ246" s="31" t="s">
        <v>793</v>
      </c>
      <c r="BR246" s="31" t="s">
        <v>794</v>
      </c>
      <c r="BS246" s="31" t="s">
        <v>793</v>
      </c>
      <c r="BT246" s="31" t="s">
        <v>791</v>
      </c>
      <c r="BU246" s="31" t="s">
        <v>791</v>
      </c>
      <c r="BV246" s="31" t="s">
        <v>791</v>
      </c>
      <c r="BW246" s="31"/>
      <c r="BX246" s="31" t="s">
        <v>791</v>
      </c>
      <c r="BY246" s="31" t="s">
        <v>791</v>
      </c>
      <c r="BZ246" s="31" t="s">
        <v>791</v>
      </c>
      <c r="CA246" s="31" t="s">
        <v>791</v>
      </c>
      <c r="CB246" s="31" t="s">
        <v>791</v>
      </c>
      <c r="CC246" s="31" t="s">
        <v>792</v>
      </c>
      <c r="CD246" s="31"/>
      <c r="CE246" s="31" t="s">
        <v>793</v>
      </c>
      <c r="CF246" s="31" t="s">
        <v>793</v>
      </c>
      <c r="CG246" s="31" t="s">
        <v>793</v>
      </c>
      <c r="CH246" s="31" t="s">
        <v>793</v>
      </c>
      <c r="CI246" s="31"/>
      <c r="CJ246" s="31" t="s">
        <v>791</v>
      </c>
      <c r="CK246" s="31"/>
      <c r="CL246" s="31"/>
    </row>
    <row r="247" spans="1:166" x14ac:dyDescent="0.35">
      <c r="A247" s="12" t="s">
        <v>860</v>
      </c>
      <c r="B247" s="3"/>
      <c r="C247" s="18">
        <v>9847181217</v>
      </c>
      <c r="D247" s="12"/>
      <c r="E247" s="12"/>
      <c r="F247" s="12"/>
      <c r="G247" s="12"/>
      <c r="H247" s="12">
        <f>8300+29600</f>
        <v>37900</v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23">
        <f t="shared" si="19"/>
        <v>37900</v>
      </c>
      <c r="W247" s="12">
        <f>AK247+3000+BN247+8500</f>
        <v>37400</v>
      </c>
      <c r="X247" s="23">
        <f t="shared" si="20"/>
        <v>500</v>
      </c>
      <c r="Y247" s="31"/>
      <c r="Z247" s="31"/>
      <c r="AA247" s="31"/>
      <c r="AB247" s="31"/>
      <c r="AC247" s="31"/>
      <c r="AD247" s="31"/>
      <c r="AE247" s="1"/>
      <c r="AF247" s="34"/>
      <c r="AG247" s="34"/>
      <c r="AH247" s="34"/>
      <c r="AI247" s="12"/>
      <c r="AJ247" s="12"/>
      <c r="AK247" s="61">
        <f>5300+10600</f>
        <v>15900</v>
      </c>
      <c r="AL247" s="61">
        <v>3000</v>
      </c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4">
        <v>5</v>
      </c>
      <c r="BD247" s="12">
        <v>5</v>
      </c>
      <c r="BE247" s="34"/>
      <c r="BF247" s="34"/>
      <c r="BG247" s="34"/>
      <c r="BH247" s="34">
        <v>7</v>
      </c>
      <c r="BI247" s="34"/>
      <c r="BJ247" s="34">
        <v>9</v>
      </c>
      <c r="BK247" s="34"/>
      <c r="BL247" s="31">
        <v>10</v>
      </c>
      <c r="BM247" s="31" t="s">
        <v>807</v>
      </c>
      <c r="BN247" s="1">
        <v>10000</v>
      </c>
      <c r="BO247" s="31"/>
      <c r="BP247" s="31"/>
      <c r="BQ247" s="31" t="s">
        <v>803</v>
      </c>
      <c r="BR247" s="34"/>
      <c r="BS247" s="34"/>
      <c r="BT247" s="34"/>
      <c r="BU247" s="31">
        <v>21</v>
      </c>
      <c r="BV247" s="31"/>
      <c r="BW247" s="34"/>
      <c r="BX247" s="34">
        <v>23</v>
      </c>
      <c r="BY247" s="34"/>
      <c r="BZ247" s="31">
        <v>25</v>
      </c>
      <c r="CA247" s="31"/>
      <c r="CB247" s="31" t="s">
        <v>817</v>
      </c>
      <c r="CC247" s="62">
        <v>8500</v>
      </c>
      <c r="CD247" s="31"/>
      <c r="CE247" s="31"/>
      <c r="CF247" s="31"/>
      <c r="CG247" s="31"/>
      <c r="CH247" s="46">
        <v>10</v>
      </c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T247" s="35"/>
      <c r="CU247" s="35"/>
      <c r="CV247" s="35"/>
      <c r="CW247" s="35"/>
      <c r="CX247" s="35"/>
      <c r="CY247" s="35"/>
      <c r="CZ247" s="35"/>
      <c r="DA247" s="35"/>
      <c r="DB247" s="35"/>
      <c r="DC247" s="35"/>
      <c r="DD247" s="35"/>
      <c r="DE247" s="35"/>
    </row>
    <row r="248" spans="1:166" s="62" customFormat="1" x14ac:dyDescent="0.35">
      <c r="A248" s="12" t="s">
        <v>889</v>
      </c>
      <c r="B248" s="3"/>
      <c r="C248" s="18">
        <v>9847500433</v>
      </c>
      <c r="D248" s="12"/>
      <c r="E248" s="12"/>
      <c r="F248" s="12"/>
      <c r="G248" s="12"/>
      <c r="H248" s="12"/>
      <c r="I248" s="12"/>
      <c r="J248" s="12">
        <v>30500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23">
        <f t="shared" si="19"/>
        <v>30500</v>
      </c>
      <c r="W248" s="12">
        <f>BL248</f>
        <v>20000</v>
      </c>
      <c r="X248" s="23">
        <f t="shared" si="20"/>
        <v>10500</v>
      </c>
      <c r="Y248" s="31"/>
      <c r="Z248" s="31"/>
      <c r="AA248" s="31"/>
      <c r="AB248" s="31"/>
      <c r="AC248" s="31"/>
      <c r="AD248" s="31"/>
      <c r="AE248" s="1"/>
      <c r="AF248" s="34"/>
      <c r="AG248" s="34"/>
      <c r="AH248" s="34"/>
      <c r="AI248" s="12"/>
      <c r="AJ248" s="12"/>
      <c r="AK248" s="12"/>
      <c r="AL248" s="12"/>
      <c r="AM248" s="12"/>
      <c r="AN248" s="12"/>
      <c r="AO248" s="34"/>
      <c r="AP248" s="34"/>
      <c r="AQ248" s="34"/>
      <c r="AR248" s="34"/>
      <c r="AS248" s="34"/>
      <c r="AT248" s="34"/>
      <c r="AU248" s="34"/>
      <c r="AV248" s="31"/>
      <c r="AW248" s="34"/>
      <c r="AX248" s="34"/>
      <c r="AY248" s="34"/>
      <c r="AZ248" s="34"/>
      <c r="BA248" s="31">
        <v>2</v>
      </c>
      <c r="BB248" s="31"/>
      <c r="BC248" s="31"/>
      <c r="BD248" s="34">
        <v>2</v>
      </c>
      <c r="BE248" s="34">
        <v>5</v>
      </c>
      <c r="BF248" s="34"/>
      <c r="BG248" s="34"/>
      <c r="BH248" s="34">
        <v>7</v>
      </c>
      <c r="BI248" s="34"/>
      <c r="BJ248" s="1" t="s">
        <v>807</v>
      </c>
      <c r="BK248" s="1" t="s">
        <v>970</v>
      </c>
      <c r="BL248" s="1">
        <v>20000</v>
      </c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1" t="s">
        <v>4</v>
      </c>
      <c r="BX248" s="1" t="s">
        <v>828</v>
      </c>
      <c r="BY248" s="1" t="s">
        <v>807</v>
      </c>
      <c r="BZ248" s="31">
        <v>26</v>
      </c>
      <c r="CA248" s="31"/>
      <c r="CB248" s="31"/>
      <c r="CC248" s="31">
        <v>30</v>
      </c>
      <c r="CD248" s="31"/>
      <c r="CE248" s="31"/>
      <c r="CF248" s="31"/>
      <c r="CG248" s="34"/>
      <c r="CH248" s="46">
        <v>2</v>
      </c>
      <c r="CI248" s="46"/>
      <c r="CJ248" s="46">
        <v>4</v>
      </c>
      <c r="CK248" s="46"/>
      <c r="CL248" s="46"/>
      <c r="CM248" s="35"/>
      <c r="CN248" s="35"/>
      <c r="CO248" s="35"/>
      <c r="CP248" s="35"/>
      <c r="CQ248" s="35"/>
      <c r="CR248" s="35"/>
      <c r="CS248" s="35"/>
      <c r="CT248" s="35"/>
      <c r="CU248" s="35"/>
      <c r="CV248" s="35"/>
      <c r="CW248" s="35"/>
      <c r="CX248" s="35"/>
      <c r="CY248" s="35"/>
      <c r="CZ248" s="35"/>
      <c r="DA248" s="35"/>
      <c r="DB248" s="35"/>
      <c r="DC248" s="35"/>
      <c r="DD248" s="35"/>
      <c r="DE248" s="35"/>
      <c r="EL248" s="35"/>
      <c r="EM248" s="35"/>
      <c r="EN248" s="35"/>
      <c r="EO248" s="35"/>
      <c r="EP248" s="35"/>
      <c r="EQ248" s="35"/>
      <c r="ER248" s="35"/>
      <c r="ES248" s="35"/>
      <c r="ET248" s="35"/>
      <c r="EU248" s="35"/>
      <c r="EV248" s="35"/>
      <c r="EW248" s="35"/>
      <c r="EX248" s="35"/>
      <c r="EY248" s="35"/>
      <c r="EZ248" s="35"/>
      <c r="FA248" s="35"/>
      <c r="FB248" s="35"/>
      <c r="FC248" s="35"/>
      <c r="FD248" s="35"/>
      <c r="FE248" s="35"/>
      <c r="FF248" s="35"/>
      <c r="FG248" s="35"/>
      <c r="FH248" s="35"/>
      <c r="FI248" s="35"/>
      <c r="FJ248" s="35"/>
    </row>
    <row r="249" spans="1:166" s="62" customFormat="1" ht="18.5" x14ac:dyDescent="0.45">
      <c r="A249" s="75" t="s">
        <v>148</v>
      </c>
      <c r="B249" s="76"/>
      <c r="C249" s="76">
        <v>9866741197</v>
      </c>
      <c r="D249" s="75">
        <v>240322.25</v>
      </c>
      <c r="E249" s="12"/>
      <c r="F249" s="12"/>
      <c r="G249" s="12"/>
      <c r="H249" s="12"/>
      <c r="I249" s="12">
        <v>93000</v>
      </c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23">
        <f t="shared" si="19"/>
        <v>333322.25</v>
      </c>
      <c r="W249" s="12">
        <f>AE249+BO249</f>
        <v>190000</v>
      </c>
      <c r="X249" s="23">
        <f t="shared" si="20"/>
        <v>143322.25</v>
      </c>
      <c r="Y249" s="31"/>
      <c r="Z249" s="31"/>
      <c r="AA249" s="31" t="s">
        <v>798</v>
      </c>
      <c r="AB249" s="31" t="s">
        <v>798</v>
      </c>
      <c r="AC249" s="31" t="s">
        <v>798</v>
      </c>
      <c r="AD249" s="31" t="s">
        <v>798</v>
      </c>
      <c r="AE249" s="1">
        <v>140000</v>
      </c>
      <c r="AF249" s="34"/>
      <c r="AG249" s="34"/>
      <c r="AH249" s="34"/>
      <c r="AI249" s="12">
        <v>17</v>
      </c>
      <c r="AJ249" s="12"/>
      <c r="AK249" s="12"/>
      <c r="AL249" s="12"/>
      <c r="AM249" s="12"/>
      <c r="AN249" s="12"/>
      <c r="AO249" s="34">
        <v>24</v>
      </c>
      <c r="AP249" s="34"/>
      <c r="AQ249" s="34"/>
      <c r="AR249" s="34"/>
      <c r="AS249" s="34"/>
      <c r="AT249" s="34"/>
      <c r="AU249" s="34"/>
      <c r="AV249" s="31"/>
      <c r="AW249" s="34"/>
      <c r="AX249" s="34"/>
      <c r="AY249" s="34"/>
      <c r="AZ249" s="31">
        <v>30</v>
      </c>
      <c r="BA249" s="31"/>
      <c r="BB249" s="31"/>
      <c r="BC249" s="31" t="s">
        <v>793</v>
      </c>
      <c r="BD249" s="34">
        <v>3</v>
      </c>
      <c r="BE249" s="34"/>
      <c r="BF249" s="34">
        <v>8</v>
      </c>
      <c r="BG249" s="34"/>
      <c r="BH249" s="34"/>
      <c r="BI249" s="34"/>
      <c r="BJ249" s="34"/>
      <c r="BK249" s="1" t="s">
        <v>828</v>
      </c>
      <c r="BL249" s="31" t="s">
        <v>798</v>
      </c>
      <c r="BM249" s="31" t="s">
        <v>798</v>
      </c>
      <c r="BN249" s="31" t="s">
        <v>798</v>
      </c>
      <c r="BO249" s="91">
        <v>50000</v>
      </c>
      <c r="BP249" s="31"/>
      <c r="BQ249" s="34">
        <v>20</v>
      </c>
      <c r="BR249" s="34"/>
      <c r="BS249" s="34"/>
      <c r="BT249" s="34"/>
      <c r="BU249" s="34"/>
      <c r="BV249" s="34"/>
      <c r="BW249" s="31" t="s">
        <v>4</v>
      </c>
      <c r="BX249" s="34">
        <v>26</v>
      </c>
      <c r="BY249" s="34"/>
      <c r="BZ249" s="34"/>
      <c r="CA249" s="34"/>
      <c r="CB249" s="34"/>
      <c r="CC249" s="31"/>
      <c r="CD249" s="31"/>
      <c r="CE249" s="31"/>
      <c r="CF249" s="31"/>
      <c r="CG249" s="34"/>
      <c r="CH249" s="46">
        <v>4</v>
      </c>
      <c r="CI249" s="46"/>
      <c r="CJ249" s="46">
        <v>6</v>
      </c>
      <c r="CK249" s="46"/>
      <c r="CL249" s="46"/>
      <c r="CM249" s="46"/>
      <c r="CN249" s="46"/>
      <c r="CO249" s="35"/>
      <c r="CP249" s="35"/>
      <c r="CQ249" s="35"/>
      <c r="CR249" s="35"/>
      <c r="CS249" s="35"/>
      <c r="CT249" s="35"/>
      <c r="CU249" s="35"/>
      <c r="CV249" s="35"/>
      <c r="CW249" s="35"/>
      <c r="CX249" s="35"/>
      <c r="CY249" s="35"/>
      <c r="CZ249" s="35"/>
      <c r="DA249" s="35"/>
      <c r="DB249" s="35"/>
      <c r="DC249" s="35"/>
      <c r="DD249" s="35"/>
      <c r="DE249" s="35"/>
      <c r="EL249" s="35"/>
      <c r="EM249" s="35"/>
      <c r="EN249" s="35"/>
      <c r="EO249" s="35"/>
      <c r="EP249" s="35"/>
      <c r="EQ249" s="35"/>
      <c r="ER249" s="35"/>
      <c r="ES249" s="35"/>
      <c r="ET249" s="35"/>
      <c r="EU249" s="35"/>
      <c r="EV249" s="35"/>
      <c r="EW249" s="35"/>
      <c r="EX249" s="35"/>
      <c r="EY249" s="35"/>
      <c r="EZ249" s="35"/>
      <c r="FA249" s="35"/>
      <c r="FB249" s="35"/>
      <c r="FC249" s="35"/>
      <c r="FD249" s="35"/>
      <c r="FE249" s="35"/>
      <c r="FF249" s="35"/>
      <c r="FG249" s="35"/>
      <c r="FH249" s="35"/>
      <c r="FI249" s="35"/>
      <c r="FJ249" s="35"/>
    </row>
    <row r="250" spans="1:166" s="35" customFormat="1" ht="18.5" x14ac:dyDescent="0.45">
      <c r="A250" s="75" t="s">
        <v>228</v>
      </c>
      <c r="B250" s="76"/>
      <c r="C250" s="76">
        <v>9847119413</v>
      </c>
      <c r="D250" s="75">
        <v>339500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23">
        <f t="shared" si="19"/>
        <v>339500</v>
      </c>
      <c r="W250" s="12">
        <f>AI250+20000</f>
        <v>120000</v>
      </c>
      <c r="X250" s="23">
        <f t="shared" si="20"/>
        <v>219500</v>
      </c>
      <c r="Y250" s="31"/>
      <c r="Z250" s="31"/>
      <c r="AA250" s="31">
        <v>5</v>
      </c>
      <c r="AB250" s="33"/>
      <c r="AC250" s="12">
        <v>7</v>
      </c>
      <c r="AD250" s="12"/>
      <c r="AE250" s="32">
        <v>11</v>
      </c>
      <c r="AF250" s="12"/>
      <c r="AG250" s="12"/>
      <c r="AH250" s="12"/>
      <c r="AI250" s="8">
        <v>100000</v>
      </c>
      <c r="AJ250" s="34"/>
      <c r="AK250" s="34"/>
      <c r="AL250" s="34"/>
      <c r="AM250" s="34"/>
      <c r="AN250" s="31" t="s">
        <v>4</v>
      </c>
      <c r="AO250" s="34">
        <v>21</v>
      </c>
      <c r="AP250" s="34"/>
      <c r="AQ250" s="34"/>
      <c r="AR250" s="34"/>
      <c r="AS250" s="31" t="s">
        <v>794</v>
      </c>
      <c r="AT250" s="31">
        <v>28</v>
      </c>
      <c r="AU250" s="31"/>
      <c r="AV250" s="31"/>
      <c r="AW250" s="34"/>
      <c r="AX250" s="34"/>
      <c r="AY250" s="34"/>
      <c r="AZ250" s="31"/>
      <c r="BA250" s="31"/>
      <c r="BB250" s="31"/>
      <c r="BC250" s="31"/>
      <c r="BD250" s="1">
        <v>20000</v>
      </c>
      <c r="BE250" s="34"/>
      <c r="BF250" s="34"/>
      <c r="BG250" s="34"/>
      <c r="BH250" s="34"/>
      <c r="BI250" s="34"/>
      <c r="BJ250" s="34"/>
      <c r="BK250" s="34"/>
      <c r="BL250" s="34"/>
      <c r="BM250" s="31"/>
      <c r="BN250" s="31"/>
      <c r="BO250" s="31"/>
      <c r="BP250" s="31"/>
      <c r="BQ250" s="31"/>
      <c r="BR250" s="34">
        <v>20</v>
      </c>
      <c r="BS250" s="34"/>
      <c r="BT250" s="34"/>
      <c r="BU250" s="34"/>
      <c r="BV250" s="34"/>
      <c r="BW250" s="31"/>
      <c r="BX250" s="34">
        <v>25</v>
      </c>
      <c r="BY250" s="34"/>
      <c r="BZ250" s="34"/>
      <c r="CA250" s="34"/>
      <c r="CB250" s="31">
        <v>28</v>
      </c>
      <c r="CC250" s="31"/>
      <c r="CD250" s="31"/>
      <c r="CE250" s="31">
        <v>3</v>
      </c>
      <c r="CF250" s="31"/>
      <c r="CG250" s="34"/>
      <c r="CH250" s="46">
        <v>3</v>
      </c>
      <c r="CI250" s="46"/>
      <c r="CJ250" s="46"/>
      <c r="CK250" s="31"/>
      <c r="CL250" s="31"/>
    </row>
    <row r="251" spans="1:166" s="62" customFormat="1" ht="18.5" x14ac:dyDescent="0.45">
      <c r="A251" s="85" t="s">
        <v>229</v>
      </c>
      <c r="B251" s="86"/>
      <c r="C251" s="86" t="s">
        <v>230</v>
      </c>
      <c r="D251" s="75">
        <v>254808.1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23">
        <f t="shared" si="19"/>
        <v>254808.1</v>
      </c>
      <c r="W251" s="12"/>
      <c r="X251" s="23">
        <f t="shared" si="20"/>
        <v>254808.1</v>
      </c>
      <c r="Y251" s="31"/>
      <c r="Z251" s="31"/>
      <c r="AA251" s="31" t="s">
        <v>791</v>
      </c>
      <c r="AB251" s="31" t="s">
        <v>791</v>
      </c>
      <c r="AC251" s="31" t="s">
        <v>791</v>
      </c>
      <c r="AD251" s="31" t="s">
        <v>791</v>
      </c>
      <c r="AE251" s="31" t="s">
        <v>791</v>
      </c>
      <c r="AF251" s="31" t="s">
        <v>793</v>
      </c>
      <c r="AG251" s="31"/>
      <c r="AH251" s="31" t="s">
        <v>791</v>
      </c>
      <c r="AI251" s="31" t="s">
        <v>791</v>
      </c>
      <c r="AJ251" s="34" t="s">
        <v>791</v>
      </c>
      <c r="AK251" s="31" t="s">
        <v>791</v>
      </c>
      <c r="AL251" s="31" t="s">
        <v>791</v>
      </c>
      <c r="AM251" s="31" t="s">
        <v>794</v>
      </c>
      <c r="AN251" s="31"/>
      <c r="AO251" s="31" t="s">
        <v>791</v>
      </c>
      <c r="AP251" s="31" t="s">
        <v>791</v>
      </c>
      <c r="AQ251" s="31" t="s">
        <v>791</v>
      </c>
      <c r="AR251" s="31" t="s">
        <v>791</v>
      </c>
      <c r="AS251" s="31" t="s">
        <v>791</v>
      </c>
      <c r="AT251" s="31" t="s">
        <v>791</v>
      </c>
      <c r="AU251" s="31"/>
      <c r="AV251" s="31" t="s">
        <v>794</v>
      </c>
      <c r="AW251" s="31" t="s">
        <v>794</v>
      </c>
      <c r="AX251" s="31" t="s">
        <v>793</v>
      </c>
      <c r="AY251" s="31" t="s">
        <v>793</v>
      </c>
      <c r="AZ251" s="31" t="s">
        <v>791</v>
      </c>
      <c r="BA251" s="31" t="s">
        <v>791</v>
      </c>
      <c r="BB251" s="31"/>
      <c r="BC251" s="31" t="s">
        <v>791</v>
      </c>
      <c r="BD251" s="31"/>
      <c r="BE251" s="31" t="s">
        <v>791</v>
      </c>
      <c r="BF251" s="31" t="s">
        <v>791</v>
      </c>
      <c r="BG251" s="31" t="s">
        <v>791</v>
      </c>
      <c r="BH251" s="31" t="s">
        <v>791</v>
      </c>
      <c r="BI251" s="31"/>
      <c r="BJ251" s="31" t="s">
        <v>791</v>
      </c>
      <c r="BK251" s="31" t="s">
        <v>791</v>
      </c>
      <c r="BL251" s="31">
        <v>11</v>
      </c>
      <c r="BM251" s="31"/>
      <c r="BN251" s="31" t="s">
        <v>791</v>
      </c>
      <c r="BO251" s="31" t="s">
        <v>791</v>
      </c>
      <c r="BP251" s="31"/>
      <c r="BQ251" s="31" t="s">
        <v>791</v>
      </c>
      <c r="BR251" s="31" t="s">
        <v>791</v>
      </c>
      <c r="BS251" s="31" t="s">
        <v>791</v>
      </c>
      <c r="BT251" s="31">
        <v>25</v>
      </c>
      <c r="BU251" s="31"/>
      <c r="BV251" s="31"/>
      <c r="BW251" s="31"/>
      <c r="BX251" s="34"/>
      <c r="BY251" s="34"/>
      <c r="BZ251" s="34"/>
      <c r="CA251" s="34"/>
      <c r="CB251" s="31" t="s">
        <v>791</v>
      </c>
      <c r="CC251" s="31" t="s">
        <v>791</v>
      </c>
      <c r="CD251" s="31"/>
      <c r="CE251" s="31" t="s">
        <v>791</v>
      </c>
      <c r="CF251" s="31" t="s">
        <v>794</v>
      </c>
      <c r="CG251" s="31" t="s">
        <v>794</v>
      </c>
      <c r="CH251" s="31" t="s">
        <v>793</v>
      </c>
      <c r="CI251" s="31"/>
      <c r="CJ251" s="31" t="s">
        <v>791</v>
      </c>
      <c r="CK251" s="31"/>
      <c r="CL251" s="31"/>
      <c r="CM251" s="35"/>
      <c r="CN251" s="35"/>
      <c r="CO251" s="35"/>
      <c r="CP251" s="35"/>
      <c r="CQ251" s="35"/>
      <c r="CR251" s="35"/>
      <c r="CS251" s="35"/>
      <c r="CT251" s="35"/>
      <c r="CU251" s="35"/>
      <c r="CV251" s="35"/>
      <c r="CW251" s="35"/>
      <c r="CX251" s="35"/>
      <c r="CY251" s="35"/>
      <c r="CZ251" s="35"/>
      <c r="DA251" s="35"/>
      <c r="DB251" s="35"/>
      <c r="DC251" s="35"/>
      <c r="DD251" s="35"/>
      <c r="DE251" s="35"/>
      <c r="EL251" s="35"/>
      <c r="EM251" s="35"/>
      <c r="EN251" s="35"/>
      <c r="EO251" s="35"/>
      <c r="EP251" s="35"/>
      <c r="EQ251" s="35"/>
      <c r="ER251" s="35"/>
      <c r="ES251" s="35"/>
      <c r="ET251" s="35"/>
      <c r="EU251" s="35"/>
      <c r="EV251" s="35"/>
      <c r="EW251" s="35"/>
      <c r="EX251" s="35"/>
      <c r="EY251" s="35"/>
      <c r="EZ251" s="35"/>
      <c r="FA251" s="35"/>
      <c r="FB251" s="35"/>
      <c r="FC251" s="35"/>
      <c r="FD251" s="35"/>
      <c r="FE251" s="35"/>
      <c r="FF251" s="35"/>
      <c r="FG251" s="35"/>
      <c r="FH251" s="35"/>
      <c r="FI251" s="35"/>
      <c r="FJ251" s="35"/>
    </row>
    <row r="252" spans="1:166" ht="18.5" x14ac:dyDescent="0.45">
      <c r="A252" s="85" t="s">
        <v>231</v>
      </c>
      <c r="B252" s="86"/>
      <c r="C252" s="86" t="s">
        <v>40</v>
      </c>
      <c r="D252" s="75">
        <v>31000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23">
        <f t="shared" si="19"/>
        <v>31000</v>
      </c>
      <c r="W252" s="12"/>
      <c r="X252" s="23">
        <f t="shared" si="20"/>
        <v>31000</v>
      </c>
      <c r="Y252" s="31"/>
      <c r="Z252" s="31"/>
      <c r="AA252" s="31">
        <v>10</v>
      </c>
      <c r="AB252" s="33"/>
      <c r="AC252" s="33"/>
      <c r="AD252" s="33"/>
      <c r="AE252" s="33"/>
      <c r="AF252" s="33"/>
      <c r="AG252" s="33"/>
      <c r="AH252" s="12">
        <v>15</v>
      </c>
      <c r="AI252" s="12"/>
      <c r="AJ252" s="12"/>
      <c r="AK252" s="12"/>
      <c r="AL252" s="12"/>
      <c r="AM252" s="31" t="s">
        <v>791</v>
      </c>
      <c r="AN252" s="31"/>
      <c r="AO252" s="31" t="s">
        <v>794</v>
      </c>
      <c r="AP252" s="34">
        <v>25</v>
      </c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1">
        <v>8</v>
      </c>
      <c r="BD252" s="34">
        <v>8</v>
      </c>
      <c r="BE252" s="34"/>
      <c r="BF252" s="34"/>
      <c r="BG252" s="34"/>
      <c r="BH252" s="34"/>
      <c r="BI252" s="34"/>
      <c r="BJ252" s="34"/>
      <c r="BK252" s="34">
        <v>15</v>
      </c>
      <c r="BL252" s="34"/>
      <c r="BM252" s="34"/>
      <c r="BN252" s="34"/>
      <c r="BO252" s="34"/>
      <c r="BP252" s="34"/>
      <c r="BQ252" s="34"/>
      <c r="BR252" s="31" t="s">
        <v>794</v>
      </c>
      <c r="BS252" s="31" t="s">
        <v>794</v>
      </c>
      <c r="BT252" s="31" t="s">
        <v>794</v>
      </c>
      <c r="BU252" s="31" t="s">
        <v>794</v>
      </c>
      <c r="BV252" s="31" t="s">
        <v>794</v>
      </c>
      <c r="BW252" s="31"/>
      <c r="BX252" s="31" t="s">
        <v>793</v>
      </c>
      <c r="BY252" s="31" t="s">
        <v>793</v>
      </c>
      <c r="BZ252" s="31" t="s">
        <v>793</v>
      </c>
      <c r="CA252" s="31" t="s">
        <v>791</v>
      </c>
      <c r="CB252" s="31" t="s">
        <v>794</v>
      </c>
      <c r="CC252" s="31" t="s">
        <v>794</v>
      </c>
      <c r="CD252" s="31"/>
      <c r="CE252" s="31" t="s">
        <v>794</v>
      </c>
      <c r="CF252" s="31" t="s">
        <v>794</v>
      </c>
      <c r="CG252" s="31" t="s">
        <v>794</v>
      </c>
      <c r="CH252" s="31" t="s">
        <v>794</v>
      </c>
      <c r="CI252" s="31"/>
      <c r="CJ252" s="31" t="s">
        <v>794</v>
      </c>
      <c r="CK252" s="31"/>
      <c r="CL252" s="31"/>
      <c r="CM252" s="35"/>
      <c r="CN252" s="35"/>
      <c r="CO252" s="35"/>
      <c r="CP252" s="35"/>
      <c r="CQ252" s="35"/>
      <c r="CR252" s="35"/>
      <c r="CS252" s="35"/>
      <c r="CT252" s="35"/>
      <c r="CU252" s="35"/>
      <c r="CV252" s="35"/>
      <c r="CW252" s="35"/>
      <c r="CX252" s="35"/>
      <c r="CY252" s="35"/>
      <c r="CZ252" s="35"/>
      <c r="DA252" s="35"/>
      <c r="DB252" s="35"/>
      <c r="DC252" s="35"/>
      <c r="DD252" s="35"/>
      <c r="DE252" s="35"/>
      <c r="EL252" s="35"/>
      <c r="EM252" s="35"/>
      <c r="EN252" s="35"/>
      <c r="EO252" s="35"/>
      <c r="EP252" s="35"/>
      <c r="EQ252" s="35"/>
      <c r="ER252" s="35"/>
      <c r="ES252" s="35"/>
      <c r="ET252" s="35"/>
      <c r="EU252" s="35"/>
      <c r="EV252" s="35"/>
      <c r="EW252" s="35"/>
      <c r="EX252" s="35"/>
      <c r="EY252" s="35"/>
      <c r="EZ252" s="35"/>
      <c r="FA252" s="35"/>
      <c r="FB252" s="35"/>
      <c r="FC252" s="35"/>
      <c r="FD252" s="35"/>
      <c r="FE252" s="35"/>
      <c r="FF252" s="35"/>
      <c r="FG252" s="35"/>
      <c r="FH252" s="35"/>
      <c r="FI252" s="35"/>
      <c r="FJ252" s="35"/>
    </row>
    <row r="253" spans="1:166" x14ac:dyDescent="0.35">
      <c r="A253" s="12" t="s">
        <v>235</v>
      </c>
      <c r="B253" s="18"/>
      <c r="C253" s="18">
        <v>9857067511</v>
      </c>
      <c r="D253" s="12">
        <v>4500</v>
      </c>
      <c r="E253" s="12"/>
      <c r="F253" s="12"/>
      <c r="G253" s="12"/>
      <c r="H253" s="12"/>
      <c r="I253" s="12">
        <v>13250</v>
      </c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23">
        <f t="shared" si="19"/>
        <v>17750</v>
      </c>
      <c r="W253" s="12"/>
      <c r="X253" s="23">
        <f t="shared" si="20"/>
        <v>17750</v>
      </c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1"/>
      <c r="AT253" s="31"/>
      <c r="AU253" s="31"/>
      <c r="AV253" s="31"/>
      <c r="AW253" s="31"/>
      <c r="AX253" s="31"/>
      <c r="AY253" s="34">
        <v>31</v>
      </c>
      <c r="AZ253" s="34"/>
      <c r="BA253" s="34"/>
      <c r="BB253" s="34"/>
      <c r="BC253" s="34"/>
      <c r="BD253" s="34">
        <v>5</v>
      </c>
      <c r="BE253" s="34"/>
      <c r="BF253" s="34"/>
      <c r="BG253" s="34"/>
      <c r="BH253" s="34">
        <v>9</v>
      </c>
      <c r="BI253" s="34"/>
      <c r="BJ253" s="34"/>
      <c r="BK253" s="34"/>
      <c r="BL253" s="34">
        <v>14</v>
      </c>
      <c r="BM253" s="34"/>
      <c r="BN253" s="34"/>
      <c r="BO253" s="34"/>
      <c r="BP253" s="34"/>
      <c r="BQ253" s="34">
        <v>18</v>
      </c>
      <c r="BR253" s="34"/>
      <c r="BS253" s="34"/>
      <c r="BT253" s="34"/>
      <c r="BU253" s="31"/>
      <c r="BV253" s="31"/>
      <c r="BW253" s="31"/>
      <c r="BX253" s="34">
        <v>25</v>
      </c>
      <c r="BY253" s="34"/>
      <c r="BZ253" s="34"/>
      <c r="CA253" s="34"/>
      <c r="CB253" s="31">
        <v>30</v>
      </c>
      <c r="CC253" s="31"/>
      <c r="CD253" s="31"/>
      <c r="CE253" s="31"/>
      <c r="CF253" s="31"/>
      <c r="CG253" s="34"/>
      <c r="CH253" s="46">
        <v>4</v>
      </c>
      <c r="CI253" s="46"/>
      <c r="CJ253" s="46"/>
      <c r="CK253" s="46"/>
      <c r="CL253" s="46"/>
      <c r="CM253" s="35"/>
      <c r="CN253" s="35"/>
      <c r="CO253" s="35"/>
      <c r="CP253" s="35"/>
      <c r="CQ253" s="35"/>
      <c r="CR253" s="35"/>
      <c r="CS253" s="35"/>
      <c r="CT253" s="35"/>
      <c r="CU253" s="35"/>
      <c r="CV253" s="35"/>
      <c r="CW253" s="35"/>
      <c r="CX253" s="35"/>
      <c r="CY253" s="35"/>
      <c r="CZ253" s="35"/>
      <c r="DA253" s="35"/>
      <c r="DB253" s="35"/>
      <c r="DC253" s="35"/>
      <c r="DD253" s="35"/>
      <c r="DE253" s="35"/>
      <c r="EL253" s="35"/>
      <c r="EM253" s="35"/>
      <c r="EN253" s="35"/>
      <c r="EO253" s="35"/>
      <c r="EP253" s="35"/>
      <c r="EQ253" s="35"/>
      <c r="ER253" s="35"/>
      <c r="ES253" s="35"/>
      <c r="ET253" s="35"/>
      <c r="EU253" s="35"/>
      <c r="EV253" s="35"/>
      <c r="EW253" s="35"/>
      <c r="EX253" s="35"/>
      <c r="EY253" s="35"/>
      <c r="EZ253" s="35"/>
      <c r="FA253" s="35"/>
      <c r="FB253" s="35"/>
      <c r="FC253" s="35"/>
      <c r="FD253" s="35"/>
      <c r="FE253" s="35"/>
      <c r="FF253" s="35"/>
      <c r="FG253" s="35"/>
      <c r="FH253" s="35"/>
      <c r="FI253" s="35"/>
      <c r="FJ253" s="35"/>
    </row>
    <row r="254" spans="1:166" x14ac:dyDescent="0.35">
      <c r="A254" s="12" t="s">
        <v>971</v>
      </c>
      <c r="B254" s="29"/>
      <c r="C254" s="29">
        <v>9801019540</v>
      </c>
      <c r="D254" s="23"/>
      <c r="E254" s="23"/>
      <c r="F254" s="23"/>
      <c r="G254" s="23"/>
      <c r="H254" s="23"/>
      <c r="I254" s="23"/>
      <c r="J254" s="23"/>
      <c r="K254" s="23"/>
      <c r="L254" s="23"/>
      <c r="M254" s="23">
        <v>49000</v>
      </c>
      <c r="N254" s="23"/>
      <c r="O254" s="23"/>
      <c r="P254" s="23"/>
      <c r="Q254" s="23"/>
      <c r="R254" s="12"/>
      <c r="S254" s="12"/>
      <c r="T254" s="12">
        <v>9700</v>
      </c>
      <c r="U254" s="12"/>
      <c r="V254" s="23">
        <f t="shared" si="19"/>
        <v>58700</v>
      </c>
      <c r="W254" s="23">
        <f>BE254</f>
        <v>49000</v>
      </c>
      <c r="X254" s="23">
        <f t="shared" si="20"/>
        <v>9700</v>
      </c>
      <c r="Y254" s="46"/>
      <c r="Z254" s="46"/>
      <c r="AA254" s="46"/>
      <c r="AB254" s="46"/>
      <c r="AC254" s="46"/>
      <c r="AD254" s="46"/>
      <c r="AE254" s="46"/>
      <c r="AF254" s="46"/>
      <c r="AG254" s="46"/>
      <c r="AH254" s="23"/>
      <c r="AI254" s="23"/>
      <c r="AJ254" s="23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>
        <v>49000</v>
      </c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CF254" s="34"/>
      <c r="CG254" s="34"/>
      <c r="CH254" s="31"/>
      <c r="CI254" s="31"/>
      <c r="CJ254" s="31" t="s">
        <v>796</v>
      </c>
      <c r="CK254" s="31"/>
      <c r="CL254" s="31"/>
      <c r="CM254" s="35"/>
      <c r="CN254" s="35"/>
      <c r="CO254" s="35"/>
      <c r="CP254" s="35"/>
      <c r="CQ254" s="35"/>
      <c r="CR254" s="35"/>
      <c r="CS254" s="35"/>
      <c r="CT254" s="35"/>
      <c r="CU254" s="35"/>
      <c r="CV254" s="35"/>
      <c r="CW254" s="35"/>
      <c r="CX254" s="35"/>
      <c r="CY254" s="35"/>
      <c r="CZ254" s="35"/>
      <c r="DA254" s="35"/>
      <c r="DB254" s="35"/>
      <c r="DC254" s="35"/>
      <c r="DD254" s="35"/>
      <c r="DE254" s="35"/>
      <c r="EL254" s="35"/>
      <c r="EM254" s="35"/>
      <c r="EN254" s="35"/>
      <c r="EO254" s="35"/>
      <c r="EP254" s="35"/>
      <c r="EQ254" s="35"/>
      <c r="ER254" s="35"/>
      <c r="ES254" s="35"/>
      <c r="ET254" s="35"/>
      <c r="EU254" s="35"/>
      <c r="EV254" s="35"/>
      <c r="EW254" s="35"/>
      <c r="EX254" s="35"/>
      <c r="EY254" s="35"/>
      <c r="EZ254" s="35"/>
      <c r="FA254" s="35"/>
      <c r="FB254" s="35"/>
      <c r="FC254" s="35"/>
      <c r="FD254" s="35"/>
      <c r="FE254" s="35"/>
      <c r="FF254" s="35"/>
      <c r="FG254" s="35"/>
      <c r="FH254" s="35"/>
      <c r="FI254" s="35"/>
      <c r="FJ254" s="35"/>
    </row>
    <row r="255" spans="1:166" ht="18.5" x14ac:dyDescent="0.45">
      <c r="A255" s="75" t="s">
        <v>232</v>
      </c>
      <c r="B255" s="76"/>
      <c r="C255" s="76">
        <v>9857023063</v>
      </c>
      <c r="D255" s="75">
        <v>134000</v>
      </c>
      <c r="E255" s="12"/>
      <c r="F255" s="12"/>
      <c r="G255" s="12"/>
      <c r="H255" s="12"/>
      <c r="I255" s="12"/>
      <c r="J255" s="12"/>
      <c r="K255" s="12"/>
      <c r="L255" s="12">
        <v>85000</v>
      </c>
      <c r="M255" s="12"/>
      <c r="N255" s="12"/>
      <c r="O255" s="12"/>
      <c r="P255" s="12"/>
      <c r="Q255" s="12"/>
      <c r="R255" s="12"/>
      <c r="S255" s="12"/>
      <c r="T255" s="12"/>
      <c r="U255" s="12"/>
      <c r="V255" s="23">
        <f t="shared" si="19"/>
        <v>219000</v>
      </c>
      <c r="W255" s="12">
        <f>AY255</f>
        <v>140000</v>
      </c>
      <c r="X255" s="23">
        <f t="shared" si="20"/>
        <v>79000</v>
      </c>
      <c r="Y255" s="31"/>
      <c r="Z255" s="31"/>
      <c r="AA255" s="31">
        <v>5</v>
      </c>
      <c r="AB255" s="33"/>
      <c r="AC255" s="14">
        <v>8</v>
      </c>
      <c r="AD255" s="12"/>
      <c r="AE255" s="12"/>
      <c r="AF255" s="53" t="s">
        <v>825</v>
      </c>
      <c r="AG255" s="34"/>
      <c r="AH255" s="34"/>
      <c r="AI255" s="34"/>
      <c r="AJ255" s="31">
        <v>19</v>
      </c>
      <c r="AK255" s="31"/>
      <c r="AL255" s="34"/>
      <c r="AM255" s="34"/>
      <c r="AN255" s="34"/>
      <c r="AO255" s="34"/>
      <c r="AP255" s="34"/>
      <c r="AQ255" s="34">
        <v>22</v>
      </c>
      <c r="AR255" s="34"/>
      <c r="AS255" s="34"/>
      <c r="AT255" s="31">
        <v>26</v>
      </c>
      <c r="AU255" s="31"/>
      <c r="AV255" s="31"/>
      <c r="AW255" s="31"/>
      <c r="AX255" s="31"/>
      <c r="AY255" s="1">
        <v>140000</v>
      </c>
      <c r="AZ255" s="31"/>
      <c r="BA255" s="31"/>
      <c r="BB255" s="31"/>
      <c r="BC255" s="31"/>
      <c r="BD255" s="34">
        <v>10</v>
      </c>
      <c r="BE255" s="34"/>
      <c r="BF255" s="34"/>
      <c r="BG255" s="34"/>
      <c r="BH255" s="34"/>
      <c r="BI255" s="34"/>
      <c r="BJ255" s="34"/>
      <c r="BK255" s="34"/>
      <c r="BL255" s="34"/>
      <c r="BM255" s="31"/>
      <c r="BN255" s="31"/>
      <c r="BO255" s="31"/>
      <c r="BP255" s="34"/>
      <c r="BQ255" s="34">
        <v>20</v>
      </c>
      <c r="BR255" s="34"/>
      <c r="BS255" s="34"/>
      <c r="BT255" s="34"/>
      <c r="BU255" s="34"/>
      <c r="BV255" s="34"/>
      <c r="BW255" s="31" t="s">
        <v>4</v>
      </c>
      <c r="BX255" s="34">
        <v>24</v>
      </c>
      <c r="BY255" s="34"/>
      <c r="BZ255" s="34"/>
      <c r="CA255" s="31">
        <v>26</v>
      </c>
      <c r="CB255" s="31"/>
      <c r="CC255" s="31">
        <v>30</v>
      </c>
      <c r="CD255" s="31"/>
      <c r="CE255" s="31"/>
      <c r="CF255" s="31"/>
      <c r="CG255" s="34"/>
      <c r="CH255" s="46">
        <v>3</v>
      </c>
      <c r="CI255" s="46"/>
      <c r="CJ255" s="46"/>
      <c r="CK255" s="31"/>
      <c r="CL255" s="31"/>
      <c r="CM255" s="35"/>
      <c r="CN255" s="35"/>
      <c r="CO255" s="35"/>
      <c r="CP255" s="35"/>
      <c r="CQ255" s="35"/>
      <c r="CR255" s="35"/>
      <c r="CS255" s="35"/>
      <c r="CT255" s="35"/>
      <c r="CU255" s="35"/>
      <c r="CV255" s="35"/>
      <c r="CW255" s="35"/>
      <c r="CX255" s="35"/>
      <c r="CY255" s="35"/>
      <c r="CZ255" s="35"/>
      <c r="DA255" s="35"/>
      <c r="DB255" s="35"/>
      <c r="DC255" s="35"/>
      <c r="DD255" s="35"/>
      <c r="DE255" s="35"/>
      <c r="EL255" s="35"/>
      <c r="EM255" s="35"/>
      <c r="EN255" s="35"/>
      <c r="EO255" s="35"/>
      <c r="EP255" s="35"/>
      <c r="EQ255" s="35"/>
      <c r="ER255" s="35"/>
      <c r="ES255" s="35"/>
      <c r="ET255" s="35"/>
      <c r="EU255" s="35"/>
      <c r="EV255" s="35"/>
      <c r="EW255" s="35"/>
      <c r="EX255" s="35"/>
      <c r="EY255" s="35"/>
      <c r="EZ255" s="35"/>
      <c r="FA255" s="35"/>
      <c r="FB255" s="35"/>
      <c r="FC255" s="35"/>
      <c r="FD255" s="35"/>
      <c r="FE255" s="35"/>
      <c r="FF255" s="35"/>
      <c r="FG255" s="35"/>
      <c r="FH255" s="35"/>
      <c r="FI255" s="35"/>
      <c r="FJ255" s="35"/>
    </row>
    <row r="256" spans="1:166" s="62" customFormat="1" ht="18.5" x14ac:dyDescent="0.45">
      <c r="A256" s="75" t="s">
        <v>6</v>
      </c>
      <c r="B256" s="76"/>
      <c r="C256" s="76">
        <v>9857023390</v>
      </c>
      <c r="D256" s="75">
        <v>181000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>
        <v>75000</v>
      </c>
      <c r="Q256" s="12"/>
      <c r="R256" s="12"/>
      <c r="S256" s="12"/>
      <c r="T256" s="12"/>
      <c r="U256" s="12"/>
      <c r="V256" s="23">
        <f t="shared" si="19"/>
        <v>256000</v>
      </c>
      <c r="W256" s="12">
        <f>BS256</f>
        <v>75000</v>
      </c>
      <c r="X256" s="23">
        <f t="shared" si="20"/>
        <v>181000</v>
      </c>
      <c r="Y256" s="31"/>
      <c r="Z256" s="31"/>
      <c r="AA256" s="31">
        <v>10</v>
      </c>
      <c r="AB256" s="33"/>
      <c r="AC256" s="33"/>
      <c r="AD256" s="33"/>
      <c r="AE256" s="33"/>
      <c r="AF256" s="34"/>
      <c r="AG256" s="34"/>
      <c r="AH256" s="12">
        <v>13</v>
      </c>
      <c r="AI256" s="12"/>
      <c r="AJ256" s="12"/>
      <c r="AK256" s="31">
        <v>20</v>
      </c>
      <c r="AL256" s="34"/>
      <c r="AM256" s="34"/>
      <c r="AN256" s="34"/>
      <c r="AO256" s="34"/>
      <c r="AP256" s="34"/>
      <c r="AQ256" s="34"/>
      <c r="AR256" s="34">
        <v>23</v>
      </c>
      <c r="AS256" s="34"/>
      <c r="AT256" s="34"/>
      <c r="AU256" s="31"/>
      <c r="AV256" s="31">
        <v>28</v>
      </c>
      <c r="AW256" s="34"/>
      <c r="AX256" s="34"/>
      <c r="AY256" s="34"/>
      <c r="AZ256" s="31"/>
      <c r="BA256" s="31"/>
      <c r="BB256" s="31"/>
      <c r="BC256" s="31"/>
      <c r="BD256" s="34">
        <v>3</v>
      </c>
      <c r="BE256" s="34"/>
      <c r="BF256" s="34">
        <v>6</v>
      </c>
      <c r="BG256" s="34"/>
      <c r="BH256" s="34"/>
      <c r="BI256" s="34" t="s">
        <v>4</v>
      </c>
      <c r="BJ256" s="34">
        <v>10</v>
      </c>
      <c r="BK256" s="34"/>
      <c r="BL256" s="34"/>
      <c r="BM256" s="31">
        <v>16</v>
      </c>
      <c r="BN256" s="31"/>
      <c r="BO256" s="31"/>
      <c r="BP256" s="34"/>
      <c r="BQ256" s="34"/>
      <c r="BR256" s="34"/>
      <c r="BS256" s="1">
        <v>75000</v>
      </c>
      <c r="BT256" s="31">
        <v>22</v>
      </c>
      <c r="BU256" s="31"/>
      <c r="BV256" s="31"/>
      <c r="BW256" s="31"/>
      <c r="BX256" s="31"/>
      <c r="BY256" s="34">
        <v>27</v>
      </c>
      <c r="BZ256" s="34"/>
      <c r="CA256" s="34"/>
      <c r="CB256" s="34"/>
      <c r="CC256" s="34"/>
      <c r="CD256" s="31"/>
      <c r="CE256" s="31"/>
      <c r="CF256" s="31"/>
      <c r="CG256" s="34"/>
      <c r="CH256" s="46">
        <v>5</v>
      </c>
      <c r="CI256" s="46"/>
      <c r="CJ256" s="46"/>
      <c r="CK256" s="46"/>
      <c r="CL256" s="46"/>
      <c r="CM256" s="46"/>
      <c r="CN256" s="35"/>
      <c r="CO256" s="35"/>
      <c r="CP256" s="35"/>
      <c r="CQ256" s="35"/>
      <c r="CR256" s="35"/>
      <c r="CS256" s="35"/>
      <c r="CT256" s="35"/>
      <c r="CU256" s="35"/>
      <c r="CV256" s="35"/>
      <c r="CW256" s="35"/>
      <c r="CX256" s="35"/>
      <c r="CY256" s="35"/>
      <c r="CZ256" s="35"/>
      <c r="DA256" s="35"/>
      <c r="DB256" s="35"/>
      <c r="DC256" s="35"/>
      <c r="DD256" s="35"/>
      <c r="DE256" s="35"/>
      <c r="EL256" s="35"/>
      <c r="EM256" s="35"/>
      <c r="EN256" s="35"/>
      <c r="EO256" s="35"/>
      <c r="EP256" s="35"/>
      <c r="EQ256" s="35"/>
      <c r="ER256" s="35"/>
      <c r="ES256" s="35"/>
      <c r="ET256" s="35"/>
      <c r="EU256" s="35"/>
      <c r="EV256" s="35"/>
      <c r="EW256" s="35"/>
      <c r="EX256" s="35"/>
      <c r="EY256" s="35"/>
      <c r="EZ256" s="35"/>
      <c r="FA256" s="35"/>
      <c r="FB256" s="35"/>
      <c r="FC256" s="35"/>
      <c r="FD256" s="35"/>
      <c r="FE256" s="35"/>
      <c r="FF256" s="35"/>
      <c r="FG256" s="35"/>
      <c r="FH256" s="35"/>
      <c r="FI256" s="35"/>
      <c r="FJ256" s="35"/>
    </row>
    <row r="257" spans="1:166" s="62" customFormat="1" ht="18.5" x14ac:dyDescent="0.45">
      <c r="A257" s="75" t="s">
        <v>41</v>
      </c>
      <c r="B257" s="76"/>
      <c r="C257" s="76">
        <v>9856020211</v>
      </c>
      <c r="D257" s="75">
        <v>-1198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23">
        <f t="shared" si="19"/>
        <v>-1198</v>
      </c>
      <c r="W257" s="12"/>
      <c r="X257" s="23">
        <f t="shared" si="20"/>
        <v>-1198</v>
      </c>
      <c r="Y257" s="31"/>
      <c r="Z257" s="31"/>
      <c r="AA257" s="31">
        <v>7</v>
      </c>
      <c r="AB257" s="33"/>
      <c r="AC257" s="33"/>
      <c r="AD257" s="33"/>
      <c r="AE257" s="12">
        <v>11</v>
      </c>
      <c r="AF257" s="12"/>
      <c r="AG257" s="12"/>
      <c r="AH257" s="12"/>
      <c r="AI257" s="34">
        <v>18</v>
      </c>
      <c r="AJ257" s="34"/>
      <c r="AK257" s="34"/>
      <c r="AL257" s="34"/>
      <c r="AM257" s="34"/>
      <c r="AN257" s="34"/>
      <c r="AO257" s="34"/>
      <c r="AP257" s="34">
        <v>22</v>
      </c>
      <c r="AQ257" s="34"/>
      <c r="AR257" s="34"/>
      <c r="AS257" s="34"/>
      <c r="AT257" s="31">
        <v>26</v>
      </c>
      <c r="AU257" s="31"/>
      <c r="AV257" s="31"/>
      <c r="AW257" s="31"/>
      <c r="AX257" s="31"/>
      <c r="AY257" s="34">
        <v>30</v>
      </c>
      <c r="AZ257" s="34"/>
      <c r="BA257" s="34"/>
      <c r="BB257" s="34"/>
      <c r="BC257" s="31"/>
      <c r="BD257" s="34">
        <v>5</v>
      </c>
      <c r="BE257" s="34"/>
      <c r="BF257" s="34"/>
      <c r="BG257" s="34"/>
      <c r="BH257" s="34">
        <v>8</v>
      </c>
      <c r="BI257" s="34"/>
      <c r="BJ257" s="34"/>
      <c r="BK257" s="34">
        <v>12</v>
      </c>
      <c r="BL257" s="34"/>
      <c r="BM257" s="34"/>
      <c r="BN257" s="34"/>
      <c r="BO257" s="31"/>
      <c r="BP257" s="31"/>
      <c r="BQ257" s="31"/>
      <c r="BR257" s="31"/>
      <c r="BS257" s="3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35"/>
      <c r="CJ257" s="35"/>
      <c r="CK257" s="35"/>
      <c r="CL257" s="35"/>
      <c r="CM257" s="35"/>
      <c r="CN257" s="35"/>
      <c r="CO257" s="35"/>
      <c r="CP257" s="35"/>
      <c r="CQ257" s="35"/>
      <c r="CR257" s="35"/>
      <c r="CS257" s="35"/>
      <c r="CT257" s="35"/>
      <c r="CU257" s="35"/>
      <c r="CV257" s="35"/>
      <c r="CW257" s="35"/>
      <c r="CX257" s="35"/>
      <c r="CY257" s="35"/>
      <c r="CZ257" s="35"/>
      <c r="DA257" s="35"/>
      <c r="DB257" s="35"/>
      <c r="DC257" s="35"/>
      <c r="DD257" s="35"/>
      <c r="DE257" s="35"/>
      <c r="EL257" s="35"/>
      <c r="EM257" s="35"/>
      <c r="EN257" s="35"/>
      <c r="EO257" s="35"/>
      <c r="EP257" s="35"/>
      <c r="EQ257" s="35"/>
      <c r="ER257" s="35"/>
      <c r="ES257" s="35"/>
      <c r="ET257" s="35"/>
      <c r="EU257" s="35"/>
      <c r="EV257" s="35"/>
      <c r="EW257" s="35"/>
      <c r="EX257" s="35"/>
      <c r="EY257" s="35"/>
      <c r="EZ257" s="35"/>
      <c r="FA257" s="35"/>
      <c r="FB257" s="35"/>
      <c r="FC257" s="35"/>
      <c r="FD257" s="35"/>
      <c r="FE257" s="35"/>
      <c r="FF257" s="35"/>
      <c r="FG257" s="35"/>
      <c r="FH257" s="35"/>
      <c r="FI257" s="35"/>
      <c r="FJ257" s="35"/>
    </row>
    <row r="258" spans="1:166" s="62" customFormat="1" ht="15.75" customHeight="1" x14ac:dyDescent="0.45">
      <c r="A258" s="75" t="s">
        <v>1029</v>
      </c>
      <c r="B258" s="76"/>
      <c r="C258" s="76">
        <v>9847099862</v>
      </c>
      <c r="D258" s="75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>
        <v>16500</v>
      </c>
      <c r="V258" s="23">
        <f t="shared" si="19"/>
        <v>16500</v>
      </c>
      <c r="W258" s="12"/>
      <c r="X258" s="23">
        <f t="shared" si="20"/>
        <v>16500</v>
      </c>
      <c r="Y258" s="31"/>
      <c r="Z258" s="31"/>
      <c r="AA258" s="31"/>
      <c r="AB258" s="33"/>
      <c r="AC258" s="33"/>
      <c r="AD258" s="33"/>
      <c r="AE258" s="12"/>
      <c r="AF258" s="12"/>
      <c r="AG258" s="12"/>
      <c r="AH258" s="12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1"/>
      <c r="AU258" s="31"/>
      <c r="AV258" s="31"/>
      <c r="AW258" s="31"/>
      <c r="AX258" s="31"/>
      <c r="AY258" s="34"/>
      <c r="AZ258" s="34"/>
      <c r="BA258" s="34"/>
      <c r="BB258" s="34"/>
      <c r="BC258" s="31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1"/>
      <c r="BP258" s="31"/>
      <c r="BQ258" s="31"/>
      <c r="BR258" s="31"/>
      <c r="BS258" s="31"/>
      <c r="BT258" s="21"/>
      <c r="BU258" s="21"/>
      <c r="BV258" s="21"/>
      <c r="BW258" s="21"/>
      <c r="BX258" s="21"/>
      <c r="BY258" s="21"/>
      <c r="BZ258" s="34"/>
      <c r="CA258" s="34"/>
      <c r="CB258" s="34"/>
      <c r="CC258" s="34"/>
      <c r="CD258" s="34"/>
      <c r="CE258" s="34"/>
      <c r="CF258" s="34"/>
      <c r="CG258" s="34"/>
      <c r="CH258" s="31" t="s">
        <v>798</v>
      </c>
      <c r="CI258" s="31"/>
      <c r="CJ258" s="46" t="s">
        <v>798</v>
      </c>
      <c r="CK258" s="31"/>
      <c r="CL258" s="31"/>
      <c r="CM258" s="35"/>
      <c r="CN258" s="35"/>
      <c r="CO258" s="35"/>
      <c r="CP258" s="35"/>
      <c r="CQ258" s="35"/>
      <c r="CR258" s="35"/>
      <c r="CS258" s="35"/>
      <c r="CT258" s="35"/>
      <c r="CU258" s="35"/>
      <c r="CV258" s="35"/>
      <c r="CW258" s="35"/>
      <c r="CX258" s="35"/>
      <c r="CY258" s="35"/>
      <c r="CZ258" s="35"/>
      <c r="DA258" s="35"/>
      <c r="DB258" s="35"/>
      <c r="DC258" s="35"/>
      <c r="DD258" s="35"/>
      <c r="DE258" s="35"/>
      <c r="EL258" s="35"/>
      <c r="EM258" s="35"/>
      <c r="EN258" s="35"/>
      <c r="EO258" s="35"/>
      <c r="EP258" s="35"/>
      <c r="EQ258" s="35"/>
      <c r="ER258" s="35"/>
      <c r="ES258" s="35"/>
      <c r="ET258" s="35"/>
      <c r="EU258" s="35"/>
      <c r="EV258" s="35"/>
      <c r="EW258" s="35"/>
      <c r="EX258" s="35"/>
      <c r="EY258" s="35"/>
      <c r="EZ258" s="35"/>
      <c r="FA258" s="35"/>
      <c r="FB258" s="35"/>
      <c r="FC258" s="35"/>
      <c r="FD258" s="35"/>
      <c r="FE258" s="35"/>
      <c r="FF258" s="35"/>
      <c r="FG258" s="35"/>
      <c r="FH258" s="35"/>
      <c r="FI258" s="35"/>
      <c r="FJ258" s="35"/>
    </row>
    <row r="259" spans="1:166" s="62" customFormat="1" ht="15.75" customHeight="1" x14ac:dyDescent="0.45">
      <c r="A259" s="75" t="s">
        <v>1009</v>
      </c>
      <c r="B259" s="76"/>
      <c r="C259" s="76">
        <v>9857015152</v>
      </c>
      <c r="D259" s="75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>
        <v>71500</v>
      </c>
      <c r="S259" s="12"/>
      <c r="T259" s="12"/>
      <c r="U259" s="12"/>
      <c r="V259" s="23">
        <f t="shared" si="19"/>
        <v>71500</v>
      </c>
      <c r="W259" s="12"/>
      <c r="X259" s="23">
        <f t="shared" si="20"/>
        <v>71500</v>
      </c>
      <c r="Y259" s="31"/>
      <c r="Z259" s="31"/>
      <c r="AA259" s="31"/>
      <c r="AB259" s="33"/>
      <c r="AC259" s="33"/>
      <c r="AD259" s="33"/>
      <c r="AE259" s="12"/>
      <c r="AF259" s="12"/>
      <c r="AG259" s="12"/>
      <c r="AH259" s="12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1"/>
      <c r="AU259" s="31"/>
      <c r="AV259" s="31"/>
      <c r="AW259" s="31"/>
      <c r="AX259" s="31"/>
      <c r="AY259" s="34"/>
      <c r="AZ259" s="34"/>
      <c r="BA259" s="34"/>
      <c r="BB259" s="34"/>
      <c r="BC259" s="31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4"/>
      <c r="BZ259" s="34"/>
      <c r="CA259" s="34"/>
      <c r="CB259" s="31"/>
      <c r="CC259" s="31">
        <v>30</v>
      </c>
      <c r="CD259" s="31"/>
      <c r="CE259" s="31"/>
      <c r="CF259" s="31"/>
      <c r="CG259" s="31"/>
      <c r="CH259" s="31" t="s">
        <v>807</v>
      </c>
      <c r="CI259" s="31"/>
      <c r="CJ259" s="31" t="s">
        <v>868</v>
      </c>
      <c r="CK259" s="31"/>
      <c r="CL259" s="31"/>
      <c r="CM259" s="35"/>
      <c r="CN259" s="35"/>
      <c r="CO259" s="35"/>
      <c r="CP259" s="35"/>
      <c r="CQ259" s="35"/>
      <c r="CR259" s="35"/>
      <c r="CS259" s="35"/>
      <c r="CT259" s="35"/>
      <c r="CU259" s="35"/>
      <c r="CV259" s="35"/>
      <c r="CW259" s="35"/>
      <c r="CX259" s="35"/>
      <c r="CY259" s="35"/>
      <c r="CZ259" s="35"/>
      <c r="DA259" s="35"/>
      <c r="DB259" s="35"/>
      <c r="DC259" s="35"/>
      <c r="DD259" s="35"/>
      <c r="DE259" s="35"/>
      <c r="EL259" s="35"/>
      <c r="EM259" s="35"/>
      <c r="EN259" s="35"/>
      <c r="EO259" s="35"/>
      <c r="EP259" s="35"/>
      <c r="EQ259" s="35"/>
      <c r="ER259" s="35"/>
      <c r="ES259" s="35"/>
      <c r="ET259" s="35"/>
      <c r="EU259" s="35"/>
      <c r="EV259" s="35"/>
      <c r="EW259" s="35"/>
      <c r="EX259" s="35"/>
      <c r="EY259" s="35"/>
      <c r="EZ259" s="35"/>
      <c r="FA259" s="35"/>
      <c r="FB259" s="35"/>
      <c r="FC259" s="35"/>
      <c r="FD259" s="35"/>
      <c r="FE259" s="35"/>
      <c r="FF259" s="35"/>
      <c r="FG259" s="35"/>
      <c r="FH259" s="35"/>
      <c r="FI259" s="35"/>
      <c r="FJ259" s="35"/>
    </row>
    <row r="260" spans="1:166" s="62" customFormat="1" ht="15.75" customHeight="1" x14ac:dyDescent="0.45">
      <c r="A260" s="75" t="s">
        <v>1012</v>
      </c>
      <c r="B260" s="76"/>
      <c r="C260" s="76">
        <v>9857032050</v>
      </c>
      <c r="D260" s="75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>
        <v>5500</v>
      </c>
      <c r="S260" s="12"/>
      <c r="T260" s="12"/>
      <c r="U260" s="12"/>
      <c r="V260" s="23">
        <f t="shared" si="19"/>
        <v>5500</v>
      </c>
      <c r="W260" s="12"/>
      <c r="X260" s="23">
        <f t="shared" si="20"/>
        <v>5500</v>
      </c>
      <c r="Y260" s="31"/>
      <c r="Z260" s="31"/>
      <c r="AA260" s="31"/>
      <c r="AB260" s="33"/>
      <c r="AC260" s="33"/>
      <c r="AD260" s="33"/>
      <c r="AE260" s="12"/>
      <c r="AF260" s="12"/>
      <c r="AG260" s="12"/>
      <c r="AH260" s="12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1"/>
      <c r="AU260" s="31"/>
      <c r="AV260" s="31"/>
      <c r="AW260" s="31"/>
      <c r="AX260" s="31"/>
      <c r="AY260" s="34"/>
      <c r="AZ260" s="34"/>
      <c r="BA260" s="34"/>
      <c r="BB260" s="34"/>
      <c r="BC260" s="31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 t="s">
        <v>796</v>
      </c>
      <c r="CA260" s="31" t="s">
        <v>796</v>
      </c>
      <c r="CB260" s="31" t="s">
        <v>796</v>
      </c>
      <c r="CC260" s="31" t="s">
        <v>796</v>
      </c>
      <c r="CD260" s="31"/>
      <c r="CE260" s="31" t="s">
        <v>796</v>
      </c>
      <c r="CF260" s="31" t="s">
        <v>796</v>
      </c>
      <c r="CG260" s="31" t="s">
        <v>796</v>
      </c>
      <c r="CH260" s="31" t="s">
        <v>796</v>
      </c>
      <c r="CI260" s="31"/>
      <c r="CJ260" s="31" t="s">
        <v>796</v>
      </c>
      <c r="CK260" s="31"/>
      <c r="CL260" s="31"/>
      <c r="CM260" s="35"/>
      <c r="CN260" s="35"/>
      <c r="CO260" s="35"/>
      <c r="CP260" s="35"/>
      <c r="CQ260" s="35"/>
      <c r="CR260" s="35"/>
      <c r="CS260" s="35"/>
      <c r="CT260" s="35"/>
      <c r="CU260" s="35"/>
      <c r="CV260" s="35"/>
      <c r="CW260" s="35"/>
      <c r="CX260" s="35"/>
      <c r="CY260" s="35"/>
      <c r="CZ260" s="35"/>
      <c r="DA260" s="35"/>
      <c r="DB260" s="35"/>
      <c r="DC260" s="35"/>
      <c r="DD260" s="35"/>
      <c r="DE260" s="35"/>
      <c r="EL260" s="35"/>
      <c r="EM260" s="35"/>
      <c r="EN260" s="35"/>
      <c r="EO260" s="35"/>
      <c r="EP260" s="35"/>
      <c r="EQ260" s="35"/>
      <c r="ER260" s="35"/>
      <c r="ES260" s="35"/>
      <c r="ET260" s="35"/>
      <c r="EU260" s="35"/>
      <c r="EV260" s="35"/>
      <c r="EW260" s="35"/>
      <c r="EX260" s="35"/>
      <c r="EY260" s="35"/>
      <c r="EZ260" s="35"/>
      <c r="FA260" s="35"/>
      <c r="FB260" s="35"/>
      <c r="FC260" s="35"/>
      <c r="FD260" s="35"/>
      <c r="FE260" s="35"/>
      <c r="FF260" s="35"/>
      <c r="FG260" s="35"/>
      <c r="FH260" s="35"/>
      <c r="FI260" s="35"/>
      <c r="FJ260" s="35"/>
    </row>
    <row r="261" spans="1:166" s="62" customFormat="1" ht="15.75" customHeight="1" x14ac:dyDescent="0.45">
      <c r="A261" s="75" t="s">
        <v>45</v>
      </c>
      <c r="B261" s="76"/>
      <c r="C261" s="76">
        <v>9857058123</v>
      </c>
      <c r="D261" s="75">
        <v>25818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23">
        <f t="shared" si="19"/>
        <v>25818</v>
      </c>
      <c r="W261" s="12"/>
      <c r="X261" s="23">
        <f t="shared" si="20"/>
        <v>25818</v>
      </c>
      <c r="Y261" s="31"/>
      <c r="Z261" s="31"/>
      <c r="AA261" s="31" t="s">
        <v>794</v>
      </c>
      <c r="AB261" s="31" t="s">
        <v>794</v>
      </c>
      <c r="AC261" s="31" t="s">
        <v>793</v>
      </c>
      <c r="AD261" s="31" t="s">
        <v>793</v>
      </c>
      <c r="AE261" s="31" t="s">
        <v>793</v>
      </c>
      <c r="AF261" s="34" t="s">
        <v>790</v>
      </c>
      <c r="AG261" s="34"/>
      <c r="AH261" s="34"/>
      <c r="AI261" s="34"/>
      <c r="AJ261" s="34"/>
      <c r="AK261" s="34"/>
      <c r="AL261" s="34"/>
      <c r="AM261" s="31" t="s">
        <v>794</v>
      </c>
      <c r="AN261" s="31"/>
      <c r="AO261" s="31" t="s">
        <v>794</v>
      </c>
      <c r="AP261" s="31" t="s">
        <v>794</v>
      </c>
      <c r="AQ261" s="31" t="s">
        <v>793</v>
      </c>
      <c r="AR261" s="31" t="s">
        <v>794</v>
      </c>
      <c r="AS261" s="31" t="s">
        <v>794</v>
      </c>
      <c r="AT261" s="31" t="s">
        <v>794</v>
      </c>
      <c r="AU261" s="31"/>
      <c r="AV261" s="31" t="s">
        <v>794</v>
      </c>
      <c r="AW261" s="31" t="s">
        <v>794</v>
      </c>
      <c r="AX261" s="31" t="s">
        <v>794</v>
      </c>
      <c r="AY261" s="31" t="s">
        <v>794</v>
      </c>
      <c r="AZ261" s="31" t="s">
        <v>791</v>
      </c>
      <c r="BA261" s="31" t="s">
        <v>794</v>
      </c>
      <c r="BB261" s="31"/>
      <c r="BC261" s="31" t="s">
        <v>794</v>
      </c>
      <c r="BD261" s="31"/>
      <c r="BE261" s="31" t="s">
        <v>794</v>
      </c>
      <c r="BF261" s="31" t="s">
        <v>794</v>
      </c>
      <c r="BG261" s="31" t="s">
        <v>794</v>
      </c>
      <c r="BH261" s="31" t="s">
        <v>794</v>
      </c>
      <c r="BI261" s="31"/>
      <c r="BJ261" s="34" t="s">
        <v>794</v>
      </c>
      <c r="BK261" s="34"/>
      <c r="BL261" s="34"/>
      <c r="BM261" s="34"/>
      <c r="BN261" s="34"/>
      <c r="BO261" s="34"/>
      <c r="BP261" s="34"/>
      <c r="BQ261" s="34"/>
      <c r="BR261" s="31" t="s">
        <v>794</v>
      </c>
      <c r="BS261" s="31" t="s">
        <v>794</v>
      </c>
      <c r="BT261" s="31" t="s">
        <v>794</v>
      </c>
      <c r="BU261" s="31" t="s">
        <v>794</v>
      </c>
      <c r="BV261" s="31" t="s">
        <v>794</v>
      </c>
      <c r="BW261" s="31"/>
      <c r="BX261" s="31" t="s">
        <v>794</v>
      </c>
      <c r="BY261" s="31" t="s">
        <v>794</v>
      </c>
      <c r="BZ261" s="31" t="s">
        <v>794</v>
      </c>
      <c r="CA261" s="31" t="s">
        <v>794</v>
      </c>
      <c r="CB261" s="31" t="s">
        <v>794</v>
      </c>
      <c r="CC261" s="31" t="s">
        <v>794</v>
      </c>
      <c r="CD261" s="31"/>
      <c r="CE261" s="31" t="s">
        <v>794</v>
      </c>
      <c r="CF261" s="31" t="s">
        <v>794</v>
      </c>
      <c r="CG261" s="31" t="s">
        <v>794</v>
      </c>
      <c r="CH261" s="31" t="s">
        <v>794</v>
      </c>
      <c r="CI261" s="31"/>
      <c r="CJ261" s="31" t="s">
        <v>794</v>
      </c>
      <c r="CK261" s="31"/>
      <c r="CL261" s="31"/>
      <c r="CM261" s="35"/>
      <c r="CN261" s="35"/>
      <c r="CO261" s="35"/>
      <c r="CP261" s="35"/>
      <c r="CQ261" s="35"/>
      <c r="CR261" s="35"/>
      <c r="CS261" s="35"/>
      <c r="CT261" s="35"/>
      <c r="CU261" s="35"/>
      <c r="CV261" s="35"/>
      <c r="CW261" s="35"/>
      <c r="CX261" s="35"/>
      <c r="CY261" s="35"/>
      <c r="CZ261" s="35"/>
      <c r="DA261" s="35"/>
      <c r="DB261" s="35"/>
      <c r="DC261" s="35"/>
      <c r="DD261" s="35"/>
      <c r="DE261" s="35"/>
      <c r="EL261" s="35"/>
      <c r="EM261" s="35"/>
      <c r="EN261" s="35"/>
      <c r="EO261" s="35"/>
      <c r="EP261" s="35"/>
      <c r="EQ261" s="35"/>
      <c r="ER261" s="35"/>
      <c r="ES261" s="35"/>
      <c r="ET261" s="35"/>
      <c r="EU261" s="35"/>
      <c r="EV261" s="35"/>
      <c r="EW261" s="35"/>
      <c r="EX261" s="35"/>
      <c r="EY261" s="35"/>
      <c r="EZ261" s="35"/>
      <c r="FA261" s="35"/>
      <c r="FB261" s="35"/>
      <c r="FC261" s="35"/>
      <c r="FD261" s="35"/>
      <c r="FE261" s="35"/>
      <c r="FF261" s="35"/>
      <c r="FG261" s="35"/>
      <c r="FH261" s="35"/>
      <c r="FI261" s="35"/>
      <c r="FJ261" s="35"/>
    </row>
    <row r="262" spans="1:166" s="62" customFormat="1" ht="18.5" x14ac:dyDescent="0.45">
      <c r="A262" s="89" t="s">
        <v>233</v>
      </c>
      <c r="B262" s="90"/>
      <c r="C262" s="90">
        <v>9857033308</v>
      </c>
      <c r="D262" s="75">
        <v>434092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>
        <v>199375</v>
      </c>
      <c r="S262" s="12"/>
      <c r="T262" s="12"/>
      <c r="U262" s="12"/>
      <c r="V262" s="23">
        <f t="shared" si="19"/>
        <v>633467</v>
      </c>
      <c r="W262" s="12">
        <f>BA262</f>
        <v>50000</v>
      </c>
      <c r="X262" s="23">
        <f t="shared" si="20"/>
        <v>583467</v>
      </c>
      <c r="Y262" s="12">
        <v>3</v>
      </c>
      <c r="Z262" s="34"/>
      <c r="AA262" s="31">
        <v>10</v>
      </c>
      <c r="AB262" s="34"/>
      <c r="AC262" s="34"/>
      <c r="AD262" s="34"/>
      <c r="AE262" s="34"/>
      <c r="AF262" s="34"/>
      <c r="AG262" s="34"/>
      <c r="AH262" s="12">
        <v>12</v>
      </c>
      <c r="AI262" s="12"/>
      <c r="AJ262" s="34">
        <v>17</v>
      </c>
      <c r="AK262" s="34"/>
      <c r="AL262" s="34"/>
      <c r="AM262" s="34"/>
      <c r="AN262" s="34"/>
      <c r="AO262" s="34">
        <v>25</v>
      </c>
      <c r="AP262" s="34"/>
      <c r="AQ262" s="34"/>
      <c r="AR262" s="34"/>
      <c r="AS262" s="34"/>
      <c r="AT262" s="34"/>
      <c r="AU262" s="34"/>
      <c r="AV262" s="34"/>
      <c r="AW262" s="31"/>
      <c r="AX262" s="31"/>
      <c r="AY262" s="34">
        <v>29</v>
      </c>
      <c r="AZ262" s="34"/>
      <c r="BA262" s="62">
        <v>50000</v>
      </c>
      <c r="BC262" s="31"/>
      <c r="BD262" s="43">
        <v>10</v>
      </c>
      <c r="BE262" s="43"/>
      <c r="BF262" s="43"/>
      <c r="BG262" s="43"/>
      <c r="BH262" s="43"/>
      <c r="BI262" s="43"/>
      <c r="BJ262" s="43"/>
      <c r="BK262" s="43"/>
      <c r="BL262" s="43"/>
      <c r="BM262" s="31">
        <v>20</v>
      </c>
      <c r="BN262" s="31"/>
      <c r="BO262" s="31"/>
      <c r="BP262" s="34"/>
      <c r="BQ262" s="34"/>
      <c r="BR262" s="34"/>
      <c r="BS262" s="34"/>
      <c r="BT262" s="34"/>
      <c r="BU262" s="34"/>
      <c r="BV262" s="34"/>
      <c r="BW262" s="31" t="s">
        <v>4</v>
      </c>
      <c r="BX262" s="34">
        <v>27</v>
      </c>
      <c r="BY262" s="34"/>
      <c r="BZ262" s="34"/>
      <c r="CA262" s="34"/>
      <c r="CB262" s="34"/>
      <c r="CC262" s="34"/>
      <c r="CD262" s="31" t="s">
        <v>4</v>
      </c>
      <c r="CE262" s="34">
        <v>5</v>
      </c>
      <c r="CF262" s="34"/>
      <c r="CG262" s="34"/>
      <c r="CH262" s="46">
        <v>5</v>
      </c>
      <c r="CI262" s="46"/>
      <c r="CJ262" s="46"/>
      <c r="CK262" s="46"/>
      <c r="CL262" s="46"/>
      <c r="CM262" s="46"/>
      <c r="CN262" s="35"/>
      <c r="CO262" s="35"/>
      <c r="CP262" s="35"/>
      <c r="CQ262" s="35"/>
      <c r="CR262" s="35"/>
      <c r="CS262" s="35"/>
      <c r="CT262" s="35"/>
      <c r="CU262" s="35"/>
      <c r="CV262" s="35"/>
      <c r="CW262" s="35"/>
      <c r="CX262" s="35"/>
      <c r="CY262" s="35"/>
      <c r="CZ262" s="35"/>
      <c r="DA262" s="35"/>
      <c r="DB262" s="35"/>
      <c r="DC262" s="35"/>
      <c r="DD262" s="35"/>
      <c r="DE262" s="35"/>
      <c r="EL262" s="35"/>
      <c r="EM262" s="35"/>
      <c r="EN262" s="35"/>
      <c r="EO262" s="35"/>
      <c r="EP262" s="35"/>
      <c r="EQ262" s="35"/>
      <c r="ER262" s="35"/>
      <c r="ES262" s="35"/>
      <c r="ET262" s="35"/>
      <c r="EU262" s="35"/>
      <c r="EV262" s="35"/>
      <c r="EW262" s="35"/>
      <c r="EX262" s="35"/>
      <c r="EY262" s="35"/>
      <c r="EZ262" s="35"/>
      <c r="FA262" s="35"/>
      <c r="FB262" s="35"/>
      <c r="FC262" s="35"/>
      <c r="FD262" s="35"/>
      <c r="FE262" s="35"/>
      <c r="FF262" s="35"/>
      <c r="FG262" s="35"/>
      <c r="FH262" s="35"/>
      <c r="FI262" s="35"/>
      <c r="FJ262" s="35"/>
    </row>
    <row r="263" spans="1:166" ht="18.5" x14ac:dyDescent="0.45">
      <c r="A263" s="85" t="s">
        <v>234</v>
      </c>
      <c r="B263" s="86"/>
      <c r="C263" s="86" t="s">
        <v>51</v>
      </c>
      <c r="D263" s="75">
        <v>167000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23">
        <f t="shared" ref="V263:V268" si="21">SUM(D263:U263)</f>
        <v>167000</v>
      </c>
      <c r="W263" s="12"/>
      <c r="X263" s="23">
        <f t="shared" ref="X263:X268" si="22">V263-W263</f>
        <v>167000</v>
      </c>
      <c r="Y263" s="14"/>
      <c r="Z263" s="14"/>
      <c r="AA263" s="14" t="s">
        <v>791</v>
      </c>
      <c r="AB263" s="14" t="s">
        <v>791</v>
      </c>
      <c r="AC263" s="14" t="s">
        <v>791</v>
      </c>
      <c r="AD263" s="14" t="s">
        <v>791</v>
      </c>
      <c r="AE263" s="14" t="s">
        <v>791</v>
      </c>
      <c r="AF263" s="14" t="s">
        <v>793</v>
      </c>
      <c r="AG263" s="14"/>
      <c r="AH263" s="14"/>
      <c r="AI263" s="31" t="s">
        <v>791</v>
      </c>
      <c r="AJ263" s="31" t="s">
        <v>791</v>
      </c>
      <c r="AK263" s="31" t="s">
        <v>791</v>
      </c>
      <c r="AL263" s="31" t="s">
        <v>791</v>
      </c>
      <c r="AM263" s="31" t="s">
        <v>791</v>
      </c>
      <c r="AN263" s="31"/>
      <c r="AO263" s="31" t="s">
        <v>793</v>
      </c>
      <c r="AP263" s="31" t="s">
        <v>793</v>
      </c>
      <c r="AQ263" s="31" t="s">
        <v>794</v>
      </c>
      <c r="AR263" s="31" t="s">
        <v>791</v>
      </c>
      <c r="AS263" s="31" t="s">
        <v>791</v>
      </c>
      <c r="AT263" s="31" t="s">
        <v>791</v>
      </c>
      <c r="AU263" s="31"/>
      <c r="AV263" s="31" t="s">
        <v>791</v>
      </c>
      <c r="AW263" s="31" t="s">
        <v>791</v>
      </c>
      <c r="AX263" s="31" t="s">
        <v>791</v>
      </c>
      <c r="AY263" s="31" t="s">
        <v>791</v>
      </c>
      <c r="AZ263" s="31" t="s">
        <v>794</v>
      </c>
      <c r="BA263" s="31" t="s">
        <v>791</v>
      </c>
      <c r="BB263" s="31"/>
      <c r="BC263" s="31" t="s">
        <v>791</v>
      </c>
      <c r="BD263" s="31"/>
      <c r="BE263" s="68" t="s">
        <v>793</v>
      </c>
      <c r="BF263" s="68" t="s">
        <v>791</v>
      </c>
      <c r="BG263" s="68" t="s">
        <v>791</v>
      </c>
      <c r="BH263" s="68" t="s">
        <v>791</v>
      </c>
      <c r="BI263" s="68"/>
      <c r="BJ263" s="68" t="s">
        <v>791</v>
      </c>
      <c r="BK263" s="68" t="s">
        <v>791</v>
      </c>
      <c r="BL263" s="68" t="s">
        <v>791</v>
      </c>
      <c r="BM263" s="68" t="s">
        <v>791</v>
      </c>
      <c r="BN263" s="68" t="s">
        <v>791</v>
      </c>
      <c r="BO263" s="68" t="s">
        <v>794</v>
      </c>
      <c r="BP263" s="68"/>
      <c r="BQ263" s="68" t="s">
        <v>791</v>
      </c>
      <c r="BR263" s="68" t="s">
        <v>791</v>
      </c>
      <c r="BS263" s="31" t="s">
        <v>791</v>
      </c>
      <c r="BT263" s="31" t="s">
        <v>794</v>
      </c>
      <c r="BU263" s="31" t="s">
        <v>794</v>
      </c>
      <c r="BV263" s="31" t="s">
        <v>794</v>
      </c>
      <c r="BW263" s="31"/>
      <c r="BX263" s="31" t="s">
        <v>791</v>
      </c>
      <c r="BY263" s="31" t="s">
        <v>791</v>
      </c>
      <c r="BZ263" s="31" t="s">
        <v>791</v>
      </c>
      <c r="CA263" s="31" t="s">
        <v>791</v>
      </c>
      <c r="CB263" s="31" t="s">
        <v>794</v>
      </c>
      <c r="CC263" s="31" t="s">
        <v>791</v>
      </c>
      <c r="CD263" s="31"/>
      <c r="CE263" s="31" t="s">
        <v>791</v>
      </c>
      <c r="CF263" s="31" t="s">
        <v>791</v>
      </c>
      <c r="CG263" s="31" t="s">
        <v>791</v>
      </c>
      <c r="CH263" s="31" t="s">
        <v>791</v>
      </c>
      <c r="CI263" s="31"/>
      <c r="CJ263" s="31" t="s">
        <v>791</v>
      </c>
      <c r="CK263" s="31"/>
      <c r="CL263" s="31"/>
    </row>
    <row r="264" spans="1:166" x14ac:dyDescent="0.35">
      <c r="A264" s="12" t="s">
        <v>46</v>
      </c>
      <c r="B264" s="3"/>
      <c r="C264" s="18" t="s">
        <v>47</v>
      </c>
      <c r="D264" s="12">
        <v>14000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23">
        <f t="shared" si="21"/>
        <v>14000</v>
      </c>
      <c r="W264" s="12"/>
      <c r="X264" s="23">
        <f t="shared" si="22"/>
        <v>14000</v>
      </c>
      <c r="Y264" s="31"/>
      <c r="Z264" s="31"/>
      <c r="AA264" s="31" t="s">
        <v>794</v>
      </c>
      <c r="AB264" s="31" t="s">
        <v>794</v>
      </c>
      <c r="AC264" s="31" t="s">
        <v>794</v>
      </c>
      <c r="AD264" s="31" t="s">
        <v>794</v>
      </c>
      <c r="AE264" s="31" t="s">
        <v>794</v>
      </c>
      <c r="AF264" s="31" t="s">
        <v>794</v>
      </c>
      <c r="AG264" s="31"/>
      <c r="AH264" s="14"/>
      <c r="AI264" s="34"/>
      <c r="AJ264" s="34"/>
      <c r="AK264" s="34"/>
      <c r="AL264" s="34"/>
      <c r="AM264" s="31"/>
      <c r="AN264" s="31"/>
      <c r="AO264" s="31">
        <v>22</v>
      </c>
      <c r="AP264" s="34"/>
      <c r="AQ264" s="34"/>
      <c r="AR264" s="34"/>
      <c r="AS264" s="34"/>
      <c r="AT264" s="31"/>
      <c r="AU264" s="31"/>
      <c r="AV264" s="31"/>
      <c r="AW264" s="31"/>
      <c r="AX264" s="31"/>
      <c r="AY264" s="34"/>
      <c r="AZ264" s="34"/>
      <c r="BA264" s="34"/>
      <c r="BB264" s="34"/>
      <c r="BC264" s="31">
        <v>3</v>
      </c>
      <c r="BD264" s="34">
        <v>3</v>
      </c>
      <c r="BE264" s="34"/>
      <c r="BF264" s="31" t="s">
        <v>794</v>
      </c>
      <c r="BG264" s="31" t="s">
        <v>794</v>
      </c>
      <c r="BH264" s="31" t="s">
        <v>794</v>
      </c>
      <c r="BI264" s="31"/>
      <c r="BJ264" s="31" t="s">
        <v>794</v>
      </c>
      <c r="BK264" s="31" t="s">
        <v>794</v>
      </c>
      <c r="BL264" s="31" t="s">
        <v>794</v>
      </c>
      <c r="BM264" s="31" t="s">
        <v>794</v>
      </c>
      <c r="BN264" s="31" t="s">
        <v>794</v>
      </c>
      <c r="BO264" s="31" t="s">
        <v>794</v>
      </c>
      <c r="BP264" s="31"/>
      <c r="BQ264" s="31" t="s">
        <v>794</v>
      </c>
      <c r="BR264" s="31" t="s">
        <v>794</v>
      </c>
      <c r="BS264" s="31" t="s">
        <v>794</v>
      </c>
      <c r="BT264" s="31" t="s">
        <v>794</v>
      </c>
      <c r="BU264" s="31" t="s">
        <v>794</v>
      </c>
      <c r="BV264" s="31" t="s">
        <v>794</v>
      </c>
      <c r="BW264" s="31"/>
      <c r="BX264" s="31" t="s">
        <v>794</v>
      </c>
      <c r="BY264" s="31" t="s">
        <v>794</v>
      </c>
      <c r="BZ264" s="31" t="s">
        <v>794</v>
      </c>
      <c r="CA264" s="31" t="s">
        <v>794</v>
      </c>
      <c r="CB264" s="31" t="s">
        <v>794</v>
      </c>
      <c r="CC264" s="31" t="s">
        <v>794</v>
      </c>
      <c r="CD264" s="31"/>
      <c r="CE264" s="31" t="s">
        <v>794</v>
      </c>
      <c r="CF264" s="31" t="s">
        <v>794</v>
      </c>
      <c r="CG264" s="31" t="s">
        <v>794</v>
      </c>
      <c r="CH264" s="31" t="s">
        <v>794</v>
      </c>
      <c r="CI264" s="31"/>
      <c r="CJ264" s="31" t="s">
        <v>794</v>
      </c>
      <c r="CK264" s="31"/>
      <c r="CL264" s="31"/>
    </row>
    <row r="265" spans="1:166" s="44" customFormat="1" x14ac:dyDescent="0.35">
      <c r="A265" s="12" t="s">
        <v>997</v>
      </c>
      <c r="B265" s="3"/>
      <c r="C265" s="18">
        <v>9867779502</v>
      </c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>
        <v>35000</v>
      </c>
      <c r="R265" s="12"/>
      <c r="S265" s="12"/>
      <c r="T265" s="12"/>
      <c r="U265" s="12"/>
      <c r="V265" s="23">
        <f t="shared" si="21"/>
        <v>35000</v>
      </c>
      <c r="W265" s="12">
        <f>BQ265+11000</f>
        <v>25000</v>
      </c>
      <c r="X265" s="12">
        <f t="shared" si="22"/>
        <v>10000</v>
      </c>
      <c r="Y265" s="46"/>
      <c r="Z265" s="46"/>
      <c r="AA265" s="46"/>
      <c r="AB265" s="46"/>
      <c r="AC265" s="46"/>
      <c r="AD265" s="46"/>
      <c r="AE265" s="46"/>
      <c r="AF265" s="46"/>
      <c r="AG265" s="46"/>
      <c r="AH265" s="23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  <c r="BN265" s="46"/>
      <c r="BO265" s="46"/>
      <c r="BP265" s="46"/>
      <c r="BQ265" s="46">
        <v>14000</v>
      </c>
      <c r="BR265" s="31"/>
      <c r="BS265" s="31"/>
      <c r="BT265" s="62">
        <v>11000</v>
      </c>
      <c r="BU265" s="31"/>
      <c r="BV265" s="34"/>
      <c r="BW265" s="34"/>
      <c r="BX265" s="34"/>
      <c r="BY265" s="34"/>
      <c r="BZ265" s="34"/>
      <c r="CA265" s="34"/>
      <c r="CB265" s="34"/>
      <c r="CC265" s="31"/>
      <c r="CD265" s="31"/>
      <c r="CE265" s="31"/>
      <c r="CF265" s="31"/>
      <c r="CG265" s="34"/>
      <c r="CH265" s="46">
        <v>5</v>
      </c>
      <c r="CI265" s="107"/>
      <c r="CJ265" s="107"/>
      <c r="CK265" s="107"/>
      <c r="CL265" s="107"/>
      <c r="CM265" s="107"/>
    </row>
    <row r="266" spans="1:166" s="44" customFormat="1" x14ac:dyDescent="0.35">
      <c r="A266" s="12" t="s">
        <v>275</v>
      </c>
      <c r="B266" s="3"/>
      <c r="C266" s="18">
        <v>9847311929</v>
      </c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>
        <v>8500</v>
      </c>
      <c r="O266" s="12"/>
      <c r="P266" s="12"/>
      <c r="Q266" s="12"/>
      <c r="R266" s="12"/>
      <c r="S266" s="12"/>
      <c r="T266" s="12"/>
      <c r="U266" s="12"/>
      <c r="V266" s="23">
        <f t="shared" si="21"/>
        <v>8500</v>
      </c>
      <c r="W266" s="12"/>
      <c r="X266" s="23">
        <f t="shared" si="22"/>
        <v>8500</v>
      </c>
      <c r="Y266" s="31"/>
      <c r="Z266" s="31"/>
      <c r="AA266" s="31"/>
      <c r="AB266" s="31"/>
      <c r="AC266" s="31"/>
      <c r="AD266" s="31"/>
      <c r="AE266" s="31"/>
      <c r="AF266" s="31"/>
      <c r="AG266" s="31"/>
      <c r="AH266" s="14"/>
      <c r="AI266" s="34"/>
      <c r="AJ266" s="34"/>
      <c r="AK266" s="34"/>
      <c r="AL266" s="34"/>
      <c r="AM266" s="31"/>
      <c r="AN266" s="31"/>
      <c r="AO266" s="31"/>
      <c r="AP266" s="34"/>
      <c r="AQ266" s="34"/>
      <c r="AR266" s="34"/>
      <c r="AS266" s="34"/>
      <c r="AT266" s="31"/>
      <c r="AU266" s="31"/>
      <c r="AV266" s="31"/>
      <c r="AW266" s="31"/>
      <c r="AX266" s="31"/>
      <c r="AY266" s="34"/>
      <c r="AZ266" s="34"/>
      <c r="BA266" s="34"/>
      <c r="BB266" s="34"/>
      <c r="BC266" s="31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>
        <v>19</v>
      </c>
      <c r="BS266" s="34"/>
      <c r="BT266" s="34"/>
      <c r="BU266" s="34"/>
      <c r="BV266" s="34"/>
      <c r="BW266" s="34"/>
      <c r="BX266" s="34"/>
      <c r="BY266" s="34">
        <v>25</v>
      </c>
      <c r="BZ266" s="34"/>
      <c r="CA266" s="34"/>
      <c r="CB266" s="31"/>
      <c r="CC266" s="31"/>
      <c r="CD266" s="31"/>
      <c r="CE266" s="31"/>
      <c r="CF266" s="31"/>
      <c r="CG266" s="34"/>
      <c r="CH266" s="46">
        <v>2</v>
      </c>
      <c r="CI266" s="107"/>
      <c r="CJ266" s="107">
        <v>4</v>
      </c>
      <c r="CK266" s="107"/>
      <c r="CL266" s="68" t="s">
        <v>4</v>
      </c>
    </row>
    <row r="267" spans="1:166" x14ac:dyDescent="0.35">
      <c r="A267" s="17" t="s">
        <v>177</v>
      </c>
      <c r="B267" s="54"/>
      <c r="C267" s="73">
        <v>9857031025</v>
      </c>
      <c r="D267" s="74"/>
      <c r="E267" s="64">
        <v>77000</v>
      </c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23">
        <f t="shared" si="21"/>
        <v>77000</v>
      </c>
      <c r="W267" s="17">
        <f>AA267</f>
        <v>38500</v>
      </c>
      <c r="X267" s="23">
        <f t="shared" si="22"/>
        <v>38500</v>
      </c>
      <c r="Y267" s="17"/>
      <c r="Z267" s="43"/>
      <c r="AA267" s="45">
        <v>38500</v>
      </c>
      <c r="AB267" s="47"/>
      <c r="AC267" s="47"/>
      <c r="AD267" s="47"/>
      <c r="AE267" s="47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 t="s">
        <v>956</v>
      </c>
      <c r="BE267" s="31" t="s">
        <v>798</v>
      </c>
      <c r="BF267" s="31" t="s">
        <v>798</v>
      </c>
      <c r="BG267" s="31" t="s">
        <v>798</v>
      </c>
      <c r="BH267" s="31" t="s">
        <v>798</v>
      </c>
      <c r="BI267" s="31"/>
      <c r="BJ267" s="31" t="s">
        <v>798</v>
      </c>
      <c r="BK267" s="31" t="s">
        <v>798</v>
      </c>
      <c r="BL267" s="31" t="s">
        <v>798</v>
      </c>
      <c r="BM267" s="31" t="s">
        <v>798</v>
      </c>
      <c r="BN267" s="31" t="s">
        <v>798</v>
      </c>
      <c r="BO267" s="31" t="s">
        <v>798</v>
      </c>
      <c r="BP267" s="31"/>
      <c r="BQ267" s="31" t="s">
        <v>798</v>
      </c>
      <c r="BR267" s="31" t="s">
        <v>798</v>
      </c>
      <c r="BS267" s="31" t="s">
        <v>798</v>
      </c>
      <c r="BT267" s="31" t="s">
        <v>798</v>
      </c>
      <c r="BU267" s="31" t="s">
        <v>798</v>
      </c>
      <c r="BV267" s="31" t="s">
        <v>798</v>
      </c>
      <c r="BW267" s="31"/>
      <c r="BX267" s="31" t="s">
        <v>798</v>
      </c>
      <c r="BY267" s="31" t="s">
        <v>798</v>
      </c>
      <c r="BZ267" s="31" t="s">
        <v>798</v>
      </c>
      <c r="CA267" s="31" t="s">
        <v>798</v>
      </c>
      <c r="CB267" s="31" t="s">
        <v>798</v>
      </c>
      <c r="CC267" s="31" t="s">
        <v>798</v>
      </c>
      <c r="CD267" s="31"/>
      <c r="CE267" s="31" t="s">
        <v>798</v>
      </c>
      <c r="CF267" s="31" t="s">
        <v>798</v>
      </c>
      <c r="CG267" s="31" t="s">
        <v>798</v>
      </c>
      <c r="CH267" s="31" t="s">
        <v>798</v>
      </c>
      <c r="CI267" s="31"/>
      <c r="CJ267" s="31" t="s">
        <v>798</v>
      </c>
      <c r="CK267" s="31"/>
      <c r="CL267" s="31"/>
    </row>
    <row r="268" spans="1:166" x14ac:dyDescent="0.35">
      <c r="A268" s="12" t="s">
        <v>893</v>
      </c>
      <c r="B268" s="3"/>
      <c r="C268" s="24">
        <v>9857038444</v>
      </c>
      <c r="D268" s="8"/>
      <c r="E268" s="12"/>
      <c r="F268" s="12"/>
      <c r="G268" s="12"/>
      <c r="H268" s="12"/>
      <c r="I268" s="12"/>
      <c r="J268" s="12">
        <v>104000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23">
        <f t="shared" si="21"/>
        <v>104000</v>
      </c>
      <c r="W268" s="12"/>
      <c r="X268" s="23">
        <f t="shared" si="22"/>
        <v>104000</v>
      </c>
      <c r="Y268" s="31"/>
      <c r="Z268" s="31"/>
      <c r="AA268" s="31"/>
      <c r="AB268" s="31"/>
      <c r="AC268" s="31"/>
      <c r="AD268" s="31"/>
      <c r="AE268" s="31"/>
      <c r="AF268" s="31"/>
      <c r="AG268" s="31"/>
      <c r="AH268" s="14"/>
      <c r="AI268" s="34"/>
      <c r="AJ268" s="34"/>
      <c r="AK268" s="34"/>
      <c r="AL268" s="34"/>
      <c r="AM268" s="31"/>
      <c r="AN268" s="31"/>
      <c r="AO268" s="31"/>
      <c r="AP268" s="34"/>
      <c r="AQ268" s="34"/>
      <c r="AR268" s="34"/>
      <c r="AS268" s="34"/>
      <c r="AT268" s="31"/>
      <c r="AU268" s="31"/>
      <c r="AV268" s="31"/>
      <c r="AW268" s="34"/>
      <c r="AX268" s="34"/>
      <c r="AY268" s="34"/>
      <c r="AZ268" s="34"/>
      <c r="BA268" s="34"/>
      <c r="BB268" s="34"/>
      <c r="BC268" s="34"/>
      <c r="BD268" s="34">
        <v>10</v>
      </c>
      <c r="BE268" s="34"/>
      <c r="BF268" s="34"/>
      <c r="BG268" s="34"/>
      <c r="BH268" s="34"/>
      <c r="BI268" s="34"/>
      <c r="BJ268" s="34"/>
      <c r="BK268" s="34"/>
      <c r="BL268" s="34"/>
      <c r="BM268" s="31" t="s">
        <v>794</v>
      </c>
      <c r="BN268" s="31" t="s">
        <v>794</v>
      </c>
      <c r="BO268" s="34" t="s">
        <v>790</v>
      </c>
      <c r="BP268" s="34"/>
      <c r="BQ268" s="34"/>
      <c r="BR268" s="31" t="s">
        <v>792</v>
      </c>
      <c r="BS268" s="31" t="s">
        <v>792</v>
      </c>
      <c r="BT268" s="31" t="s">
        <v>792</v>
      </c>
      <c r="BU268" s="31" t="s">
        <v>792</v>
      </c>
      <c r="BV268" s="31" t="s">
        <v>792</v>
      </c>
      <c r="BW268" s="31"/>
      <c r="BX268" s="31" t="s">
        <v>792</v>
      </c>
      <c r="BY268" s="31" t="s">
        <v>792</v>
      </c>
      <c r="BZ268" s="31" t="s">
        <v>792</v>
      </c>
      <c r="CA268" s="31" t="s">
        <v>792</v>
      </c>
      <c r="CB268" s="31" t="s">
        <v>792</v>
      </c>
      <c r="CC268" s="31" t="s">
        <v>792</v>
      </c>
      <c r="CD268" s="31"/>
      <c r="CE268" s="31" t="s">
        <v>792</v>
      </c>
      <c r="CF268" s="31" t="s">
        <v>792</v>
      </c>
      <c r="CG268" s="31" t="s">
        <v>792</v>
      </c>
      <c r="CH268" s="46" t="s">
        <v>782</v>
      </c>
      <c r="CI268" s="46"/>
      <c r="CJ268" s="46" t="s">
        <v>792</v>
      </c>
      <c r="CK268" s="31"/>
      <c r="CL268" s="31"/>
    </row>
    <row r="269" spans="1:166" x14ac:dyDescent="0.35">
      <c r="A269" s="4" t="s">
        <v>240</v>
      </c>
      <c r="B269" s="5"/>
      <c r="C269" s="5" t="s">
        <v>53</v>
      </c>
      <c r="D269" s="32">
        <v>223570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23">
        <f t="shared" ref="V269:V331" si="23">SUM(D269:U269)</f>
        <v>223570</v>
      </c>
      <c r="W269" s="6"/>
      <c r="X269" s="23">
        <f t="shared" ref="X269:X274" si="24">V269-W269</f>
        <v>223570</v>
      </c>
      <c r="Y269" s="31"/>
      <c r="Z269" s="31"/>
      <c r="AA269" s="31" t="s">
        <v>791</v>
      </c>
      <c r="AB269" s="31" t="s">
        <v>791</v>
      </c>
      <c r="AC269" s="31" t="s">
        <v>791</v>
      </c>
      <c r="AD269" s="31" t="s">
        <v>791</v>
      </c>
      <c r="AE269" s="31" t="s">
        <v>791</v>
      </c>
      <c r="AF269" s="21" t="s">
        <v>810</v>
      </c>
      <c r="AG269" s="14"/>
      <c r="AH269" s="14"/>
      <c r="AI269" s="31" t="s">
        <v>791</v>
      </c>
      <c r="AJ269" s="31" t="s">
        <v>791</v>
      </c>
      <c r="AK269" s="31" t="s">
        <v>791</v>
      </c>
      <c r="AL269" s="31" t="s">
        <v>791</v>
      </c>
      <c r="AM269" s="31" t="s">
        <v>791</v>
      </c>
      <c r="AN269" s="31"/>
      <c r="AO269" s="31" t="s">
        <v>791</v>
      </c>
      <c r="AP269" s="31" t="s">
        <v>791</v>
      </c>
      <c r="AQ269" s="31" t="s">
        <v>791</v>
      </c>
      <c r="AR269" s="31" t="s">
        <v>791</v>
      </c>
      <c r="AS269" s="31" t="s">
        <v>791</v>
      </c>
      <c r="AT269" s="31" t="s">
        <v>791</v>
      </c>
      <c r="AU269" s="31"/>
      <c r="AV269" s="31"/>
      <c r="AW269" s="31" t="s">
        <v>791</v>
      </c>
      <c r="AX269" s="31" t="s">
        <v>791</v>
      </c>
      <c r="AY269" s="31" t="s">
        <v>791</v>
      </c>
      <c r="AZ269" s="31" t="s">
        <v>791</v>
      </c>
      <c r="BA269" s="31" t="s">
        <v>791</v>
      </c>
      <c r="BB269" s="31"/>
      <c r="BC269" s="31" t="s">
        <v>791</v>
      </c>
      <c r="BD269" s="31"/>
      <c r="BE269" s="46" t="s">
        <v>791</v>
      </c>
      <c r="BF269" s="31"/>
      <c r="BG269" s="31" t="s">
        <v>791</v>
      </c>
      <c r="BH269" s="31"/>
      <c r="BI269" s="31"/>
      <c r="BJ269" s="31" t="s">
        <v>791</v>
      </c>
      <c r="BK269" s="31"/>
      <c r="BL269" s="31" t="s">
        <v>791</v>
      </c>
      <c r="BM269" s="31" t="s">
        <v>791</v>
      </c>
      <c r="BN269" s="31" t="s">
        <v>791</v>
      </c>
      <c r="BO269" s="31" t="s">
        <v>791</v>
      </c>
      <c r="BP269" s="31"/>
      <c r="BQ269" s="31" t="s">
        <v>791</v>
      </c>
      <c r="BR269" s="31"/>
      <c r="BS269" s="100" t="s">
        <v>791</v>
      </c>
      <c r="BT269" s="31" t="s">
        <v>791</v>
      </c>
      <c r="BU269" s="31" t="s">
        <v>791</v>
      </c>
      <c r="BV269" s="31" t="s">
        <v>791</v>
      </c>
      <c r="BW269" s="31"/>
      <c r="BX269" s="31" t="s">
        <v>791</v>
      </c>
      <c r="BY269" s="31" t="s">
        <v>794</v>
      </c>
      <c r="BZ269" s="31" t="s">
        <v>794</v>
      </c>
      <c r="CA269" s="31" t="s">
        <v>794</v>
      </c>
      <c r="CB269" s="31" t="s">
        <v>794</v>
      </c>
      <c r="CC269" s="31" t="s">
        <v>794</v>
      </c>
      <c r="CD269" s="31"/>
      <c r="CE269" s="31" t="s">
        <v>794</v>
      </c>
      <c r="CF269" s="31" t="s">
        <v>794</v>
      </c>
      <c r="CG269" s="31" t="s">
        <v>794</v>
      </c>
      <c r="CH269" s="31" t="s">
        <v>794</v>
      </c>
      <c r="CI269" s="31"/>
      <c r="CJ269" s="31" t="s">
        <v>791</v>
      </c>
      <c r="CK269" s="31"/>
      <c r="CL269" s="31"/>
    </row>
    <row r="270" spans="1:166" ht="18.5" x14ac:dyDescent="0.45">
      <c r="A270" s="85" t="s">
        <v>241</v>
      </c>
      <c r="B270" s="86"/>
      <c r="C270" s="86" t="s">
        <v>242</v>
      </c>
      <c r="D270" s="75">
        <v>179000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23">
        <f t="shared" si="23"/>
        <v>179000</v>
      </c>
      <c r="W270" s="6"/>
      <c r="X270" s="12">
        <f t="shared" si="24"/>
        <v>179000</v>
      </c>
      <c r="Y270" s="31"/>
      <c r="Z270" s="31"/>
      <c r="AA270" s="31" t="s">
        <v>794</v>
      </c>
      <c r="AB270" s="31" t="s">
        <v>794</v>
      </c>
      <c r="AC270" s="31" t="s">
        <v>794</v>
      </c>
      <c r="AD270" s="31" t="s">
        <v>794</v>
      </c>
      <c r="AE270" s="31" t="s">
        <v>794</v>
      </c>
      <c r="AF270" s="21" t="s">
        <v>794</v>
      </c>
      <c r="AG270" s="14"/>
      <c r="AH270" s="14"/>
      <c r="AI270" s="31" t="s">
        <v>794</v>
      </c>
      <c r="AJ270" s="31" t="s">
        <v>794</v>
      </c>
      <c r="AK270" s="31" t="s">
        <v>794</v>
      </c>
      <c r="AL270" s="31" t="s">
        <v>794</v>
      </c>
      <c r="AM270" s="31" t="s">
        <v>794</v>
      </c>
      <c r="AN270" s="31"/>
      <c r="AO270" s="31" t="s">
        <v>794</v>
      </c>
      <c r="AP270" s="31" t="s">
        <v>794</v>
      </c>
      <c r="AQ270" s="31" t="s">
        <v>794</v>
      </c>
      <c r="AR270" s="31" t="s">
        <v>794</v>
      </c>
      <c r="AS270" s="31" t="s">
        <v>794</v>
      </c>
      <c r="AT270" s="31" t="s">
        <v>794</v>
      </c>
      <c r="AU270" s="31"/>
      <c r="AV270" s="31"/>
      <c r="AW270" s="31" t="s">
        <v>794</v>
      </c>
      <c r="AX270" s="31" t="s">
        <v>794</v>
      </c>
      <c r="AY270" s="31" t="s">
        <v>794</v>
      </c>
      <c r="AZ270" s="31" t="s">
        <v>794</v>
      </c>
      <c r="BA270" s="31" t="s">
        <v>794</v>
      </c>
      <c r="BB270" s="31"/>
      <c r="BC270" s="31" t="s">
        <v>794</v>
      </c>
      <c r="BD270" s="31"/>
      <c r="BE270" s="46" t="s">
        <v>794</v>
      </c>
      <c r="BF270" s="31"/>
      <c r="BG270" s="31" t="s">
        <v>794</v>
      </c>
      <c r="BH270" s="31"/>
      <c r="BI270" s="31"/>
      <c r="BJ270" s="31" t="s">
        <v>794</v>
      </c>
      <c r="BK270" s="31"/>
      <c r="BL270" s="31" t="s">
        <v>794</v>
      </c>
      <c r="BM270" s="31" t="s">
        <v>794</v>
      </c>
      <c r="BN270" s="31" t="s">
        <v>794</v>
      </c>
      <c r="BO270" s="31" t="s">
        <v>794</v>
      </c>
      <c r="BP270" s="31"/>
      <c r="BQ270" s="31" t="s">
        <v>794</v>
      </c>
      <c r="BR270" s="31"/>
      <c r="BS270" s="100" t="s">
        <v>794</v>
      </c>
      <c r="BT270" s="31" t="s">
        <v>794</v>
      </c>
      <c r="BU270" s="31" t="s">
        <v>794</v>
      </c>
      <c r="BV270" s="31" t="s">
        <v>794</v>
      </c>
      <c r="BW270" s="31"/>
      <c r="BX270" s="31" t="s">
        <v>794</v>
      </c>
      <c r="BY270" s="31" t="s">
        <v>794</v>
      </c>
      <c r="BZ270" s="31" t="s">
        <v>794</v>
      </c>
      <c r="CA270" s="31" t="s">
        <v>791</v>
      </c>
      <c r="CB270" s="31" t="s">
        <v>791</v>
      </c>
      <c r="CC270" s="31" t="s">
        <v>791</v>
      </c>
      <c r="CD270" s="31"/>
      <c r="CE270" s="31" t="s">
        <v>791</v>
      </c>
      <c r="CF270" s="31" t="s">
        <v>791</v>
      </c>
      <c r="CG270" s="31" t="s">
        <v>791</v>
      </c>
      <c r="CH270" s="31" t="s">
        <v>791</v>
      </c>
      <c r="CI270" s="31"/>
      <c r="CJ270" s="31" t="s">
        <v>794</v>
      </c>
      <c r="CK270" s="31"/>
      <c r="CL270" s="31"/>
    </row>
    <row r="271" spans="1:166" ht="18.5" x14ac:dyDescent="0.45">
      <c r="A271" s="85" t="s">
        <v>257</v>
      </c>
      <c r="B271" s="86"/>
      <c r="C271" s="86">
        <v>9857038032</v>
      </c>
      <c r="D271" s="85">
        <v>25000</v>
      </c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3">
        <f t="shared" si="23"/>
        <v>25000</v>
      </c>
      <c r="W271" s="27"/>
      <c r="X271" s="12">
        <f t="shared" si="24"/>
        <v>25000</v>
      </c>
      <c r="BX271" s="31"/>
      <c r="BY271" s="31" t="s">
        <v>796</v>
      </c>
      <c r="BZ271" s="31" t="s">
        <v>796</v>
      </c>
      <c r="CA271" s="31" t="s">
        <v>796</v>
      </c>
      <c r="CB271" s="31" t="s">
        <v>796</v>
      </c>
      <c r="CC271" s="31" t="s">
        <v>796</v>
      </c>
      <c r="CD271" s="31"/>
      <c r="CE271" s="31" t="s">
        <v>796</v>
      </c>
      <c r="CF271" s="31" t="s">
        <v>796</v>
      </c>
      <c r="CG271" s="31" t="s">
        <v>796</v>
      </c>
      <c r="CH271" s="31" t="s">
        <v>796</v>
      </c>
      <c r="CI271" s="31"/>
      <c r="CJ271" s="31" t="s">
        <v>796</v>
      </c>
      <c r="CK271" s="31"/>
      <c r="CL271" s="31"/>
    </row>
    <row r="272" spans="1:166" ht="18.5" x14ac:dyDescent="0.45">
      <c r="A272" s="85" t="s">
        <v>258</v>
      </c>
      <c r="B272" s="86"/>
      <c r="C272" s="86" t="s">
        <v>259</v>
      </c>
      <c r="D272" s="85">
        <v>22000</v>
      </c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3">
        <f t="shared" si="23"/>
        <v>22000</v>
      </c>
      <c r="W272" s="27"/>
      <c r="X272" s="23">
        <f t="shared" si="24"/>
        <v>22000</v>
      </c>
      <c r="BX272" s="31"/>
      <c r="BY272" s="31" t="s">
        <v>969</v>
      </c>
      <c r="BZ272" s="31" t="s">
        <v>969</v>
      </c>
      <c r="CA272" s="31" t="s">
        <v>969</v>
      </c>
      <c r="CB272" s="31" t="s">
        <v>969</v>
      </c>
      <c r="CC272" s="31" t="s">
        <v>969</v>
      </c>
      <c r="CD272" s="31"/>
      <c r="CE272" s="31" t="s">
        <v>969</v>
      </c>
      <c r="CF272" s="31" t="s">
        <v>969</v>
      </c>
      <c r="CG272" s="31" t="s">
        <v>969</v>
      </c>
      <c r="CH272" s="31" t="s">
        <v>969</v>
      </c>
      <c r="CI272" s="31"/>
      <c r="CJ272" s="31" t="s">
        <v>969</v>
      </c>
      <c r="CK272" s="31"/>
      <c r="CL272" s="31"/>
    </row>
    <row r="273" spans="1:90" x14ac:dyDescent="0.35">
      <c r="A273" s="27" t="s">
        <v>260</v>
      </c>
      <c r="B273" s="55"/>
      <c r="C273" s="28">
        <v>9867845062</v>
      </c>
      <c r="D273" s="27">
        <v>2000</v>
      </c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3">
        <f t="shared" si="23"/>
        <v>2000</v>
      </c>
      <c r="W273" s="27"/>
      <c r="X273" s="23">
        <f t="shared" si="24"/>
        <v>2000</v>
      </c>
      <c r="BX273" s="31"/>
      <c r="BY273" s="31" t="s">
        <v>794</v>
      </c>
      <c r="BZ273" s="31" t="s">
        <v>794</v>
      </c>
      <c r="CA273" s="31" t="s">
        <v>794</v>
      </c>
      <c r="CB273" s="31" t="s">
        <v>794</v>
      </c>
      <c r="CC273" s="31" t="s">
        <v>794</v>
      </c>
      <c r="CD273" s="31"/>
      <c r="CE273" s="31" t="s">
        <v>794</v>
      </c>
      <c r="CF273" s="31" t="s">
        <v>794</v>
      </c>
      <c r="CG273" s="31" t="s">
        <v>794</v>
      </c>
      <c r="CH273" s="31" t="s">
        <v>794</v>
      </c>
      <c r="CI273" s="31"/>
      <c r="CJ273" s="31" t="s">
        <v>843</v>
      </c>
      <c r="CK273" s="31"/>
      <c r="CL273" s="31"/>
    </row>
    <row r="274" spans="1:90" ht="18.5" x14ac:dyDescent="0.45">
      <c r="A274" s="85" t="s">
        <v>261</v>
      </c>
      <c r="B274" s="86"/>
      <c r="C274" s="86">
        <v>9860319721</v>
      </c>
      <c r="D274" s="85">
        <v>35675</v>
      </c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3">
        <f t="shared" si="23"/>
        <v>35675</v>
      </c>
      <c r="W274" s="27"/>
      <c r="X274" s="12">
        <f t="shared" si="24"/>
        <v>35675</v>
      </c>
      <c r="BX274" s="31"/>
      <c r="BY274" s="31" t="s">
        <v>969</v>
      </c>
      <c r="BZ274" s="31" t="s">
        <v>969</v>
      </c>
      <c r="CA274" s="31" t="s">
        <v>969</v>
      </c>
      <c r="CB274" s="31" t="s">
        <v>969</v>
      </c>
      <c r="CC274" s="31" t="s">
        <v>969</v>
      </c>
      <c r="CD274" s="31"/>
      <c r="CE274" s="31" t="s">
        <v>969</v>
      </c>
      <c r="CF274" s="31" t="s">
        <v>969</v>
      </c>
      <c r="CG274" s="31" t="s">
        <v>969</v>
      </c>
      <c r="CH274" s="31" t="s">
        <v>969</v>
      </c>
      <c r="CI274" s="31"/>
      <c r="CJ274" s="31" t="s">
        <v>969</v>
      </c>
      <c r="CK274" s="31"/>
      <c r="CL274" s="31"/>
    </row>
    <row r="275" spans="1:90" ht="18.5" x14ac:dyDescent="0.45">
      <c r="A275" s="85" t="s">
        <v>262</v>
      </c>
      <c r="B275" s="86"/>
      <c r="C275" s="86">
        <v>9857052629</v>
      </c>
      <c r="D275" s="85">
        <v>22000</v>
      </c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3">
        <f t="shared" si="23"/>
        <v>22000</v>
      </c>
      <c r="W275" s="27"/>
      <c r="X275" s="12">
        <f t="shared" ref="X275:X302" si="25">V275-W275</f>
        <v>22000</v>
      </c>
      <c r="BX275" s="31"/>
      <c r="BY275" s="31" t="s">
        <v>969</v>
      </c>
      <c r="BZ275" s="31" t="s">
        <v>969</v>
      </c>
      <c r="CA275" s="31" t="s">
        <v>969</v>
      </c>
      <c r="CB275" s="31" t="s">
        <v>969</v>
      </c>
      <c r="CC275" s="31" t="s">
        <v>969</v>
      </c>
      <c r="CD275" s="31"/>
      <c r="CE275" s="31" t="s">
        <v>969</v>
      </c>
      <c r="CF275" s="31" t="s">
        <v>969</v>
      </c>
      <c r="CG275" s="31" t="s">
        <v>969</v>
      </c>
      <c r="CH275" s="31" t="s">
        <v>969</v>
      </c>
      <c r="CI275" s="31"/>
      <c r="CJ275" s="31" t="s">
        <v>969</v>
      </c>
      <c r="CK275" s="31"/>
      <c r="CL275" s="31"/>
    </row>
    <row r="276" spans="1:90" ht="18.5" x14ac:dyDescent="0.45">
      <c r="A276" s="85" t="s">
        <v>263</v>
      </c>
      <c r="B276" s="86"/>
      <c r="C276" s="86">
        <v>9847033727</v>
      </c>
      <c r="D276" s="85">
        <v>17000</v>
      </c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3">
        <f t="shared" si="23"/>
        <v>17000</v>
      </c>
      <c r="W276" s="27"/>
      <c r="X276" s="12">
        <f t="shared" si="25"/>
        <v>17000</v>
      </c>
      <c r="BX276" s="31"/>
      <c r="BY276" s="31" t="s">
        <v>969</v>
      </c>
      <c r="BZ276" s="31" t="s">
        <v>969</v>
      </c>
      <c r="CA276" s="31" t="s">
        <v>969</v>
      </c>
      <c r="CB276" s="31" t="s">
        <v>969</v>
      </c>
      <c r="CC276" s="31" t="s">
        <v>969</v>
      </c>
      <c r="CD276" s="31"/>
      <c r="CE276" s="31" t="s">
        <v>969</v>
      </c>
      <c r="CF276" s="31" t="s">
        <v>969</v>
      </c>
      <c r="CG276" s="31" t="s">
        <v>969</v>
      </c>
      <c r="CH276" s="31" t="s">
        <v>969</v>
      </c>
      <c r="CI276" s="31"/>
      <c r="CJ276" s="31" t="s">
        <v>969</v>
      </c>
      <c r="CK276" s="31"/>
      <c r="CL276" s="31"/>
    </row>
    <row r="277" spans="1:90" x14ac:dyDescent="0.35">
      <c r="A277" s="27" t="s">
        <v>264</v>
      </c>
      <c r="B277" s="55"/>
      <c r="C277" s="28"/>
      <c r="D277" s="27">
        <v>3500</v>
      </c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3">
        <f t="shared" si="23"/>
        <v>3500</v>
      </c>
      <c r="W277" s="27"/>
      <c r="X277" s="23">
        <f t="shared" si="25"/>
        <v>3500</v>
      </c>
      <c r="BX277" s="31"/>
      <c r="BY277" s="31" t="s">
        <v>796</v>
      </c>
      <c r="BZ277" s="31" t="s">
        <v>796</v>
      </c>
      <c r="CA277" s="31" t="s">
        <v>796</v>
      </c>
      <c r="CB277" s="31" t="s">
        <v>796</v>
      </c>
      <c r="CC277" s="31" t="s">
        <v>796</v>
      </c>
      <c r="CD277" s="31"/>
      <c r="CE277" s="31" t="s">
        <v>796</v>
      </c>
      <c r="CF277" s="31" t="s">
        <v>796</v>
      </c>
      <c r="CG277" s="31" t="s">
        <v>796</v>
      </c>
      <c r="CH277" s="31" t="s">
        <v>796</v>
      </c>
      <c r="CI277" s="31"/>
      <c r="CJ277" s="31" t="s">
        <v>796</v>
      </c>
      <c r="CK277" s="31"/>
      <c r="CL277" s="31"/>
    </row>
    <row r="278" spans="1:90" ht="18.5" x14ac:dyDescent="0.45">
      <c r="A278" s="85" t="s">
        <v>256</v>
      </c>
      <c r="B278" s="86"/>
      <c r="C278" s="86">
        <v>9847492081</v>
      </c>
      <c r="D278" s="85">
        <v>18000</v>
      </c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3">
        <f t="shared" si="23"/>
        <v>18000</v>
      </c>
      <c r="W278" s="27"/>
      <c r="X278" s="12">
        <f t="shared" si="25"/>
        <v>18000</v>
      </c>
      <c r="BX278" s="31"/>
      <c r="BY278" s="31" t="s">
        <v>969</v>
      </c>
      <c r="BZ278" s="31" t="s">
        <v>969</v>
      </c>
      <c r="CA278" s="31" t="s">
        <v>969</v>
      </c>
      <c r="CB278" s="31" t="s">
        <v>969</v>
      </c>
      <c r="CC278" s="31" t="s">
        <v>969</v>
      </c>
      <c r="CD278" s="31"/>
      <c r="CE278" s="31" t="s">
        <v>969</v>
      </c>
      <c r="CF278" s="31" t="s">
        <v>969</v>
      </c>
      <c r="CG278" s="31" t="s">
        <v>969</v>
      </c>
      <c r="CH278" s="31" t="s">
        <v>969</v>
      </c>
      <c r="CI278" s="31"/>
      <c r="CJ278" s="31" t="s">
        <v>969</v>
      </c>
      <c r="CK278" s="31"/>
      <c r="CL278" s="31"/>
    </row>
    <row r="279" spans="1:90" ht="18.5" x14ac:dyDescent="0.45">
      <c r="A279" s="85" t="s">
        <v>243</v>
      </c>
      <c r="B279" s="86"/>
      <c r="C279" s="86">
        <v>9857032611</v>
      </c>
      <c r="D279" s="75">
        <v>60000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23">
        <f t="shared" si="23"/>
        <v>60000</v>
      </c>
      <c r="W279" s="6"/>
      <c r="X279" s="12">
        <f t="shared" si="25"/>
        <v>60000</v>
      </c>
      <c r="Y279" s="31"/>
      <c r="Z279" s="31"/>
      <c r="AA279" s="31" t="s">
        <v>794</v>
      </c>
      <c r="AB279" s="31" t="s">
        <v>794</v>
      </c>
      <c r="AC279" s="31" t="s">
        <v>794</v>
      </c>
      <c r="AD279" s="31" t="s">
        <v>794</v>
      </c>
      <c r="AE279" s="31" t="s">
        <v>794</v>
      </c>
      <c r="AF279" s="21" t="s">
        <v>794</v>
      </c>
      <c r="AG279" s="14"/>
      <c r="AH279" s="14"/>
      <c r="AI279" s="31" t="s">
        <v>794</v>
      </c>
      <c r="AJ279" s="31" t="s">
        <v>794</v>
      </c>
      <c r="AK279" s="31" t="s">
        <v>794</v>
      </c>
      <c r="AL279" s="31" t="s">
        <v>794</v>
      </c>
      <c r="AM279" s="31" t="s">
        <v>794</v>
      </c>
      <c r="AN279" s="31"/>
      <c r="AO279" s="31" t="s">
        <v>794</v>
      </c>
      <c r="AP279" s="31" t="s">
        <v>794</v>
      </c>
      <c r="AQ279" s="31" t="s">
        <v>794</v>
      </c>
      <c r="AR279" s="31" t="s">
        <v>794</v>
      </c>
      <c r="AS279" s="31" t="s">
        <v>794</v>
      </c>
      <c r="AT279" s="31" t="s">
        <v>794</v>
      </c>
      <c r="AU279" s="31"/>
      <c r="AV279" s="31"/>
      <c r="AW279" s="31" t="s">
        <v>794</v>
      </c>
      <c r="AX279" s="31" t="s">
        <v>794</v>
      </c>
      <c r="AY279" s="31" t="s">
        <v>794</v>
      </c>
      <c r="AZ279" s="31" t="s">
        <v>794</v>
      </c>
      <c r="BA279" s="31" t="s">
        <v>794</v>
      </c>
      <c r="BB279" s="31"/>
      <c r="BC279" s="31" t="s">
        <v>794</v>
      </c>
      <c r="BD279" s="31"/>
      <c r="BE279" s="46" t="s">
        <v>794</v>
      </c>
      <c r="BF279" s="31"/>
      <c r="BG279" s="31" t="s">
        <v>794</v>
      </c>
      <c r="BH279" s="31"/>
      <c r="BI279" s="31"/>
      <c r="BJ279" s="31" t="s">
        <v>794</v>
      </c>
      <c r="BK279" s="31"/>
      <c r="BL279" s="31" t="s">
        <v>794</v>
      </c>
      <c r="BM279" s="31" t="s">
        <v>794</v>
      </c>
      <c r="BN279" s="31" t="s">
        <v>794</v>
      </c>
      <c r="BO279" s="31" t="s">
        <v>794</v>
      </c>
      <c r="BP279" s="31"/>
      <c r="BQ279" s="31" t="s">
        <v>794</v>
      </c>
      <c r="BR279" s="31"/>
      <c r="BS279" s="31" t="s">
        <v>794</v>
      </c>
      <c r="BT279" s="31" t="s">
        <v>794</v>
      </c>
      <c r="BU279" s="31" t="s">
        <v>794</v>
      </c>
      <c r="BV279" s="31" t="s">
        <v>794</v>
      </c>
      <c r="BW279" s="31"/>
      <c r="BX279" s="31"/>
      <c r="BY279" s="31" t="s">
        <v>794</v>
      </c>
      <c r="BZ279" s="31" t="s">
        <v>794</v>
      </c>
      <c r="CA279" s="31" t="s">
        <v>794</v>
      </c>
      <c r="CB279" s="31" t="s">
        <v>794</v>
      </c>
      <c r="CC279" s="31" t="s">
        <v>794</v>
      </c>
      <c r="CD279" s="31"/>
      <c r="CE279" s="31" t="s">
        <v>794</v>
      </c>
      <c r="CF279" s="31" t="s">
        <v>794</v>
      </c>
      <c r="CG279" s="31" t="s">
        <v>794</v>
      </c>
      <c r="CH279" s="31" t="s">
        <v>794</v>
      </c>
      <c r="CI279" s="31"/>
      <c r="CJ279" s="31" t="s">
        <v>794</v>
      </c>
      <c r="CK279" s="31"/>
      <c r="CL279" s="31"/>
    </row>
    <row r="280" spans="1:90" ht="18.5" x14ac:dyDescent="0.45">
      <c r="A280" s="85" t="s">
        <v>265</v>
      </c>
      <c r="B280" s="86"/>
      <c r="C280" s="86" t="s">
        <v>266</v>
      </c>
      <c r="D280" s="85">
        <v>4200</v>
      </c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3">
        <f t="shared" si="23"/>
        <v>4200</v>
      </c>
      <c r="W280" s="27"/>
      <c r="X280" s="12">
        <f t="shared" si="25"/>
        <v>4200</v>
      </c>
      <c r="BX280" s="31"/>
      <c r="BY280" s="31" t="s">
        <v>969</v>
      </c>
      <c r="BZ280" s="31" t="s">
        <v>969</v>
      </c>
      <c r="CA280" s="31" t="s">
        <v>969</v>
      </c>
      <c r="CB280" s="31" t="s">
        <v>969</v>
      </c>
      <c r="CC280" s="31" t="s">
        <v>969</v>
      </c>
      <c r="CD280" s="31"/>
      <c r="CE280" s="31" t="s">
        <v>969</v>
      </c>
      <c r="CF280" s="31" t="s">
        <v>969</v>
      </c>
      <c r="CG280" s="31" t="s">
        <v>969</v>
      </c>
      <c r="CH280" s="31" t="s">
        <v>969</v>
      </c>
      <c r="CI280" s="31"/>
      <c r="CJ280" s="31" t="s">
        <v>969</v>
      </c>
      <c r="CK280" s="31"/>
      <c r="CL280" s="31"/>
    </row>
    <row r="281" spans="1:90" x14ac:dyDescent="0.35">
      <c r="A281" s="8" t="s">
        <v>244</v>
      </c>
      <c r="B281" s="3"/>
      <c r="C281" s="24">
        <v>9846507398</v>
      </c>
      <c r="D281" s="8">
        <v>-24500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23">
        <f t="shared" si="23"/>
        <v>-24500</v>
      </c>
      <c r="W281" s="8"/>
      <c r="X281" s="8">
        <f t="shared" si="25"/>
        <v>-24500</v>
      </c>
      <c r="Y281" s="31"/>
      <c r="Z281" s="31"/>
      <c r="AA281" s="31"/>
      <c r="AB281" s="31"/>
      <c r="AC281" s="31"/>
      <c r="AD281" s="31"/>
      <c r="AE281" s="31"/>
      <c r="AG281" s="14"/>
      <c r="AH281" s="14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46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</row>
    <row r="282" spans="1:90" ht="18.5" x14ac:dyDescent="0.45">
      <c r="A282" s="85" t="s">
        <v>267</v>
      </c>
      <c r="B282" s="86"/>
      <c r="C282" s="86">
        <v>9857065418</v>
      </c>
      <c r="D282" s="85">
        <v>40000</v>
      </c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3">
        <f t="shared" si="23"/>
        <v>40000</v>
      </c>
      <c r="W282" s="27"/>
      <c r="X282" s="12">
        <f t="shared" si="25"/>
        <v>40000</v>
      </c>
      <c r="BX282" s="31"/>
      <c r="BY282" s="31" t="s">
        <v>969</v>
      </c>
      <c r="BZ282" s="31" t="s">
        <v>969</v>
      </c>
      <c r="CA282" s="31" t="s">
        <v>969</v>
      </c>
      <c r="CB282" s="31" t="s">
        <v>969</v>
      </c>
      <c r="CC282" s="31" t="s">
        <v>969</v>
      </c>
      <c r="CD282" s="31"/>
      <c r="CE282" s="31" t="s">
        <v>969</v>
      </c>
      <c r="CF282" s="31" t="s">
        <v>969</v>
      </c>
      <c r="CG282" s="31" t="s">
        <v>969</v>
      </c>
      <c r="CH282" s="31" t="s">
        <v>969</v>
      </c>
      <c r="CI282" s="31"/>
      <c r="CJ282" s="31" t="s">
        <v>969</v>
      </c>
      <c r="CK282" s="31"/>
      <c r="CL282" s="31"/>
    </row>
    <row r="283" spans="1:90" x14ac:dyDescent="0.35">
      <c r="A283" s="27" t="s">
        <v>121</v>
      </c>
      <c r="B283" s="55"/>
      <c r="C283" s="28">
        <v>9847243369</v>
      </c>
      <c r="D283" s="27">
        <v>4500</v>
      </c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3">
        <f t="shared" si="23"/>
        <v>4500</v>
      </c>
      <c r="W283" s="27"/>
      <c r="X283" s="12">
        <f t="shared" si="25"/>
        <v>4500</v>
      </c>
      <c r="BX283" s="31"/>
      <c r="BY283" s="31" t="s">
        <v>796</v>
      </c>
      <c r="BZ283" s="31" t="s">
        <v>796</v>
      </c>
      <c r="CA283" s="31" t="s">
        <v>796</v>
      </c>
      <c r="CB283" s="31" t="s">
        <v>796</v>
      </c>
      <c r="CC283" s="31" t="s">
        <v>796</v>
      </c>
      <c r="CD283" s="31"/>
      <c r="CE283" s="31" t="s">
        <v>796</v>
      </c>
      <c r="CF283" s="31" t="s">
        <v>796</v>
      </c>
      <c r="CG283" s="31" t="s">
        <v>796</v>
      </c>
      <c r="CH283" s="31" t="s">
        <v>796</v>
      </c>
      <c r="CI283" s="31"/>
      <c r="CJ283" s="31" t="s">
        <v>796</v>
      </c>
      <c r="CK283" s="31"/>
      <c r="CL283" s="31"/>
    </row>
    <row r="284" spans="1:90" ht="18.5" x14ac:dyDescent="0.45">
      <c r="A284" s="85" t="s">
        <v>269</v>
      </c>
      <c r="B284" s="86"/>
      <c r="C284" s="86"/>
      <c r="D284" s="85">
        <v>37390</v>
      </c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3">
        <f t="shared" si="23"/>
        <v>37390</v>
      </c>
      <c r="W284" s="27"/>
      <c r="X284" s="12">
        <f t="shared" si="25"/>
        <v>37390</v>
      </c>
      <c r="BX284" s="31"/>
      <c r="BY284" s="31" t="s">
        <v>969</v>
      </c>
      <c r="BZ284" s="31" t="s">
        <v>969</v>
      </c>
      <c r="CA284" s="31" t="s">
        <v>969</v>
      </c>
      <c r="CB284" s="31" t="s">
        <v>969</v>
      </c>
      <c r="CC284" s="31" t="s">
        <v>969</v>
      </c>
      <c r="CD284" s="31"/>
      <c r="CE284" s="31" t="s">
        <v>969</v>
      </c>
      <c r="CF284" s="31" t="s">
        <v>969</v>
      </c>
      <c r="CG284" s="31" t="s">
        <v>969</v>
      </c>
      <c r="CH284" s="31" t="s">
        <v>969</v>
      </c>
      <c r="CI284" s="31"/>
      <c r="CJ284" s="31" t="s">
        <v>969</v>
      </c>
      <c r="CK284" s="31"/>
      <c r="CL284" s="31"/>
    </row>
    <row r="285" spans="1:90" ht="18.5" x14ac:dyDescent="0.45">
      <c r="A285" s="75" t="s">
        <v>245</v>
      </c>
      <c r="B285" s="76"/>
      <c r="C285" s="76">
        <v>9857025832</v>
      </c>
      <c r="D285" s="75">
        <v>2000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23">
        <f t="shared" si="23"/>
        <v>2000</v>
      </c>
      <c r="W285" s="6"/>
      <c r="X285" s="12">
        <f t="shared" si="25"/>
        <v>2000</v>
      </c>
      <c r="Y285" s="31"/>
      <c r="Z285" s="31"/>
      <c r="AA285" s="31" t="s">
        <v>794</v>
      </c>
      <c r="AB285" s="31" t="s">
        <v>794</v>
      </c>
      <c r="AC285" s="31" t="s">
        <v>794</v>
      </c>
      <c r="AD285" s="31" t="s">
        <v>794</v>
      </c>
      <c r="AE285" s="31" t="s">
        <v>794</v>
      </c>
      <c r="AF285" s="21" t="s">
        <v>794</v>
      </c>
      <c r="AG285" s="14"/>
      <c r="AH285" s="14"/>
      <c r="AI285" s="31" t="s">
        <v>794</v>
      </c>
      <c r="AJ285" s="31" t="s">
        <v>794</v>
      </c>
      <c r="AK285" s="31" t="s">
        <v>794</v>
      </c>
      <c r="AL285" s="31" t="s">
        <v>794</v>
      </c>
      <c r="AM285" s="31" t="s">
        <v>794</v>
      </c>
      <c r="AN285" s="31"/>
      <c r="AO285" s="31" t="s">
        <v>794</v>
      </c>
      <c r="AP285" s="31" t="s">
        <v>794</v>
      </c>
      <c r="AQ285" s="31" t="s">
        <v>794</v>
      </c>
      <c r="AR285" s="31" t="s">
        <v>794</v>
      </c>
      <c r="AS285" s="31" t="s">
        <v>794</v>
      </c>
      <c r="AT285" s="31" t="s">
        <v>794</v>
      </c>
      <c r="AU285" s="31"/>
      <c r="AV285" s="31"/>
      <c r="AW285" s="31" t="s">
        <v>794</v>
      </c>
      <c r="AX285" s="31" t="s">
        <v>794</v>
      </c>
      <c r="AY285" s="31" t="s">
        <v>794</v>
      </c>
      <c r="AZ285" s="31" t="s">
        <v>794</v>
      </c>
      <c r="BA285" s="31" t="s">
        <v>794</v>
      </c>
      <c r="BB285" s="31"/>
      <c r="BC285" s="31" t="s">
        <v>794</v>
      </c>
      <c r="BD285" s="31"/>
      <c r="BE285" s="46" t="s">
        <v>794</v>
      </c>
      <c r="BF285" s="31"/>
      <c r="BG285" s="31" t="s">
        <v>794</v>
      </c>
      <c r="BH285" s="31"/>
      <c r="BI285" s="31"/>
      <c r="BJ285" s="31" t="s">
        <v>794</v>
      </c>
      <c r="BK285" s="31"/>
      <c r="BL285" s="31" t="s">
        <v>794</v>
      </c>
      <c r="BM285" s="31" t="s">
        <v>794</v>
      </c>
      <c r="BN285" s="31" t="s">
        <v>794</v>
      </c>
      <c r="BO285" s="31" t="s">
        <v>794</v>
      </c>
      <c r="BP285" s="31"/>
      <c r="BQ285" s="31" t="s">
        <v>794</v>
      </c>
      <c r="BR285" s="31"/>
      <c r="BS285" s="31" t="s">
        <v>794</v>
      </c>
      <c r="BT285" s="31" t="s">
        <v>794</v>
      </c>
      <c r="BU285" s="31" t="s">
        <v>794</v>
      </c>
      <c r="BV285" s="31" t="s">
        <v>794</v>
      </c>
      <c r="BW285" s="31"/>
      <c r="BX285" s="31"/>
      <c r="BY285" s="31" t="s">
        <v>794</v>
      </c>
      <c r="BZ285" s="31" t="s">
        <v>794</v>
      </c>
      <c r="CA285" s="31" t="s">
        <v>794</v>
      </c>
      <c r="CB285" s="31" t="s">
        <v>794</v>
      </c>
      <c r="CC285" s="31" t="s">
        <v>794</v>
      </c>
      <c r="CD285" s="31"/>
      <c r="CE285" s="31" t="s">
        <v>794</v>
      </c>
      <c r="CF285" s="31" t="s">
        <v>794</v>
      </c>
      <c r="CG285" s="31" t="s">
        <v>794</v>
      </c>
      <c r="CH285" s="31" t="s">
        <v>794</v>
      </c>
      <c r="CI285" s="31"/>
      <c r="CJ285" s="31" t="s">
        <v>794</v>
      </c>
      <c r="CK285" s="31"/>
      <c r="CL285" s="31"/>
    </row>
    <row r="286" spans="1:90" ht="18.5" x14ac:dyDescent="0.45">
      <c r="A286" s="75" t="s">
        <v>246</v>
      </c>
      <c r="B286" s="76"/>
      <c r="C286" s="76">
        <v>9857060669</v>
      </c>
      <c r="D286" s="75">
        <v>1500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23">
        <f t="shared" si="23"/>
        <v>1500</v>
      </c>
      <c r="W286" s="6"/>
      <c r="X286" s="12">
        <f t="shared" si="25"/>
        <v>1500</v>
      </c>
      <c r="Y286" s="14"/>
      <c r="Z286" s="14"/>
      <c r="AA286" s="14" t="s">
        <v>794</v>
      </c>
      <c r="AB286" s="14" t="s">
        <v>794</v>
      </c>
      <c r="AC286" s="14" t="s">
        <v>794</v>
      </c>
      <c r="AD286" s="14" t="s">
        <v>794</v>
      </c>
      <c r="AE286" s="14" t="s">
        <v>794</v>
      </c>
      <c r="AF286" s="6" t="s">
        <v>794</v>
      </c>
      <c r="AG286" s="14"/>
      <c r="AH286" s="14"/>
      <c r="AI286" s="31" t="s">
        <v>794</v>
      </c>
      <c r="AJ286" s="31" t="s">
        <v>794</v>
      </c>
      <c r="AK286" s="31" t="s">
        <v>794</v>
      </c>
      <c r="AL286" s="31" t="s">
        <v>794</v>
      </c>
      <c r="AM286" s="31" t="s">
        <v>794</v>
      </c>
      <c r="AN286" s="31"/>
      <c r="AO286" s="31" t="s">
        <v>794</v>
      </c>
      <c r="AP286" s="31" t="s">
        <v>794</v>
      </c>
      <c r="AQ286" s="31" t="s">
        <v>794</v>
      </c>
      <c r="AR286" s="31" t="s">
        <v>794</v>
      </c>
      <c r="AS286" s="31" t="s">
        <v>794</v>
      </c>
      <c r="AT286" s="31" t="s">
        <v>794</v>
      </c>
      <c r="AU286" s="31"/>
      <c r="AV286" s="31"/>
      <c r="AW286" s="31" t="s">
        <v>794</v>
      </c>
      <c r="AX286" s="31" t="s">
        <v>794</v>
      </c>
      <c r="AY286" s="31" t="s">
        <v>794</v>
      </c>
      <c r="AZ286" s="31" t="s">
        <v>794</v>
      </c>
      <c r="BA286" s="31" t="s">
        <v>794</v>
      </c>
      <c r="BB286" s="31"/>
      <c r="BC286" s="31" t="s">
        <v>794</v>
      </c>
      <c r="BD286" s="31"/>
      <c r="BE286" s="46" t="s">
        <v>794</v>
      </c>
      <c r="BF286" s="31"/>
      <c r="BG286" s="31" t="s">
        <v>794</v>
      </c>
      <c r="BH286" s="31"/>
      <c r="BI286" s="31"/>
      <c r="BJ286" s="31" t="s">
        <v>794</v>
      </c>
      <c r="BK286" s="31"/>
      <c r="BL286" s="31" t="s">
        <v>794</v>
      </c>
      <c r="BM286" s="31" t="s">
        <v>794</v>
      </c>
      <c r="BN286" s="31" t="s">
        <v>794</v>
      </c>
      <c r="BO286" s="31" t="s">
        <v>794</v>
      </c>
      <c r="BP286" s="31"/>
      <c r="BQ286" s="31" t="s">
        <v>794</v>
      </c>
      <c r="BR286" s="31"/>
      <c r="BS286" s="31" t="s">
        <v>794</v>
      </c>
      <c r="BT286" s="31" t="s">
        <v>794</v>
      </c>
      <c r="BU286" s="31" t="s">
        <v>794</v>
      </c>
      <c r="BV286" s="31" t="s">
        <v>794</v>
      </c>
      <c r="BW286" s="31"/>
      <c r="BX286" s="31"/>
      <c r="BY286" s="31" t="s">
        <v>794</v>
      </c>
      <c r="BZ286" s="31" t="s">
        <v>794</v>
      </c>
      <c r="CA286" s="31" t="s">
        <v>794</v>
      </c>
      <c r="CB286" s="31" t="s">
        <v>794</v>
      </c>
      <c r="CC286" s="31" t="s">
        <v>794</v>
      </c>
      <c r="CD286" s="31"/>
      <c r="CE286" s="31" t="s">
        <v>794</v>
      </c>
      <c r="CF286" s="31" t="s">
        <v>794</v>
      </c>
      <c r="CG286" s="31" t="s">
        <v>794</v>
      </c>
      <c r="CH286" s="31" t="s">
        <v>794</v>
      </c>
      <c r="CI286" s="31"/>
      <c r="CJ286" s="31" t="s">
        <v>794</v>
      </c>
      <c r="CK286" s="31"/>
      <c r="CL286" s="31"/>
    </row>
    <row r="287" spans="1:90" ht="18.5" x14ac:dyDescent="0.45">
      <c r="A287" s="85" t="s">
        <v>247</v>
      </c>
      <c r="B287" s="86"/>
      <c r="C287" s="86"/>
      <c r="D287" s="75">
        <v>20000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23">
        <f t="shared" si="23"/>
        <v>20000</v>
      </c>
      <c r="W287" s="6"/>
      <c r="X287" s="23">
        <f t="shared" si="25"/>
        <v>20000</v>
      </c>
      <c r="Y287" s="31"/>
      <c r="Z287" s="31"/>
      <c r="AA287" s="31"/>
      <c r="AB287" s="31"/>
      <c r="AC287" s="31" t="s">
        <v>794</v>
      </c>
      <c r="AD287" s="31" t="s">
        <v>794</v>
      </c>
      <c r="AE287" s="31" t="s">
        <v>794</v>
      </c>
      <c r="AF287" s="21" t="s">
        <v>794</v>
      </c>
      <c r="AG287" s="14"/>
      <c r="AH287" s="14"/>
      <c r="AI287" s="31" t="s">
        <v>794</v>
      </c>
      <c r="AJ287" s="31" t="s">
        <v>794</v>
      </c>
      <c r="AK287" s="31" t="s">
        <v>794</v>
      </c>
      <c r="AL287" s="31" t="s">
        <v>794</v>
      </c>
      <c r="AM287" s="31" t="s">
        <v>794</v>
      </c>
      <c r="AN287" s="31"/>
      <c r="AO287" s="31" t="s">
        <v>794</v>
      </c>
      <c r="AP287" s="31" t="s">
        <v>794</v>
      </c>
      <c r="AQ287" s="31" t="s">
        <v>794</v>
      </c>
      <c r="AR287" s="31" t="s">
        <v>794</v>
      </c>
      <c r="AS287" s="31" t="s">
        <v>794</v>
      </c>
      <c r="AT287" s="31" t="s">
        <v>794</v>
      </c>
      <c r="AU287" s="31"/>
      <c r="AV287" s="31"/>
      <c r="AW287" s="31" t="s">
        <v>794</v>
      </c>
      <c r="AX287" s="31" t="s">
        <v>794</v>
      </c>
      <c r="AY287" s="31" t="s">
        <v>794</v>
      </c>
      <c r="AZ287" s="31" t="s">
        <v>794</v>
      </c>
      <c r="BA287" s="31" t="s">
        <v>794</v>
      </c>
      <c r="BB287" s="31"/>
      <c r="BC287" s="31" t="s">
        <v>794</v>
      </c>
      <c r="BD287" s="31"/>
      <c r="BE287" s="46" t="s">
        <v>794</v>
      </c>
      <c r="BF287" s="31"/>
      <c r="BG287" s="31" t="s">
        <v>794</v>
      </c>
      <c r="BH287" s="31"/>
      <c r="BI287" s="31"/>
      <c r="BJ287" s="31" t="s">
        <v>794</v>
      </c>
      <c r="BK287" s="31"/>
      <c r="BL287" s="31" t="s">
        <v>794</v>
      </c>
      <c r="BM287" s="31" t="s">
        <v>794</v>
      </c>
      <c r="BN287" s="31" t="s">
        <v>794</v>
      </c>
      <c r="BO287" s="31" t="s">
        <v>794</v>
      </c>
      <c r="BP287" s="31"/>
      <c r="BQ287" s="31" t="s">
        <v>794</v>
      </c>
      <c r="BR287" s="31"/>
      <c r="BS287" s="31" t="s">
        <v>794</v>
      </c>
      <c r="BT287" s="31" t="s">
        <v>794</v>
      </c>
      <c r="BU287" s="31" t="s">
        <v>794</v>
      </c>
      <c r="BV287" s="31" t="s">
        <v>794</v>
      </c>
      <c r="BW287" s="31"/>
      <c r="BX287" s="31"/>
      <c r="BY287" s="31" t="s">
        <v>794</v>
      </c>
      <c r="BZ287" s="31" t="s">
        <v>794</v>
      </c>
      <c r="CA287" s="31" t="s">
        <v>794</v>
      </c>
      <c r="CB287" s="31" t="s">
        <v>794</v>
      </c>
      <c r="CC287" s="31" t="s">
        <v>794</v>
      </c>
      <c r="CD287" s="31"/>
      <c r="CE287" s="31" t="s">
        <v>794</v>
      </c>
      <c r="CF287" s="31" t="s">
        <v>794</v>
      </c>
      <c r="CG287" s="31" t="s">
        <v>794</v>
      </c>
      <c r="CH287" s="31" t="s">
        <v>794</v>
      </c>
      <c r="CI287" s="31"/>
      <c r="CJ287" s="31" t="s">
        <v>794</v>
      </c>
      <c r="CK287" s="31"/>
      <c r="CL287" s="31"/>
    </row>
    <row r="288" spans="1:90" ht="18.5" x14ac:dyDescent="0.45">
      <c r="A288" s="85" t="s">
        <v>248</v>
      </c>
      <c r="B288" s="86"/>
      <c r="C288" s="86">
        <v>9847025286</v>
      </c>
      <c r="D288" s="75">
        <v>20500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23">
        <f t="shared" si="23"/>
        <v>20500</v>
      </c>
      <c r="W288" s="6"/>
      <c r="X288" s="12">
        <f t="shared" si="25"/>
        <v>20500</v>
      </c>
      <c r="Y288" s="31"/>
      <c r="Z288" s="31"/>
      <c r="AA288" s="31" t="s">
        <v>791</v>
      </c>
      <c r="AB288" s="31" t="s">
        <v>791</v>
      </c>
      <c r="AC288" s="31" t="s">
        <v>791</v>
      </c>
      <c r="AD288" s="31" t="s">
        <v>791</v>
      </c>
      <c r="AE288" s="31" t="s">
        <v>791</v>
      </c>
      <c r="AF288" s="21" t="s">
        <v>793</v>
      </c>
      <c r="AG288" s="14"/>
      <c r="AH288" s="14"/>
      <c r="AI288" s="31" t="s">
        <v>793</v>
      </c>
      <c r="AJ288" s="31" t="s">
        <v>793</v>
      </c>
      <c r="AK288" s="31" t="s">
        <v>793</v>
      </c>
      <c r="AL288" s="31" t="s">
        <v>793</v>
      </c>
      <c r="AM288" s="31" t="s">
        <v>793</v>
      </c>
      <c r="AN288" s="31"/>
      <c r="AO288" s="31" t="s">
        <v>791</v>
      </c>
      <c r="AP288" s="31" t="s">
        <v>791</v>
      </c>
      <c r="AQ288" s="31" t="s">
        <v>791</v>
      </c>
      <c r="AR288" s="31" t="s">
        <v>791</v>
      </c>
      <c r="AS288" s="31" t="s">
        <v>791</v>
      </c>
      <c r="AT288" s="31" t="s">
        <v>791</v>
      </c>
      <c r="AU288" s="31"/>
      <c r="AV288" s="31"/>
      <c r="AW288" s="31" t="s">
        <v>791</v>
      </c>
      <c r="AX288" s="31" t="s">
        <v>791</v>
      </c>
      <c r="AY288" s="31" t="s">
        <v>791</v>
      </c>
      <c r="AZ288" s="31" t="s">
        <v>793</v>
      </c>
      <c r="BA288" s="31" t="s">
        <v>793</v>
      </c>
      <c r="BB288" s="31"/>
      <c r="BC288" s="31" t="s">
        <v>793</v>
      </c>
      <c r="BD288" s="31"/>
      <c r="BE288" s="46" t="s">
        <v>794</v>
      </c>
      <c r="BF288" s="31"/>
      <c r="BG288" s="31" t="s">
        <v>794</v>
      </c>
      <c r="BH288" s="31"/>
      <c r="BI288" s="31"/>
      <c r="BJ288" s="31" t="s">
        <v>794</v>
      </c>
      <c r="BK288" s="31"/>
      <c r="BL288" s="31" t="s">
        <v>794</v>
      </c>
      <c r="BM288" s="31" t="s">
        <v>794</v>
      </c>
      <c r="BN288" s="31" t="s">
        <v>794</v>
      </c>
      <c r="BO288" s="31" t="s">
        <v>794</v>
      </c>
      <c r="BP288" s="31"/>
      <c r="BQ288" s="31" t="s">
        <v>794</v>
      </c>
      <c r="BR288" s="31"/>
      <c r="BS288" s="31" t="s">
        <v>794</v>
      </c>
      <c r="BT288" s="31" t="s">
        <v>794</v>
      </c>
      <c r="BU288" s="31" t="s">
        <v>794</v>
      </c>
      <c r="BV288" s="31" t="s">
        <v>794</v>
      </c>
      <c r="BW288" s="31"/>
      <c r="BX288" s="31"/>
      <c r="BY288" s="31" t="s">
        <v>793</v>
      </c>
      <c r="BZ288" s="31" t="s">
        <v>793</v>
      </c>
      <c r="CA288" s="31" t="s">
        <v>793</v>
      </c>
      <c r="CB288" s="31" t="s">
        <v>793</v>
      </c>
      <c r="CC288" s="31" t="s">
        <v>793</v>
      </c>
      <c r="CD288" s="31"/>
      <c r="CE288" s="31" t="s">
        <v>793</v>
      </c>
      <c r="CF288" s="31" t="s">
        <v>793</v>
      </c>
      <c r="CG288" s="31" t="s">
        <v>793</v>
      </c>
      <c r="CH288" s="31" t="s">
        <v>793</v>
      </c>
      <c r="CI288" s="31"/>
      <c r="CJ288" s="31" t="s">
        <v>791</v>
      </c>
      <c r="CK288" s="31"/>
      <c r="CL288" s="31"/>
    </row>
    <row r="289" spans="1:90" ht="18.5" x14ac:dyDescent="0.45">
      <c r="A289" s="85" t="s">
        <v>270</v>
      </c>
      <c r="B289" s="86"/>
      <c r="C289" s="86">
        <v>9841171611</v>
      </c>
      <c r="D289" s="85">
        <v>95850</v>
      </c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3">
        <f t="shared" si="23"/>
        <v>95850</v>
      </c>
      <c r="W289" s="27"/>
      <c r="X289" s="12">
        <f t="shared" si="25"/>
        <v>95850</v>
      </c>
      <c r="BX289" s="31"/>
      <c r="BY289" s="31" t="s">
        <v>969</v>
      </c>
      <c r="BZ289" s="31" t="s">
        <v>969</v>
      </c>
      <c r="CA289" s="31" t="s">
        <v>969</v>
      </c>
      <c r="CB289" s="31" t="s">
        <v>969</v>
      </c>
      <c r="CC289" s="31" t="s">
        <v>969</v>
      </c>
      <c r="CD289" s="31"/>
      <c r="CE289" s="31" t="s">
        <v>969</v>
      </c>
      <c r="CF289" s="31" t="s">
        <v>969</v>
      </c>
      <c r="CG289" s="31" t="s">
        <v>969</v>
      </c>
      <c r="CH289" s="31" t="s">
        <v>969</v>
      </c>
      <c r="CI289" s="31"/>
      <c r="CJ289" s="31" t="s">
        <v>969</v>
      </c>
      <c r="CK289" s="31"/>
      <c r="CL289" s="31"/>
    </row>
    <row r="290" spans="1:90" x14ac:dyDescent="0.35">
      <c r="A290" s="8" t="s">
        <v>3</v>
      </c>
      <c r="B290" s="24"/>
      <c r="C290" s="24">
        <v>9857031150</v>
      </c>
      <c r="D290" s="8">
        <v>1000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23">
        <f t="shared" si="23"/>
        <v>1000</v>
      </c>
      <c r="W290" s="8"/>
      <c r="X290" s="8">
        <f t="shared" si="25"/>
        <v>1000</v>
      </c>
      <c r="Y290" s="14"/>
      <c r="Z290" s="14"/>
      <c r="AA290" s="14"/>
      <c r="AB290" s="14"/>
      <c r="AC290" s="14"/>
      <c r="AD290" s="14"/>
      <c r="AE290" s="14"/>
      <c r="AF290" s="2"/>
      <c r="AG290" s="2"/>
      <c r="AH290" s="2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</row>
    <row r="291" spans="1:90" ht="18.5" x14ac:dyDescent="0.45">
      <c r="A291" s="75" t="s">
        <v>249</v>
      </c>
      <c r="B291" s="76"/>
      <c r="C291" s="76">
        <v>9846968888</v>
      </c>
      <c r="D291" s="75">
        <v>2700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23">
        <f t="shared" si="23"/>
        <v>2700</v>
      </c>
      <c r="W291" s="6"/>
      <c r="X291" s="23">
        <f t="shared" si="25"/>
        <v>2700</v>
      </c>
      <c r="Y291" s="31"/>
      <c r="Z291" s="31"/>
      <c r="AA291" s="31" t="s">
        <v>794</v>
      </c>
      <c r="AB291" s="31" t="s">
        <v>794</v>
      </c>
      <c r="AC291" s="31"/>
      <c r="AD291" s="31" t="s">
        <v>794</v>
      </c>
      <c r="AE291" s="31" t="s">
        <v>794</v>
      </c>
      <c r="AG291" s="14"/>
      <c r="AH291" s="14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 t="s">
        <v>909</v>
      </c>
      <c r="BA291" s="31" t="s">
        <v>794</v>
      </c>
      <c r="BB291" s="31"/>
      <c r="BC291" s="31" t="s">
        <v>794</v>
      </c>
      <c r="BD291" s="31"/>
      <c r="BE291" s="46" t="s">
        <v>794</v>
      </c>
      <c r="BF291" s="31"/>
      <c r="BG291" s="31" t="s">
        <v>794</v>
      </c>
      <c r="BH291" s="31"/>
      <c r="BI291" s="31"/>
      <c r="BJ291" s="31" t="s">
        <v>794</v>
      </c>
      <c r="BK291" s="31"/>
      <c r="BL291" s="31" t="s">
        <v>794</v>
      </c>
      <c r="BM291" s="31" t="s">
        <v>794</v>
      </c>
      <c r="BN291" s="31" t="s">
        <v>794</v>
      </c>
      <c r="BO291" s="31" t="s">
        <v>794</v>
      </c>
      <c r="BP291" s="31"/>
      <c r="BQ291" s="31" t="s">
        <v>794</v>
      </c>
      <c r="BR291" s="31"/>
      <c r="BS291" s="31" t="s">
        <v>794</v>
      </c>
      <c r="BT291" s="31" t="s">
        <v>794</v>
      </c>
      <c r="BU291" s="31" t="s">
        <v>794</v>
      </c>
      <c r="BV291" s="31" t="s">
        <v>794</v>
      </c>
      <c r="BW291" s="31"/>
      <c r="BX291" s="31"/>
      <c r="BY291" s="31" t="s">
        <v>794</v>
      </c>
      <c r="BZ291" s="31" t="s">
        <v>794</v>
      </c>
      <c r="CA291" s="31" t="s">
        <v>794</v>
      </c>
      <c r="CB291" s="31" t="s">
        <v>794</v>
      </c>
      <c r="CC291" s="31" t="s">
        <v>794</v>
      </c>
      <c r="CD291" s="31"/>
      <c r="CE291" s="31" t="s">
        <v>794</v>
      </c>
      <c r="CF291" s="31" t="s">
        <v>794</v>
      </c>
      <c r="CG291" s="31" t="s">
        <v>794</v>
      </c>
      <c r="CH291" s="31" t="s">
        <v>794</v>
      </c>
      <c r="CI291" s="31"/>
      <c r="CJ291" s="31" t="s">
        <v>794</v>
      </c>
      <c r="CK291" s="31"/>
      <c r="CL291" s="31"/>
    </row>
    <row r="292" spans="1:90" ht="18.5" x14ac:dyDescent="0.45">
      <c r="A292" s="85" t="s">
        <v>271</v>
      </c>
      <c r="B292" s="86"/>
      <c r="C292" s="86">
        <v>9841740772</v>
      </c>
      <c r="D292" s="85">
        <v>15000</v>
      </c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3">
        <f t="shared" si="23"/>
        <v>15000</v>
      </c>
      <c r="W292" s="27"/>
      <c r="X292" s="23">
        <f t="shared" si="25"/>
        <v>15000</v>
      </c>
      <c r="BX292" s="31"/>
      <c r="BY292" s="31" t="s">
        <v>969</v>
      </c>
      <c r="BZ292" s="31" t="s">
        <v>969</v>
      </c>
      <c r="CA292" s="31" t="s">
        <v>969</v>
      </c>
      <c r="CB292" s="31" t="s">
        <v>969</v>
      </c>
      <c r="CC292" s="31" t="s">
        <v>969</v>
      </c>
      <c r="CD292" s="31"/>
      <c r="CE292" s="31" t="s">
        <v>969</v>
      </c>
      <c r="CF292" s="31" t="s">
        <v>969</v>
      </c>
      <c r="CG292" s="31" t="s">
        <v>969</v>
      </c>
      <c r="CH292" s="31" t="s">
        <v>969</v>
      </c>
      <c r="CI292" s="31"/>
      <c r="CJ292" s="31" t="s">
        <v>969</v>
      </c>
      <c r="CK292" s="31"/>
      <c r="CL292" s="31"/>
    </row>
    <row r="293" spans="1:90" x14ac:dyDescent="0.35">
      <c r="A293" s="27" t="s">
        <v>272</v>
      </c>
      <c r="B293" s="55"/>
      <c r="C293" s="28"/>
      <c r="D293" s="27">
        <v>-17761</v>
      </c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3">
        <f t="shared" si="23"/>
        <v>-17761</v>
      </c>
      <c r="W293" s="27"/>
      <c r="X293" s="23">
        <f t="shared" si="25"/>
        <v>-17761</v>
      </c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</row>
    <row r="294" spans="1:90" ht="18.5" x14ac:dyDescent="0.45">
      <c r="A294" s="85" t="s">
        <v>250</v>
      </c>
      <c r="B294" s="86"/>
      <c r="C294" s="86">
        <v>9847578004</v>
      </c>
      <c r="D294" s="75">
        <v>30002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23">
        <f t="shared" si="23"/>
        <v>30002</v>
      </c>
      <c r="W294" s="6"/>
      <c r="X294" s="23">
        <f t="shared" si="25"/>
        <v>30002</v>
      </c>
      <c r="Y294" s="31"/>
      <c r="Z294" s="31"/>
      <c r="AA294" s="31" t="s">
        <v>793</v>
      </c>
      <c r="AB294" s="31"/>
      <c r="AC294" s="31"/>
      <c r="AD294" s="31" t="s">
        <v>793</v>
      </c>
      <c r="AE294" s="31" t="s">
        <v>793</v>
      </c>
      <c r="AF294" s="21" t="s">
        <v>793</v>
      </c>
      <c r="AG294" s="14"/>
      <c r="AH294" s="14"/>
      <c r="AI294" s="31" t="s">
        <v>793</v>
      </c>
      <c r="AJ294" s="31" t="s">
        <v>793</v>
      </c>
      <c r="AK294" s="31" t="s">
        <v>793</v>
      </c>
      <c r="AL294" s="31" t="s">
        <v>793</v>
      </c>
      <c r="AM294" s="31" t="s">
        <v>793</v>
      </c>
      <c r="AN294" s="31"/>
      <c r="AO294" s="31" t="s">
        <v>794</v>
      </c>
      <c r="AP294" s="31" t="s">
        <v>793</v>
      </c>
      <c r="AQ294" s="31" t="s">
        <v>793</v>
      </c>
      <c r="AR294" s="31" t="s">
        <v>793</v>
      </c>
      <c r="AS294" s="31" t="s">
        <v>793</v>
      </c>
      <c r="AT294" s="31" t="s">
        <v>793</v>
      </c>
      <c r="AU294" s="31"/>
      <c r="AV294" s="31"/>
      <c r="AW294" s="31" t="s">
        <v>793</v>
      </c>
      <c r="AX294" s="31" t="s">
        <v>793</v>
      </c>
      <c r="AY294" s="31" t="s">
        <v>793</v>
      </c>
      <c r="AZ294" s="31" t="s">
        <v>793</v>
      </c>
      <c r="BA294" s="31" t="s">
        <v>793</v>
      </c>
      <c r="BB294" s="31"/>
      <c r="BC294" s="31" t="s">
        <v>794</v>
      </c>
      <c r="BD294" s="31"/>
      <c r="BE294" s="46" t="s">
        <v>794</v>
      </c>
      <c r="BF294" s="31"/>
      <c r="BG294" s="31" t="s">
        <v>794</v>
      </c>
      <c r="BH294" s="31"/>
      <c r="BI294" s="31"/>
      <c r="BJ294" s="31" t="s">
        <v>794</v>
      </c>
      <c r="BK294" s="31"/>
      <c r="BL294" s="31" t="s">
        <v>794</v>
      </c>
      <c r="BM294" s="31" t="s">
        <v>794</v>
      </c>
      <c r="BN294" s="31" t="s">
        <v>794</v>
      </c>
      <c r="BO294" s="31" t="s">
        <v>794</v>
      </c>
      <c r="BP294" s="31"/>
      <c r="BQ294" s="31" t="s">
        <v>794</v>
      </c>
      <c r="BR294" s="31"/>
      <c r="BS294" s="31" t="s">
        <v>794</v>
      </c>
      <c r="BT294" s="31" t="s">
        <v>794</v>
      </c>
      <c r="BU294" s="31" t="s">
        <v>794</v>
      </c>
      <c r="BV294" s="31" t="s">
        <v>794</v>
      </c>
      <c r="BW294" s="31"/>
      <c r="BX294" s="31"/>
      <c r="BY294" s="31" t="s">
        <v>794</v>
      </c>
      <c r="BZ294" s="31" t="s">
        <v>794</v>
      </c>
      <c r="CA294" s="31" t="s">
        <v>794</v>
      </c>
      <c r="CB294" s="31" t="s">
        <v>794</v>
      </c>
      <c r="CC294" s="31" t="s">
        <v>794</v>
      </c>
      <c r="CD294" s="31"/>
      <c r="CE294" s="31" t="s">
        <v>794</v>
      </c>
      <c r="CF294" s="31" t="s">
        <v>794</v>
      </c>
      <c r="CG294" s="31" t="s">
        <v>794</v>
      </c>
      <c r="CH294" s="31" t="s">
        <v>794</v>
      </c>
      <c r="CI294" s="31"/>
      <c r="CJ294" s="31" t="s">
        <v>791</v>
      </c>
      <c r="CK294" s="31"/>
      <c r="CL294" s="31"/>
    </row>
    <row r="295" spans="1:90" ht="18.5" x14ac:dyDescent="0.45">
      <c r="A295" s="75" t="s">
        <v>31</v>
      </c>
      <c r="B295" s="76"/>
      <c r="C295" s="76" t="s">
        <v>32</v>
      </c>
      <c r="D295" s="75">
        <v>2175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23">
        <f t="shared" si="23"/>
        <v>2175</v>
      </c>
      <c r="W295" s="6"/>
      <c r="X295" s="23">
        <f t="shared" si="25"/>
        <v>2175</v>
      </c>
      <c r="Y295" s="31"/>
      <c r="Z295" s="31"/>
      <c r="AA295" s="31"/>
      <c r="AB295" s="31"/>
      <c r="AC295" s="31"/>
      <c r="AD295" s="31"/>
      <c r="AE295" s="31" t="s">
        <v>794</v>
      </c>
      <c r="AG295" s="14"/>
      <c r="AH295" s="14"/>
      <c r="AI295" s="31"/>
      <c r="AJ295" s="31"/>
      <c r="AK295" s="31"/>
      <c r="AL295" s="31"/>
      <c r="AM295" s="31"/>
      <c r="AN295" s="31"/>
      <c r="AO295" s="31" t="s">
        <v>794</v>
      </c>
      <c r="AP295" s="31"/>
      <c r="AQ295" s="31" t="s">
        <v>794</v>
      </c>
      <c r="AR295" s="31" t="s">
        <v>794</v>
      </c>
      <c r="AS295" s="31" t="s">
        <v>794</v>
      </c>
      <c r="AT295" s="31" t="s">
        <v>794</v>
      </c>
      <c r="AU295" s="31"/>
      <c r="AV295" s="31"/>
      <c r="AW295" s="31" t="s">
        <v>794</v>
      </c>
      <c r="AX295" s="31" t="s">
        <v>794</v>
      </c>
      <c r="AY295" s="31" t="s">
        <v>794</v>
      </c>
      <c r="AZ295" s="31" t="s">
        <v>794</v>
      </c>
      <c r="BA295" s="31" t="s">
        <v>794</v>
      </c>
      <c r="BB295" s="31"/>
      <c r="BC295" s="31" t="s">
        <v>794</v>
      </c>
      <c r="BD295" s="31"/>
      <c r="BE295" s="46" t="s">
        <v>794</v>
      </c>
      <c r="BF295" s="31"/>
      <c r="BG295" s="31" t="s">
        <v>794</v>
      </c>
      <c r="BH295" s="31"/>
      <c r="BI295" s="31"/>
      <c r="BJ295" s="31" t="s">
        <v>794</v>
      </c>
      <c r="BK295" s="31"/>
      <c r="BL295" s="31" t="s">
        <v>794</v>
      </c>
      <c r="BM295" s="31" t="s">
        <v>794</v>
      </c>
      <c r="BN295" s="31" t="s">
        <v>794</v>
      </c>
      <c r="BO295" s="31" t="s">
        <v>794</v>
      </c>
      <c r="BP295" s="31"/>
      <c r="BQ295" s="31" t="s">
        <v>794</v>
      </c>
      <c r="BR295" s="31"/>
      <c r="BS295" s="31" t="s">
        <v>794</v>
      </c>
      <c r="BT295" s="31" t="s">
        <v>794</v>
      </c>
      <c r="BU295" s="31" t="s">
        <v>794</v>
      </c>
      <c r="BV295" s="31" t="s">
        <v>794</v>
      </c>
      <c r="BW295" s="31"/>
      <c r="BX295" s="31"/>
      <c r="BY295" s="31" t="s">
        <v>794</v>
      </c>
      <c r="BZ295" s="31" t="s">
        <v>794</v>
      </c>
      <c r="CA295" s="31" t="s">
        <v>794</v>
      </c>
      <c r="CB295" s="31" t="s">
        <v>794</v>
      </c>
      <c r="CC295" s="31" t="s">
        <v>794</v>
      </c>
      <c r="CD295" s="31"/>
      <c r="CE295" s="31" t="s">
        <v>794</v>
      </c>
      <c r="CF295" s="31" t="s">
        <v>794</v>
      </c>
      <c r="CG295" s="31" t="s">
        <v>794</v>
      </c>
      <c r="CH295" s="31" t="s">
        <v>794</v>
      </c>
      <c r="CI295" s="31"/>
      <c r="CJ295" s="31" t="s">
        <v>794</v>
      </c>
      <c r="CK295" s="31"/>
      <c r="CL295" s="31"/>
    </row>
    <row r="296" spans="1:90" ht="18.5" x14ac:dyDescent="0.45">
      <c r="A296" s="85" t="s">
        <v>146</v>
      </c>
      <c r="B296" s="86"/>
      <c r="C296" s="86">
        <v>9847501226</v>
      </c>
      <c r="D296" s="85">
        <v>90750</v>
      </c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3">
        <f t="shared" si="23"/>
        <v>90750</v>
      </c>
      <c r="W296" s="27"/>
      <c r="X296" s="23">
        <f t="shared" si="25"/>
        <v>90750</v>
      </c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BX296" s="31"/>
      <c r="BY296" s="31" t="s">
        <v>796</v>
      </c>
      <c r="BZ296" s="31" t="s">
        <v>796</v>
      </c>
      <c r="CA296" s="31" t="s">
        <v>796</v>
      </c>
      <c r="CB296" s="31" t="s">
        <v>796</v>
      </c>
      <c r="CC296" s="31" t="s">
        <v>796</v>
      </c>
      <c r="CD296" s="31"/>
      <c r="CE296" s="31" t="s">
        <v>796</v>
      </c>
      <c r="CF296" s="31" t="s">
        <v>796</v>
      </c>
      <c r="CG296" s="31" t="s">
        <v>796</v>
      </c>
      <c r="CH296" s="31" t="s">
        <v>796</v>
      </c>
      <c r="CI296" s="31"/>
      <c r="CJ296" s="31" t="s">
        <v>796</v>
      </c>
      <c r="CK296" s="31"/>
      <c r="CL296" s="31"/>
    </row>
    <row r="297" spans="1:90" ht="18.5" x14ac:dyDescent="0.45">
      <c r="A297" s="75" t="s">
        <v>251</v>
      </c>
      <c r="B297" s="76"/>
      <c r="C297" s="76">
        <v>9867227440</v>
      </c>
      <c r="D297" s="75">
        <v>2550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23">
        <f t="shared" si="23"/>
        <v>2550</v>
      </c>
      <c r="W297" s="6"/>
      <c r="X297" s="23">
        <f t="shared" si="25"/>
        <v>2550</v>
      </c>
      <c r="Y297" s="31"/>
      <c r="Z297" s="31"/>
      <c r="AA297" s="31"/>
      <c r="AB297" s="31"/>
      <c r="AC297" s="31"/>
      <c r="AD297" s="31"/>
      <c r="AE297" s="31" t="s">
        <v>794</v>
      </c>
      <c r="AF297" s="21" t="s">
        <v>794</v>
      </c>
      <c r="AG297" s="14"/>
      <c r="AH297" s="14"/>
      <c r="AI297" s="31"/>
      <c r="AJ297" s="31"/>
      <c r="AK297" s="31"/>
      <c r="AL297" s="31"/>
      <c r="AM297" s="31"/>
      <c r="AN297" s="31"/>
      <c r="AO297" s="31" t="s">
        <v>796</v>
      </c>
      <c r="AP297" s="31"/>
      <c r="AQ297" s="31" t="s">
        <v>796</v>
      </c>
      <c r="AR297" s="31" t="s">
        <v>796</v>
      </c>
      <c r="AS297" s="31" t="s">
        <v>796</v>
      </c>
      <c r="AT297" s="31" t="s">
        <v>796</v>
      </c>
      <c r="AU297" s="31"/>
      <c r="AV297" s="31"/>
      <c r="AW297" s="31" t="s">
        <v>796</v>
      </c>
      <c r="AX297" s="31" t="s">
        <v>796</v>
      </c>
      <c r="AY297" s="31" t="s">
        <v>796</v>
      </c>
      <c r="AZ297" s="31" t="s">
        <v>794</v>
      </c>
      <c r="BA297" s="31" t="s">
        <v>794</v>
      </c>
      <c r="BB297" s="31"/>
      <c r="BC297" s="31" t="s">
        <v>794</v>
      </c>
      <c r="BD297" s="31"/>
      <c r="BE297" s="46" t="s">
        <v>794</v>
      </c>
      <c r="BF297" s="31"/>
      <c r="BG297" s="31" t="s">
        <v>794</v>
      </c>
      <c r="BH297" s="31"/>
      <c r="BI297" s="31"/>
      <c r="BJ297" s="31" t="s">
        <v>794</v>
      </c>
      <c r="BK297" s="31"/>
      <c r="BL297" s="31" t="s">
        <v>794</v>
      </c>
      <c r="BM297" s="31" t="s">
        <v>794</v>
      </c>
      <c r="BN297" s="31" t="s">
        <v>794</v>
      </c>
      <c r="BO297" s="31" t="s">
        <v>794</v>
      </c>
      <c r="BP297" s="31"/>
      <c r="BQ297" s="31" t="s">
        <v>794</v>
      </c>
      <c r="BR297" s="31"/>
      <c r="BS297" s="31" t="s">
        <v>794</v>
      </c>
      <c r="BT297" s="31" t="s">
        <v>794</v>
      </c>
      <c r="BU297" s="31" t="s">
        <v>794</v>
      </c>
      <c r="BV297" s="31" t="s">
        <v>794</v>
      </c>
      <c r="BW297" s="31"/>
      <c r="BX297" s="31"/>
      <c r="BY297" s="31" t="s">
        <v>794</v>
      </c>
      <c r="BZ297" s="31" t="s">
        <v>794</v>
      </c>
      <c r="CA297" s="31" t="s">
        <v>794</v>
      </c>
      <c r="CB297" s="31" t="s">
        <v>794</v>
      </c>
      <c r="CC297" s="31" t="s">
        <v>794</v>
      </c>
      <c r="CD297" s="31"/>
      <c r="CE297" s="31" t="s">
        <v>794</v>
      </c>
      <c r="CF297" s="31" t="s">
        <v>794</v>
      </c>
      <c r="CG297" s="31" t="s">
        <v>794</v>
      </c>
      <c r="CH297" s="31" t="s">
        <v>794</v>
      </c>
      <c r="CI297" s="31"/>
      <c r="CJ297" s="31" t="s">
        <v>796</v>
      </c>
      <c r="CK297" s="31"/>
      <c r="CL297" s="31"/>
    </row>
    <row r="298" spans="1:90" x14ac:dyDescent="0.35">
      <c r="A298" s="15" t="s">
        <v>239</v>
      </c>
      <c r="B298" s="16"/>
      <c r="C298" s="16">
        <v>9857058838</v>
      </c>
      <c r="D298" s="8">
        <v>-2810</v>
      </c>
      <c r="E298" s="8"/>
      <c r="F298" s="8"/>
      <c r="G298" s="8"/>
      <c r="H298" s="8"/>
      <c r="I298" s="8"/>
      <c r="J298" s="8"/>
      <c r="K298" s="8"/>
      <c r="L298" s="8"/>
      <c r="M298" s="15"/>
      <c r="N298" s="15"/>
      <c r="O298" s="15"/>
      <c r="P298" s="15"/>
      <c r="Q298" s="15"/>
      <c r="R298" s="15"/>
      <c r="S298" s="15"/>
      <c r="T298" s="15"/>
      <c r="U298" s="15"/>
      <c r="V298" s="23">
        <f t="shared" si="23"/>
        <v>-2810</v>
      </c>
      <c r="W298" s="15"/>
      <c r="X298" s="15">
        <f t="shared" si="25"/>
        <v>-2810</v>
      </c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</row>
    <row r="299" spans="1:90" ht="18.5" x14ac:dyDescent="0.45">
      <c r="A299" s="75" t="s">
        <v>252</v>
      </c>
      <c r="B299" s="76"/>
      <c r="C299" s="76"/>
      <c r="D299" s="75">
        <v>14000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23">
        <f t="shared" si="23"/>
        <v>14000</v>
      </c>
      <c r="W299" s="8"/>
      <c r="X299" s="23">
        <f t="shared" si="25"/>
        <v>14000</v>
      </c>
      <c r="Y299" s="31"/>
      <c r="Z299" s="31"/>
      <c r="AA299" s="31"/>
      <c r="AB299" s="31"/>
      <c r="AC299" s="31"/>
      <c r="AD299" s="31"/>
      <c r="AE299" s="31"/>
      <c r="AG299" s="14"/>
      <c r="AH299" s="14"/>
      <c r="AI299" s="31"/>
      <c r="AJ299" s="31"/>
      <c r="AK299" s="31"/>
      <c r="AL299" s="31"/>
      <c r="AM299" s="31"/>
      <c r="AN299" s="31"/>
      <c r="AO299" s="31" t="s">
        <v>869</v>
      </c>
      <c r="AP299" s="31"/>
      <c r="AQ299" s="31" t="s">
        <v>869</v>
      </c>
      <c r="AR299" s="31" t="s">
        <v>869</v>
      </c>
      <c r="AS299" s="31" t="s">
        <v>869</v>
      </c>
      <c r="AT299" s="31" t="s">
        <v>869</v>
      </c>
      <c r="AU299" s="31"/>
      <c r="AV299" s="31"/>
      <c r="AW299" s="31" t="s">
        <v>869</v>
      </c>
      <c r="AX299" s="31" t="s">
        <v>869</v>
      </c>
      <c r="AY299" s="31" t="s">
        <v>869</v>
      </c>
      <c r="AZ299" s="31" t="s">
        <v>869</v>
      </c>
      <c r="BA299" s="31" t="s">
        <v>869</v>
      </c>
      <c r="BB299" s="31"/>
      <c r="BC299" s="31" t="s">
        <v>856</v>
      </c>
      <c r="BD299" s="31" t="s">
        <v>856</v>
      </c>
      <c r="BE299" s="31" t="s">
        <v>856</v>
      </c>
      <c r="BF299" s="31" t="s">
        <v>856</v>
      </c>
      <c r="BG299" s="31" t="s">
        <v>856</v>
      </c>
      <c r="BH299" s="31" t="s">
        <v>856</v>
      </c>
      <c r="BI299" s="31" t="s">
        <v>856</v>
      </c>
      <c r="BJ299" s="31" t="s">
        <v>856</v>
      </c>
      <c r="BK299" s="31" t="s">
        <v>856</v>
      </c>
      <c r="BL299" s="31" t="s">
        <v>856</v>
      </c>
      <c r="BM299" s="31" t="s">
        <v>856</v>
      </c>
      <c r="BN299" s="31" t="s">
        <v>856</v>
      </c>
      <c r="BO299" s="31" t="s">
        <v>856</v>
      </c>
      <c r="BP299" s="31" t="s">
        <v>856</v>
      </c>
      <c r="BQ299" s="31" t="s">
        <v>856</v>
      </c>
      <c r="BR299" s="31" t="s">
        <v>856</v>
      </c>
      <c r="BS299" s="31" t="s">
        <v>856</v>
      </c>
      <c r="BT299" s="31" t="s">
        <v>856</v>
      </c>
      <c r="BU299" s="31" t="s">
        <v>856</v>
      </c>
      <c r="BV299" s="31" t="s">
        <v>856</v>
      </c>
      <c r="BW299" s="31" t="s">
        <v>856</v>
      </c>
      <c r="BX299" s="31" t="s">
        <v>856</v>
      </c>
      <c r="BY299" s="31" t="s">
        <v>856</v>
      </c>
      <c r="BZ299" s="31" t="s">
        <v>856</v>
      </c>
      <c r="CA299" s="31" t="s">
        <v>856</v>
      </c>
      <c r="CB299" s="31" t="s">
        <v>856</v>
      </c>
      <c r="CC299" s="31" t="s">
        <v>856</v>
      </c>
      <c r="CD299" s="31" t="s">
        <v>856</v>
      </c>
      <c r="CE299" s="31" t="s">
        <v>856</v>
      </c>
      <c r="CF299" s="31" t="s">
        <v>856</v>
      </c>
      <c r="CG299" s="31" t="s">
        <v>856</v>
      </c>
      <c r="CH299" s="31" t="s">
        <v>856</v>
      </c>
      <c r="CI299" s="31"/>
      <c r="CJ299" s="31" t="s">
        <v>856</v>
      </c>
      <c r="CK299" s="31"/>
      <c r="CL299" s="31"/>
    </row>
    <row r="300" spans="1:90" ht="18.5" x14ac:dyDescent="0.45">
      <c r="A300" s="85" t="s">
        <v>273</v>
      </c>
      <c r="B300" s="86"/>
      <c r="C300" s="86" t="s">
        <v>274</v>
      </c>
      <c r="D300" s="85">
        <v>14499.98000000001</v>
      </c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3">
        <f t="shared" si="23"/>
        <v>14499.98000000001</v>
      </c>
      <c r="W300" s="27"/>
      <c r="X300" s="23">
        <f t="shared" si="25"/>
        <v>14499.98000000001</v>
      </c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BX300" s="31"/>
      <c r="BY300" s="31" t="s">
        <v>969</v>
      </c>
      <c r="BZ300" s="31" t="s">
        <v>969</v>
      </c>
      <c r="CA300" s="31" t="s">
        <v>969</v>
      </c>
      <c r="CB300" s="31" t="s">
        <v>969</v>
      </c>
      <c r="CC300" s="31" t="s">
        <v>969</v>
      </c>
      <c r="CD300" s="31"/>
      <c r="CE300" s="31" t="s">
        <v>969</v>
      </c>
      <c r="CF300" s="31" t="s">
        <v>969</v>
      </c>
      <c r="CG300" s="31" t="s">
        <v>969</v>
      </c>
      <c r="CH300" s="31" t="s">
        <v>969</v>
      </c>
      <c r="CI300" s="31"/>
      <c r="CJ300" s="31" t="s">
        <v>969</v>
      </c>
      <c r="CK300" s="31"/>
      <c r="CL300" s="31"/>
    </row>
    <row r="301" spans="1:90" ht="18.5" x14ac:dyDescent="0.45">
      <c r="A301" s="75" t="s">
        <v>253</v>
      </c>
      <c r="B301" s="76"/>
      <c r="C301" s="76">
        <v>9857083829</v>
      </c>
      <c r="D301" s="75">
        <v>18759.5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23">
        <f t="shared" si="23"/>
        <v>18759.5</v>
      </c>
      <c r="W301" s="6"/>
      <c r="X301" s="23">
        <f t="shared" si="25"/>
        <v>18759.5</v>
      </c>
      <c r="Y301" s="31"/>
      <c r="Z301" s="31"/>
      <c r="AA301" s="31" t="s">
        <v>791</v>
      </c>
      <c r="AB301" s="31"/>
      <c r="AC301" s="31"/>
      <c r="AD301" s="31"/>
      <c r="AE301" s="31" t="s">
        <v>791</v>
      </c>
      <c r="AF301" s="21" t="s">
        <v>810</v>
      </c>
      <c r="AG301" s="14"/>
      <c r="AH301" s="14"/>
      <c r="AI301" s="31" t="s">
        <v>791</v>
      </c>
      <c r="AJ301" s="31" t="s">
        <v>791</v>
      </c>
      <c r="AK301" s="31" t="s">
        <v>791</v>
      </c>
      <c r="AL301" s="31" t="s">
        <v>791</v>
      </c>
      <c r="AM301" s="31" t="s">
        <v>791</v>
      </c>
      <c r="AN301" s="31"/>
      <c r="AO301" s="31" t="s">
        <v>791</v>
      </c>
      <c r="AP301" s="31"/>
      <c r="AQ301" s="31" t="s">
        <v>791</v>
      </c>
      <c r="AR301" s="31" t="s">
        <v>791</v>
      </c>
      <c r="AS301" s="31" t="s">
        <v>791</v>
      </c>
      <c r="AT301" s="31" t="s">
        <v>791</v>
      </c>
      <c r="AU301" s="31"/>
      <c r="AV301" s="31"/>
      <c r="AW301" s="31" t="s">
        <v>791</v>
      </c>
      <c r="AX301" s="31" t="s">
        <v>791</v>
      </c>
      <c r="AY301" s="31" t="s">
        <v>791</v>
      </c>
      <c r="AZ301" s="31" t="s">
        <v>791</v>
      </c>
      <c r="BA301" s="31" t="s">
        <v>791</v>
      </c>
      <c r="BB301" s="31"/>
      <c r="BC301" s="31" t="s">
        <v>794</v>
      </c>
      <c r="BD301" s="31"/>
      <c r="BE301" s="46" t="s">
        <v>794</v>
      </c>
      <c r="BF301" s="31"/>
      <c r="BG301" s="31" t="s">
        <v>794</v>
      </c>
      <c r="BH301" s="31"/>
      <c r="BI301" s="31"/>
      <c r="BJ301" s="31" t="s">
        <v>794</v>
      </c>
      <c r="BK301" s="31"/>
      <c r="BL301" s="31" t="s">
        <v>794</v>
      </c>
      <c r="BM301" s="31" t="s">
        <v>794</v>
      </c>
      <c r="BN301" s="31" t="s">
        <v>794</v>
      </c>
      <c r="BO301" s="31" t="s">
        <v>794</v>
      </c>
      <c r="BP301" s="31"/>
      <c r="BQ301" s="31" t="s">
        <v>794</v>
      </c>
      <c r="BR301" s="31"/>
      <c r="BS301" s="31" t="s">
        <v>794</v>
      </c>
      <c r="BT301" s="31" t="s">
        <v>794</v>
      </c>
      <c r="BU301" s="31" t="s">
        <v>794</v>
      </c>
      <c r="BV301" s="31" t="s">
        <v>794</v>
      </c>
      <c r="BW301" s="31"/>
      <c r="BX301" s="31"/>
      <c r="BY301" s="31" t="s">
        <v>794</v>
      </c>
      <c r="BZ301" s="31" t="s">
        <v>794</v>
      </c>
      <c r="CA301" s="31" t="s">
        <v>794</v>
      </c>
      <c r="CB301" s="31" t="s">
        <v>794</v>
      </c>
      <c r="CC301" s="31" t="s">
        <v>794</v>
      </c>
      <c r="CD301" s="31"/>
      <c r="CE301" s="31" t="s">
        <v>794</v>
      </c>
      <c r="CF301" s="31" t="s">
        <v>794</v>
      </c>
      <c r="CG301" s="31" t="s">
        <v>794</v>
      </c>
      <c r="CH301" s="31" t="s">
        <v>794</v>
      </c>
      <c r="CI301" s="31"/>
      <c r="CJ301" s="31" t="s">
        <v>794</v>
      </c>
      <c r="CK301" s="31"/>
      <c r="CL301" s="31"/>
    </row>
    <row r="302" spans="1:90" ht="18.5" x14ac:dyDescent="0.45">
      <c r="A302" s="85" t="s">
        <v>254</v>
      </c>
      <c r="B302" s="86"/>
      <c r="C302" s="86" t="s">
        <v>255</v>
      </c>
      <c r="D302" s="85">
        <v>34800</v>
      </c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3">
        <f t="shared" si="23"/>
        <v>34800</v>
      </c>
      <c r="W302" s="27"/>
      <c r="X302" s="23">
        <f t="shared" si="25"/>
        <v>34800</v>
      </c>
      <c r="BX302" s="31"/>
      <c r="BY302" s="31" t="s">
        <v>969</v>
      </c>
      <c r="BZ302" s="31" t="s">
        <v>969</v>
      </c>
      <c r="CA302" s="31" t="s">
        <v>969</v>
      </c>
      <c r="CB302" s="31" t="s">
        <v>969</v>
      </c>
      <c r="CC302" s="31" t="s">
        <v>969</v>
      </c>
      <c r="CD302" s="31"/>
      <c r="CE302" s="31" t="s">
        <v>969</v>
      </c>
      <c r="CF302" s="31" t="s">
        <v>969</v>
      </c>
      <c r="CG302" s="31" t="s">
        <v>969</v>
      </c>
      <c r="CH302" s="31" t="s">
        <v>969</v>
      </c>
      <c r="CI302" s="31"/>
      <c r="CJ302" s="31"/>
      <c r="CK302" s="31"/>
      <c r="CL302" s="31"/>
    </row>
    <row r="303" spans="1:90" x14ac:dyDescent="0.35">
      <c r="A303" s="25" t="s">
        <v>275</v>
      </c>
      <c r="B303" s="56"/>
      <c r="C303" s="26">
        <v>9847311929</v>
      </c>
      <c r="D303" s="25">
        <v>0</v>
      </c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3">
        <f t="shared" si="23"/>
        <v>0</v>
      </c>
      <c r="W303" s="25"/>
      <c r="X303" s="23">
        <f t="shared" ref="X303:X304" si="26">V303-W303</f>
        <v>0</v>
      </c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</row>
    <row r="304" spans="1:90" x14ac:dyDescent="0.35">
      <c r="A304" s="25" t="s">
        <v>276</v>
      </c>
      <c r="B304" s="56"/>
      <c r="C304" s="26">
        <v>9857061915</v>
      </c>
      <c r="D304" s="25">
        <v>0</v>
      </c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3">
        <f t="shared" si="23"/>
        <v>0</v>
      </c>
      <c r="W304" s="25"/>
      <c r="X304" s="23">
        <f t="shared" si="26"/>
        <v>0</v>
      </c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</row>
    <row r="305" spans="1:150" s="42" customFormat="1" x14ac:dyDescent="0.35">
      <c r="A305" s="40" t="s">
        <v>277</v>
      </c>
      <c r="B305" s="54"/>
      <c r="C305" s="41">
        <v>9847146471</v>
      </c>
      <c r="D305" s="40">
        <v>0</v>
      </c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23">
        <f t="shared" si="23"/>
        <v>0</v>
      </c>
      <c r="W305" s="40"/>
      <c r="X305" s="40">
        <f t="shared" ref="X305:X314" si="27">V305-W305</f>
        <v>0</v>
      </c>
      <c r="CV305" s="108"/>
      <c r="CW305" s="108"/>
      <c r="CX305" s="108"/>
      <c r="CY305" s="108"/>
      <c r="CZ305" s="108"/>
      <c r="DA305" s="108"/>
      <c r="DB305" s="108"/>
      <c r="DC305" s="108"/>
      <c r="DD305" s="108"/>
      <c r="DE305" s="108"/>
      <c r="DF305" s="108"/>
      <c r="DG305" s="108"/>
      <c r="DH305" s="108"/>
      <c r="DI305" s="108"/>
      <c r="DJ305" s="108"/>
      <c r="DK305" s="108"/>
      <c r="DL305" s="108"/>
      <c r="DM305" s="108"/>
      <c r="DN305" s="108"/>
      <c r="DO305" s="108"/>
      <c r="DP305" s="108"/>
      <c r="DQ305" s="108"/>
      <c r="DR305" s="108"/>
      <c r="DS305" s="108"/>
      <c r="DT305" s="108"/>
      <c r="DU305" s="108"/>
      <c r="DV305" s="108"/>
      <c r="DW305" s="108"/>
      <c r="DX305" s="108"/>
      <c r="DY305" s="108"/>
      <c r="DZ305" s="108"/>
      <c r="EA305" s="108"/>
      <c r="EB305" s="108"/>
      <c r="EC305" s="108"/>
      <c r="ED305" s="108"/>
      <c r="EE305" s="108"/>
      <c r="EF305" s="108"/>
      <c r="EG305" s="108"/>
      <c r="EH305" s="108"/>
      <c r="EI305" s="108"/>
      <c r="EJ305" s="108"/>
      <c r="EK305" s="108"/>
      <c r="EL305" s="108"/>
      <c r="EM305" s="108"/>
      <c r="EN305" s="108"/>
      <c r="EO305" s="108"/>
      <c r="EP305" s="108"/>
      <c r="EQ305" s="108"/>
      <c r="ER305" s="108"/>
      <c r="ES305" s="108"/>
      <c r="ET305" s="108"/>
    </row>
    <row r="306" spans="1:150" s="42" customFormat="1" x14ac:dyDescent="0.35">
      <c r="A306" s="40" t="s">
        <v>278</v>
      </c>
      <c r="B306" s="54"/>
      <c r="C306" s="41">
        <v>9847099654</v>
      </c>
      <c r="D306" s="40">
        <v>0</v>
      </c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23">
        <f t="shared" si="23"/>
        <v>0</v>
      </c>
      <c r="W306" s="40"/>
      <c r="X306" s="40">
        <f t="shared" si="27"/>
        <v>0</v>
      </c>
      <c r="CV306" s="108"/>
      <c r="CW306" s="108"/>
      <c r="CX306" s="108"/>
      <c r="CY306" s="108"/>
      <c r="CZ306" s="108"/>
      <c r="DA306" s="108"/>
      <c r="DB306" s="108"/>
      <c r="DC306" s="108"/>
      <c r="DD306" s="108"/>
      <c r="DE306" s="108"/>
      <c r="DF306" s="108"/>
      <c r="DG306" s="108"/>
      <c r="DH306" s="108"/>
      <c r="DI306" s="108"/>
      <c r="DJ306" s="108"/>
      <c r="DK306" s="108"/>
      <c r="DL306" s="108"/>
      <c r="DM306" s="108"/>
      <c r="DN306" s="108"/>
      <c r="DO306" s="108"/>
      <c r="DP306" s="108"/>
      <c r="DQ306" s="108"/>
      <c r="DR306" s="108"/>
      <c r="DS306" s="108"/>
      <c r="DT306" s="108"/>
      <c r="DU306" s="108"/>
      <c r="DV306" s="108"/>
      <c r="DW306" s="108"/>
      <c r="DX306" s="108"/>
      <c r="DY306" s="108"/>
      <c r="DZ306" s="108"/>
      <c r="EA306" s="108"/>
      <c r="EB306" s="108"/>
      <c r="EC306" s="108"/>
      <c r="ED306" s="108"/>
      <c r="EE306" s="108"/>
      <c r="EF306" s="108"/>
      <c r="EG306" s="108"/>
      <c r="EH306" s="108"/>
      <c r="EI306" s="108"/>
      <c r="EJ306" s="108"/>
      <c r="EK306" s="108"/>
      <c r="EL306" s="108"/>
      <c r="EM306" s="108"/>
      <c r="EN306" s="108"/>
      <c r="EO306" s="108"/>
      <c r="EP306" s="108"/>
      <c r="EQ306" s="108"/>
      <c r="ER306" s="108"/>
      <c r="ES306" s="108"/>
      <c r="ET306" s="108"/>
    </row>
    <row r="307" spans="1:150" x14ac:dyDescent="0.35">
      <c r="A307" s="25" t="s">
        <v>279</v>
      </c>
      <c r="B307" s="56"/>
      <c r="C307" s="26">
        <v>9857072171</v>
      </c>
      <c r="D307" s="25">
        <v>0</v>
      </c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3">
        <f t="shared" si="23"/>
        <v>0</v>
      </c>
      <c r="W307" s="25"/>
      <c r="X307" s="23">
        <f t="shared" si="27"/>
        <v>0</v>
      </c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35"/>
      <c r="DJ307" s="35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35"/>
      <c r="EE307" s="35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</row>
    <row r="308" spans="1:150" x14ac:dyDescent="0.35">
      <c r="A308" s="25" t="s">
        <v>280</v>
      </c>
      <c r="B308" s="56"/>
      <c r="C308" s="26">
        <v>9860251939</v>
      </c>
      <c r="D308" s="25">
        <v>0</v>
      </c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3">
        <f t="shared" si="23"/>
        <v>0</v>
      </c>
      <c r="W308" s="25"/>
      <c r="X308" s="23">
        <f t="shared" si="27"/>
        <v>0</v>
      </c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35"/>
      <c r="DJ308" s="35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35"/>
      <c r="EE308" s="35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</row>
    <row r="309" spans="1:150" x14ac:dyDescent="0.35">
      <c r="A309" s="25" t="s">
        <v>281</v>
      </c>
      <c r="B309" s="56"/>
      <c r="C309" s="26">
        <v>9857074926</v>
      </c>
      <c r="D309" s="25">
        <v>0</v>
      </c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3">
        <f t="shared" si="23"/>
        <v>0</v>
      </c>
      <c r="W309" s="25"/>
      <c r="X309" s="23">
        <f t="shared" si="27"/>
        <v>0</v>
      </c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35"/>
      <c r="DJ309" s="35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35"/>
      <c r="EE309" s="35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</row>
    <row r="310" spans="1:150" x14ac:dyDescent="0.35">
      <c r="A310" s="25" t="s">
        <v>282</v>
      </c>
      <c r="B310" s="56"/>
      <c r="C310" s="26">
        <v>9857082936</v>
      </c>
      <c r="D310" s="25">
        <v>0</v>
      </c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3">
        <f t="shared" si="23"/>
        <v>0</v>
      </c>
      <c r="W310" s="25"/>
      <c r="X310" s="23">
        <f t="shared" si="27"/>
        <v>0</v>
      </c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35"/>
      <c r="DJ310" s="35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35"/>
      <c r="EE310" s="35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</row>
    <row r="311" spans="1:150" x14ac:dyDescent="0.35">
      <c r="A311" s="25" t="s">
        <v>283</v>
      </c>
      <c r="B311" s="56"/>
      <c r="C311" s="26">
        <v>9857026400</v>
      </c>
      <c r="D311" s="25">
        <v>0</v>
      </c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3">
        <f t="shared" si="23"/>
        <v>0</v>
      </c>
      <c r="W311" s="25"/>
      <c r="X311" s="23">
        <f t="shared" si="27"/>
        <v>0</v>
      </c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35"/>
      <c r="DJ311" s="35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35"/>
      <c r="EE311" s="35"/>
      <c r="EF311" s="35"/>
      <c r="EG311" s="35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</row>
    <row r="312" spans="1:150" s="95" customFormat="1" x14ac:dyDescent="0.35">
      <c r="A312" s="92" t="s">
        <v>284</v>
      </c>
      <c r="B312" s="93"/>
      <c r="C312" s="93">
        <v>9805445601</v>
      </c>
      <c r="D312" s="92">
        <v>50</v>
      </c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23">
        <f t="shared" si="23"/>
        <v>50</v>
      </c>
      <c r="W312" s="92"/>
      <c r="X312" s="94">
        <f t="shared" si="27"/>
        <v>50</v>
      </c>
    </row>
    <row r="313" spans="1:150" s="95" customFormat="1" x14ac:dyDescent="0.35">
      <c r="A313" s="92" t="s">
        <v>285</v>
      </c>
      <c r="B313" s="93"/>
      <c r="C313" s="93">
        <v>9857022369</v>
      </c>
      <c r="D313" s="92">
        <v>1000</v>
      </c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23">
        <f t="shared" si="23"/>
        <v>1000</v>
      </c>
      <c r="W313" s="92"/>
      <c r="X313" s="94">
        <f t="shared" si="27"/>
        <v>1000</v>
      </c>
    </row>
    <row r="314" spans="1:150" s="42" customFormat="1" x14ac:dyDescent="0.35">
      <c r="A314" s="40" t="s">
        <v>286</v>
      </c>
      <c r="B314" s="54"/>
      <c r="C314" s="41">
        <v>9857027030</v>
      </c>
      <c r="D314" s="40">
        <v>0</v>
      </c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23">
        <f t="shared" si="23"/>
        <v>0</v>
      </c>
      <c r="W314" s="40"/>
      <c r="X314" s="40">
        <f t="shared" si="27"/>
        <v>0</v>
      </c>
    </row>
    <row r="315" spans="1:150" x14ac:dyDescent="0.35">
      <c r="A315" s="25" t="s">
        <v>287</v>
      </c>
      <c r="B315" s="56"/>
      <c r="C315" s="26">
        <v>9846170116</v>
      </c>
      <c r="D315" s="25">
        <v>0</v>
      </c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3">
        <f t="shared" si="23"/>
        <v>0</v>
      </c>
      <c r="W315" s="25"/>
      <c r="X315" s="23">
        <f t="shared" ref="X315:X349" si="28">V315-W315</f>
        <v>0</v>
      </c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 spans="1:150" s="42" customFormat="1" x14ac:dyDescent="0.35">
      <c r="A316" s="40" t="s">
        <v>288</v>
      </c>
      <c r="B316" s="54"/>
      <c r="C316" s="41">
        <v>9847029135</v>
      </c>
      <c r="D316" s="40">
        <v>0</v>
      </c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23">
        <f t="shared" si="23"/>
        <v>0</v>
      </c>
      <c r="W316" s="40"/>
      <c r="X316" s="40">
        <f t="shared" si="28"/>
        <v>0</v>
      </c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</row>
    <row r="317" spans="1:150" x14ac:dyDescent="0.35">
      <c r="A317" s="25" t="s">
        <v>289</v>
      </c>
      <c r="B317" s="56"/>
      <c r="C317" s="26">
        <v>9801019540</v>
      </c>
      <c r="D317" s="25">
        <v>0</v>
      </c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3">
        <f t="shared" si="23"/>
        <v>0</v>
      </c>
      <c r="W317" s="25"/>
      <c r="X317" s="23">
        <f t="shared" si="28"/>
        <v>0</v>
      </c>
    </row>
    <row r="318" spans="1:150" x14ac:dyDescent="0.35">
      <c r="A318" s="25" t="s">
        <v>290</v>
      </c>
      <c r="B318" s="56"/>
      <c r="C318" s="26">
        <v>9857032050</v>
      </c>
      <c r="D318" s="25">
        <v>0</v>
      </c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3">
        <f t="shared" si="23"/>
        <v>0</v>
      </c>
      <c r="W318" s="25"/>
      <c r="X318" s="23">
        <f t="shared" si="28"/>
        <v>0</v>
      </c>
    </row>
    <row r="319" spans="1:150" s="95" customFormat="1" x14ac:dyDescent="0.35">
      <c r="A319" s="92" t="s">
        <v>291</v>
      </c>
      <c r="B319" s="93"/>
      <c r="C319" s="93">
        <v>9846170324</v>
      </c>
      <c r="D319" s="92">
        <v>720</v>
      </c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23">
        <f t="shared" si="23"/>
        <v>720</v>
      </c>
      <c r="W319" s="92"/>
      <c r="X319" s="94">
        <f t="shared" si="28"/>
        <v>720</v>
      </c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</row>
    <row r="320" spans="1:150" s="95" customFormat="1" x14ac:dyDescent="0.35">
      <c r="A320" s="92" t="s">
        <v>292</v>
      </c>
      <c r="B320" s="93"/>
      <c r="C320" s="93">
        <v>9857074425</v>
      </c>
      <c r="D320" s="92">
        <v>300</v>
      </c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23">
        <f t="shared" si="23"/>
        <v>300</v>
      </c>
      <c r="W320" s="92"/>
      <c r="X320" s="94">
        <f t="shared" si="28"/>
        <v>300</v>
      </c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</row>
    <row r="321" spans="1:34" x14ac:dyDescent="0.35">
      <c r="A321" s="25" t="s">
        <v>293</v>
      </c>
      <c r="B321" s="56"/>
      <c r="C321" s="26">
        <v>9847038203</v>
      </c>
      <c r="D321" s="25">
        <v>1000</v>
      </c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3">
        <f t="shared" si="23"/>
        <v>1000</v>
      </c>
      <c r="W321" s="25"/>
      <c r="X321" s="23">
        <f t="shared" si="28"/>
        <v>1000</v>
      </c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</row>
    <row r="322" spans="1:34" x14ac:dyDescent="0.35">
      <c r="A322" s="25" t="s">
        <v>175</v>
      </c>
      <c r="B322" s="56"/>
      <c r="C322" s="26">
        <v>9857037656</v>
      </c>
      <c r="D322" s="25">
        <v>400</v>
      </c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3">
        <f t="shared" si="23"/>
        <v>400</v>
      </c>
      <c r="W322" s="25"/>
      <c r="X322" s="23">
        <f t="shared" si="28"/>
        <v>400</v>
      </c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</row>
    <row r="323" spans="1:34" x14ac:dyDescent="0.35">
      <c r="A323" s="25" t="s">
        <v>294</v>
      </c>
      <c r="B323" s="56"/>
      <c r="C323" s="26">
        <v>9867610624</v>
      </c>
      <c r="D323" s="25">
        <v>1000</v>
      </c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3">
        <f t="shared" si="23"/>
        <v>1000</v>
      </c>
      <c r="W323" s="25"/>
      <c r="X323" s="12">
        <f t="shared" si="28"/>
        <v>1000</v>
      </c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</row>
    <row r="324" spans="1:34" x14ac:dyDescent="0.35">
      <c r="A324" s="25" t="s">
        <v>196</v>
      </c>
      <c r="B324" s="56"/>
      <c r="C324" s="26">
        <v>9805411460</v>
      </c>
      <c r="D324" s="25">
        <v>150</v>
      </c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3">
        <f t="shared" si="23"/>
        <v>150</v>
      </c>
      <c r="W324" s="25"/>
      <c r="X324" s="23">
        <f t="shared" si="28"/>
        <v>150</v>
      </c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</row>
    <row r="325" spans="1:34" x14ac:dyDescent="0.35">
      <c r="A325" s="25" t="s">
        <v>295</v>
      </c>
      <c r="B325" s="56"/>
      <c r="C325" s="26"/>
      <c r="D325" s="25">
        <v>100</v>
      </c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3">
        <f t="shared" si="23"/>
        <v>100</v>
      </c>
      <c r="W325" s="25"/>
      <c r="X325" s="23">
        <f t="shared" si="28"/>
        <v>100</v>
      </c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</row>
    <row r="326" spans="1:34" x14ac:dyDescent="0.35">
      <c r="A326" s="25" t="s">
        <v>161</v>
      </c>
      <c r="B326" s="56"/>
      <c r="C326" s="26">
        <v>9847112933</v>
      </c>
      <c r="D326" s="25">
        <v>500</v>
      </c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3">
        <f t="shared" si="23"/>
        <v>500</v>
      </c>
      <c r="W326" s="25"/>
      <c r="X326" s="23">
        <f t="shared" si="28"/>
        <v>500</v>
      </c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</row>
    <row r="327" spans="1:34" x14ac:dyDescent="0.35">
      <c r="A327" s="25" t="s">
        <v>235</v>
      </c>
      <c r="B327" s="56"/>
      <c r="C327" s="26">
        <v>9857021735</v>
      </c>
      <c r="D327" s="25">
        <v>0</v>
      </c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3">
        <f t="shared" si="23"/>
        <v>0</v>
      </c>
      <c r="W327" s="25"/>
      <c r="X327" s="23">
        <f t="shared" si="28"/>
        <v>0</v>
      </c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</row>
    <row r="328" spans="1:34" x14ac:dyDescent="0.35">
      <c r="A328" s="25" t="s">
        <v>169</v>
      </c>
      <c r="B328" s="56"/>
      <c r="C328" s="26">
        <v>9857030277</v>
      </c>
      <c r="D328" s="25">
        <v>1000</v>
      </c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3">
        <f t="shared" si="23"/>
        <v>1000</v>
      </c>
      <c r="W328" s="25"/>
      <c r="X328" s="23">
        <f t="shared" si="28"/>
        <v>1000</v>
      </c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</row>
    <row r="329" spans="1:34" x14ac:dyDescent="0.35">
      <c r="A329" s="25" t="s">
        <v>296</v>
      </c>
      <c r="B329" s="56"/>
      <c r="C329" s="26">
        <v>9857062317</v>
      </c>
      <c r="D329" s="25">
        <v>1000</v>
      </c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3">
        <f t="shared" si="23"/>
        <v>1000</v>
      </c>
      <c r="W329" s="25"/>
      <c r="X329" s="23">
        <f t="shared" si="28"/>
        <v>1000</v>
      </c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</row>
    <row r="330" spans="1:34" x14ac:dyDescent="0.35">
      <c r="A330" s="25" t="s">
        <v>297</v>
      </c>
      <c r="B330" s="56"/>
      <c r="C330" s="26">
        <v>9847596015</v>
      </c>
      <c r="D330" s="25">
        <v>500</v>
      </c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3">
        <f t="shared" si="23"/>
        <v>500</v>
      </c>
      <c r="W330" s="25"/>
      <c r="X330" s="23">
        <f t="shared" si="28"/>
        <v>500</v>
      </c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</row>
    <row r="331" spans="1:34" x14ac:dyDescent="0.35">
      <c r="A331" s="25" t="s">
        <v>298</v>
      </c>
      <c r="B331" s="56"/>
      <c r="C331" s="26">
        <v>9847200588</v>
      </c>
      <c r="D331" s="25">
        <v>500</v>
      </c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3">
        <f t="shared" si="23"/>
        <v>500</v>
      </c>
      <c r="W331" s="25"/>
      <c r="X331" s="23">
        <f t="shared" si="28"/>
        <v>500</v>
      </c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</row>
    <row r="332" spans="1:34" x14ac:dyDescent="0.35">
      <c r="A332" s="25" t="s">
        <v>175</v>
      </c>
      <c r="B332" s="56"/>
      <c r="C332" s="26">
        <v>9857037656</v>
      </c>
      <c r="D332" s="25">
        <v>250</v>
      </c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3">
        <f t="shared" ref="V332:V362" si="29">SUM(D332:U332)</f>
        <v>250</v>
      </c>
      <c r="W332" s="25"/>
      <c r="X332" s="23">
        <f t="shared" si="28"/>
        <v>250</v>
      </c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</row>
    <row r="333" spans="1:34" x14ac:dyDescent="0.35">
      <c r="A333" s="25" t="s">
        <v>299</v>
      </c>
      <c r="B333" s="56"/>
      <c r="C333" s="26">
        <v>9804488285</v>
      </c>
      <c r="D333" s="25">
        <v>33</v>
      </c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3">
        <f t="shared" si="29"/>
        <v>33</v>
      </c>
      <c r="W333" s="25"/>
      <c r="X333" s="23">
        <f t="shared" si="28"/>
        <v>33</v>
      </c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</row>
    <row r="334" spans="1:34" x14ac:dyDescent="0.35">
      <c r="A334" s="25" t="s">
        <v>300</v>
      </c>
      <c r="B334" s="56"/>
      <c r="C334" s="26">
        <v>9857677355</v>
      </c>
      <c r="D334" s="25">
        <v>1000</v>
      </c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3">
        <f t="shared" si="29"/>
        <v>1000</v>
      </c>
      <c r="W334" s="25"/>
      <c r="X334" s="23">
        <f t="shared" si="28"/>
        <v>1000</v>
      </c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</row>
    <row r="335" spans="1:34" x14ac:dyDescent="0.35">
      <c r="A335" s="25" t="s">
        <v>201</v>
      </c>
      <c r="B335" s="56"/>
      <c r="C335" s="26">
        <v>9841784572</v>
      </c>
      <c r="D335" s="25">
        <v>1000</v>
      </c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3">
        <f t="shared" si="29"/>
        <v>1000</v>
      </c>
      <c r="W335" s="25"/>
      <c r="X335" s="23">
        <f t="shared" si="28"/>
        <v>1000</v>
      </c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</row>
    <row r="336" spans="1:34" x14ac:dyDescent="0.35">
      <c r="A336" s="25" t="s">
        <v>301</v>
      </c>
      <c r="B336" s="56"/>
      <c r="C336" s="26">
        <v>9846381691</v>
      </c>
      <c r="D336" s="25">
        <v>100</v>
      </c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3">
        <f t="shared" si="29"/>
        <v>100</v>
      </c>
      <c r="W336" s="25"/>
      <c r="X336" s="23">
        <f t="shared" si="28"/>
        <v>100</v>
      </c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</row>
    <row r="337" spans="1:69" x14ac:dyDescent="0.35">
      <c r="A337" s="25" t="s">
        <v>302</v>
      </c>
      <c r="B337" s="56"/>
      <c r="C337" s="26">
        <v>9857024454</v>
      </c>
      <c r="D337" s="25">
        <v>100</v>
      </c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3">
        <f t="shared" si="29"/>
        <v>100</v>
      </c>
      <c r="W337" s="25"/>
      <c r="X337" s="23">
        <f t="shared" si="28"/>
        <v>100</v>
      </c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</row>
    <row r="338" spans="1:69" x14ac:dyDescent="0.35">
      <c r="A338" s="25" t="s">
        <v>303</v>
      </c>
      <c r="B338" s="56"/>
      <c r="C338" s="26">
        <v>9847038203</v>
      </c>
      <c r="D338" s="25">
        <v>24</v>
      </c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3">
        <f t="shared" si="29"/>
        <v>24</v>
      </c>
      <c r="W338" s="25"/>
      <c r="X338" s="23">
        <f t="shared" si="28"/>
        <v>24</v>
      </c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</row>
    <row r="339" spans="1:69" x14ac:dyDescent="0.35">
      <c r="A339" s="25" t="s">
        <v>304</v>
      </c>
      <c r="B339" s="56"/>
      <c r="C339" s="26">
        <v>9847078240</v>
      </c>
      <c r="D339" s="25">
        <v>0</v>
      </c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3">
        <f t="shared" si="29"/>
        <v>0</v>
      </c>
      <c r="W339" s="25"/>
      <c r="X339" s="23">
        <f t="shared" si="28"/>
        <v>0</v>
      </c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</row>
    <row r="340" spans="1:69" x14ac:dyDescent="0.35">
      <c r="A340" s="25" t="s">
        <v>235</v>
      </c>
      <c r="B340" s="56"/>
      <c r="C340" s="26">
        <v>9857021735</v>
      </c>
      <c r="D340" s="25">
        <v>0</v>
      </c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3">
        <f t="shared" si="29"/>
        <v>0</v>
      </c>
      <c r="W340" s="25"/>
      <c r="X340" s="23">
        <f t="shared" si="28"/>
        <v>0</v>
      </c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</row>
    <row r="341" spans="1:69" x14ac:dyDescent="0.35">
      <c r="A341" s="25" t="s">
        <v>305</v>
      </c>
      <c r="B341" s="56"/>
      <c r="C341" s="26">
        <v>9857033744</v>
      </c>
      <c r="D341" s="25">
        <v>50</v>
      </c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3">
        <f t="shared" si="29"/>
        <v>50</v>
      </c>
      <c r="W341" s="25"/>
      <c r="X341" s="23">
        <f t="shared" si="28"/>
        <v>50</v>
      </c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</row>
    <row r="342" spans="1:69" x14ac:dyDescent="0.35">
      <c r="A342" s="25" t="s">
        <v>306</v>
      </c>
      <c r="B342" s="56"/>
      <c r="C342" s="26">
        <v>9857058108</v>
      </c>
      <c r="D342" s="25">
        <v>1000</v>
      </c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3">
        <f t="shared" si="29"/>
        <v>1000</v>
      </c>
      <c r="W342" s="25"/>
      <c r="X342" s="23">
        <f t="shared" si="28"/>
        <v>1000</v>
      </c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</row>
    <row r="343" spans="1:69" x14ac:dyDescent="0.35">
      <c r="A343" s="7"/>
      <c r="B343" s="3"/>
      <c r="C343" s="7"/>
      <c r="D343" s="6">
        <v>-399840.66999999993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23">
        <f t="shared" si="29"/>
        <v>-399840.66999999993</v>
      </c>
      <c r="W343" s="6"/>
      <c r="X343" s="23">
        <f t="shared" si="28"/>
        <v>-399840.66999999993</v>
      </c>
    </row>
    <row r="344" spans="1:69" x14ac:dyDescent="0.35">
      <c r="A344" s="7"/>
      <c r="B344" s="3"/>
      <c r="C344" s="7"/>
      <c r="D344" s="6">
        <v>0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23">
        <f t="shared" si="29"/>
        <v>0</v>
      </c>
      <c r="W344" s="6"/>
      <c r="X344" s="23">
        <f t="shared" si="28"/>
        <v>0</v>
      </c>
    </row>
    <row r="345" spans="1:69" x14ac:dyDescent="0.35">
      <c r="A345" s="7"/>
      <c r="B345" s="3"/>
      <c r="C345" s="7"/>
      <c r="D345" s="6">
        <v>0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23">
        <f t="shared" si="29"/>
        <v>0</v>
      </c>
      <c r="W345" s="6"/>
      <c r="X345" s="23">
        <f t="shared" si="28"/>
        <v>0</v>
      </c>
    </row>
    <row r="346" spans="1:69" x14ac:dyDescent="0.35">
      <c r="A346" s="7"/>
      <c r="B346" s="3"/>
      <c r="C346" s="7"/>
      <c r="D346" s="6">
        <v>0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23">
        <f t="shared" si="29"/>
        <v>0</v>
      </c>
      <c r="W346" s="6"/>
      <c r="X346" s="23">
        <f t="shared" si="28"/>
        <v>0</v>
      </c>
    </row>
    <row r="347" spans="1:69" x14ac:dyDescent="0.35">
      <c r="A347" s="10" t="s">
        <v>307</v>
      </c>
      <c r="B347" s="3"/>
      <c r="C347" s="11"/>
      <c r="D347" s="6">
        <v>0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23">
        <f t="shared" si="29"/>
        <v>0</v>
      </c>
      <c r="W347" s="6"/>
      <c r="X347" s="23">
        <f t="shared" si="28"/>
        <v>0</v>
      </c>
    </row>
    <row r="348" spans="1:69" x14ac:dyDescent="0.35">
      <c r="A348" s="2">
        <v>65749</v>
      </c>
      <c r="B348" s="3"/>
      <c r="D348" s="6">
        <v>0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23">
        <f t="shared" si="29"/>
        <v>0</v>
      </c>
      <c r="W348" s="6"/>
      <c r="X348" s="23">
        <f t="shared" si="28"/>
        <v>0</v>
      </c>
    </row>
    <row r="349" spans="1:69" x14ac:dyDescent="0.35">
      <c r="D349" s="6">
        <v>0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23">
        <f t="shared" si="29"/>
        <v>0</v>
      </c>
      <c r="W349" s="6"/>
      <c r="X349" s="23">
        <f t="shared" si="28"/>
        <v>0</v>
      </c>
    </row>
    <row r="350" spans="1:69" x14ac:dyDescent="0.35">
      <c r="A350" s="12" t="s">
        <v>995</v>
      </c>
      <c r="B350" s="3"/>
      <c r="C350" s="8"/>
      <c r="D350" s="8"/>
      <c r="E350" s="12"/>
      <c r="F350" s="12"/>
      <c r="G350" s="12"/>
      <c r="H350" s="12"/>
      <c r="I350" s="12"/>
      <c r="J350" s="12"/>
      <c r="K350" s="12"/>
      <c r="L350" s="12"/>
      <c r="M350" s="12"/>
      <c r="N350" s="23"/>
      <c r="O350" s="23">
        <v>4425</v>
      </c>
      <c r="P350" s="23"/>
      <c r="Q350" s="23"/>
      <c r="R350" s="23"/>
      <c r="S350" s="23"/>
      <c r="T350" s="23"/>
      <c r="U350" s="23"/>
      <c r="V350" s="23">
        <f t="shared" si="29"/>
        <v>4425</v>
      </c>
      <c r="W350" s="23">
        <f>BQ350</f>
        <v>4300</v>
      </c>
      <c r="X350" s="23">
        <f t="shared" ref="X350:X362" si="30">V350-W350</f>
        <v>125</v>
      </c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  <c r="BO350" s="46"/>
      <c r="BP350" s="46"/>
      <c r="BQ350" s="46">
        <v>4300</v>
      </c>
    </row>
    <row r="351" spans="1:69" ht="18.5" x14ac:dyDescent="0.45">
      <c r="A351" s="77" t="s">
        <v>338</v>
      </c>
      <c r="B351" s="78"/>
      <c r="C351" s="77"/>
      <c r="D351" s="77">
        <v>13560</v>
      </c>
      <c r="E351" s="23"/>
      <c r="F351" s="2">
        <v>26396</v>
      </c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>
        <f t="shared" si="29"/>
        <v>39956</v>
      </c>
      <c r="W351" s="23">
        <f>AF351</f>
        <v>39500</v>
      </c>
      <c r="X351" s="23">
        <f t="shared" si="30"/>
        <v>456</v>
      </c>
      <c r="Y351" s="46" t="s">
        <v>783</v>
      </c>
      <c r="Z351" s="46"/>
      <c r="AA351" s="46"/>
      <c r="AB351" s="46" t="s">
        <v>4</v>
      </c>
      <c r="AC351" s="46" t="s">
        <v>807</v>
      </c>
      <c r="AD351" s="46" t="s">
        <v>4</v>
      </c>
      <c r="AE351" s="46" t="s">
        <v>824</v>
      </c>
      <c r="AF351" s="1">
        <v>39500</v>
      </c>
      <c r="AG351" s="31"/>
      <c r="AH351" s="31"/>
      <c r="AI351" s="31"/>
    </row>
    <row r="352" spans="1:69" x14ac:dyDescent="0.35">
      <c r="A352" s="23" t="s">
        <v>308</v>
      </c>
      <c r="B352" s="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>
        <f t="shared" si="29"/>
        <v>0</v>
      </c>
      <c r="W352" s="23"/>
      <c r="X352" s="23">
        <f t="shared" si="30"/>
        <v>0</v>
      </c>
    </row>
    <row r="353" spans="1:70" ht="18.5" x14ac:dyDescent="0.45">
      <c r="A353" s="77" t="s">
        <v>309</v>
      </c>
      <c r="B353" s="78"/>
      <c r="C353" s="77"/>
      <c r="D353" s="77">
        <v>2192</v>
      </c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>
        <f t="shared" si="29"/>
        <v>2192</v>
      </c>
      <c r="W353" s="23"/>
      <c r="X353" s="23">
        <f t="shared" si="30"/>
        <v>2192</v>
      </c>
    </row>
    <row r="354" spans="1:70" x14ac:dyDescent="0.35">
      <c r="A354" s="23" t="s">
        <v>344</v>
      </c>
      <c r="B354" s="29"/>
      <c r="C354" s="23"/>
      <c r="D354" s="8">
        <v>10080</v>
      </c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>
        <f t="shared" si="29"/>
        <v>10080</v>
      </c>
      <c r="W354" s="23">
        <v>10000</v>
      </c>
      <c r="X354" s="23">
        <f t="shared" si="30"/>
        <v>80</v>
      </c>
      <c r="Y354" s="46" t="s">
        <v>785</v>
      </c>
      <c r="Z354" s="46"/>
      <c r="AA354" s="46" t="s">
        <v>783</v>
      </c>
      <c r="AB354" s="46" t="s">
        <v>168</v>
      </c>
      <c r="AC354" s="58">
        <v>0.625</v>
      </c>
      <c r="AD354" s="46" t="s">
        <v>820</v>
      </c>
      <c r="AE354" s="46" t="s">
        <v>784</v>
      </c>
      <c r="AF354" s="46" t="s">
        <v>823</v>
      </c>
      <c r="AG354" s="58"/>
      <c r="AH354" s="1">
        <v>10000</v>
      </c>
    </row>
    <row r="355" spans="1:70" x14ac:dyDescent="0.35">
      <c r="A355" s="23" t="s">
        <v>311</v>
      </c>
      <c r="B355" s="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>
        <f t="shared" si="29"/>
        <v>0</v>
      </c>
      <c r="W355" s="23"/>
      <c r="X355" s="23">
        <f t="shared" si="30"/>
        <v>0</v>
      </c>
    </row>
    <row r="356" spans="1:70" x14ac:dyDescent="0.35">
      <c r="A356" s="23" t="s">
        <v>312</v>
      </c>
      <c r="B356" s="3"/>
      <c r="C356" s="23"/>
      <c r="D356" s="23">
        <v>0</v>
      </c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>
        <f t="shared" si="29"/>
        <v>0</v>
      </c>
      <c r="W356" s="23"/>
      <c r="X356" s="23">
        <f t="shared" si="30"/>
        <v>0</v>
      </c>
    </row>
    <row r="357" spans="1:70" ht="18.5" x14ac:dyDescent="0.45">
      <c r="A357" s="77" t="s">
        <v>313</v>
      </c>
      <c r="B357" s="78"/>
      <c r="C357" s="77"/>
      <c r="D357" s="77">
        <v>1620</v>
      </c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>
        <f t="shared" si="29"/>
        <v>1620</v>
      </c>
      <c r="W357" s="23"/>
      <c r="X357" s="23">
        <f t="shared" si="30"/>
        <v>1620</v>
      </c>
    </row>
    <row r="358" spans="1:70" x14ac:dyDescent="0.35">
      <c r="A358" s="12" t="s">
        <v>994</v>
      </c>
      <c r="B358" s="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23"/>
      <c r="O358" s="23">
        <v>2650</v>
      </c>
      <c r="P358" s="23"/>
      <c r="Q358" s="23"/>
      <c r="R358" s="23"/>
      <c r="S358" s="23"/>
      <c r="T358" s="23"/>
      <c r="U358" s="23"/>
      <c r="V358" s="23">
        <f t="shared" si="29"/>
        <v>2650</v>
      </c>
      <c r="W358" s="23"/>
      <c r="X358" s="23">
        <f t="shared" si="30"/>
        <v>2650</v>
      </c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4"/>
      <c r="BD358" s="34"/>
      <c r="BE358" s="34"/>
      <c r="BF358" s="34"/>
      <c r="BG358" s="34"/>
      <c r="BH358" s="34"/>
      <c r="BI358" s="31"/>
      <c r="BJ358" s="31"/>
      <c r="BK358" s="31"/>
      <c r="BL358" s="31"/>
      <c r="BM358" s="31"/>
      <c r="BN358" s="31"/>
      <c r="BO358" s="31"/>
      <c r="BP358" s="35"/>
      <c r="BQ358" s="35"/>
      <c r="BR358" s="35"/>
    </row>
    <row r="359" spans="1:70" x14ac:dyDescent="0.35">
      <c r="A359" s="23" t="s">
        <v>314</v>
      </c>
      <c r="B359" s="3"/>
      <c r="C359" s="23"/>
      <c r="D359" s="23">
        <v>0</v>
      </c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>
        <f t="shared" si="29"/>
        <v>0</v>
      </c>
      <c r="W359" s="23"/>
      <c r="X359" s="23">
        <f t="shared" si="30"/>
        <v>0</v>
      </c>
    </row>
    <row r="360" spans="1:70" x14ac:dyDescent="0.35">
      <c r="A360" s="23" t="s">
        <v>315</v>
      </c>
      <c r="B360" s="3"/>
      <c r="C360" s="23"/>
      <c r="D360" s="23">
        <v>0</v>
      </c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>
        <f t="shared" si="29"/>
        <v>0</v>
      </c>
      <c r="W360" s="23"/>
      <c r="X360" s="23">
        <f t="shared" si="30"/>
        <v>0</v>
      </c>
    </row>
    <row r="361" spans="1:70" x14ac:dyDescent="0.35">
      <c r="A361" s="23" t="s">
        <v>316</v>
      </c>
      <c r="B361" s="3"/>
      <c r="C361" s="23"/>
      <c r="D361" s="23">
        <v>0</v>
      </c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>
        <f t="shared" si="29"/>
        <v>0</v>
      </c>
      <c r="W361" s="23"/>
      <c r="X361" s="23">
        <f t="shared" si="30"/>
        <v>0</v>
      </c>
    </row>
    <row r="362" spans="1:70" x14ac:dyDescent="0.35">
      <c r="A362" s="23" t="s">
        <v>317</v>
      </c>
      <c r="B362" s="3"/>
      <c r="C362" s="8"/>
      <c r="D362" s="8">
        <v>242</v>
      </c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>
        <f t="shared" si="29"/>
        <v>242</v>
      </c>
      <c r="W362" s="23"/>
      <c r="X362" s="23">
        <f t="shared" si="30"/>
        <v>242</v>
      </c>
    </row>
    <row r="363" spans="1:70" x14ac:dyDescent="0.35">
      <c r="A363" s="23" t="s">
        <v>318</v>
      </c>
      <c r="B363" s="3"/>
      <c r="C363" s="23"/>
      <c r="D363" s="23">
        <v>0</v>
      </c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>
        <f t="shared" ref="V363:V394" si="31">SUM(D363:U363)</f>
        <v>0</v>
      </c>
      <c r="W363" s="23"/>
      <c r="X363" s="23">
        <f t="shared" ref="X363:X394" si="32">V363-W363</f>
        <v>0</v>
      </c>
    </row>
    <row r="364" spans="1:70" x14ac:dyDescent="0.35">
      <c r="A364" s="23" t="s">
        <v>319</v>
      </c>
      <c r="B364" s="3"/>
      <c r="C364" s="23"/>
      <c r="D364" s="23">
        <v>20</v>
      </c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>
        <f t="shared" si="31"/>
        <v>20</v>
      </c>
      <c r="W364" s="23"/>
      <c r="X364" s="23">
        <f t="shared" si="32"/>
        <v>20</v>
      </c>
    </row>
    <row r="365" spans="1:70" ht="18.5" x14ac:dyDescent="0.45">
      <c r="A365" s="77" t="s">
        <v>320</v>
      </c>
      <c r="B365" s="78"/>
      <c r="C365" s="77"/>
      <c r="D365" s="77">
        <v>212</v>
      </c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>
        <f t="shared" si="31"/>
        <v>212</v>
      </c>
      <c r="W365" s="23"/>
      <c r="X365" s="23">
        <f t="shared" si="32"/>
        <v>212</v>
      </c>
    </row>
    <row r="366" spans="1:70" ht="18.5" x14ac:dyDescent="0.45">
      <c r="A366" s="77" t="s">
        <v>1027</v>
      </c>
      <c r="B366" s="78"/>
      <c r="C366" s="77"/>
      <c r="D366" s="77">
        <v>11972</v>
      </c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>
        <f t="shared" si="31"/>
        <v>11972</v>
      </c>
      <c r="W366" s="23">
        <f>BO366</f>
        <v>11500</v>
      </c>
      <c r="X366" s="23">
        <f t="shared" si="32"/>
        <v>472</v>
      </c>
      <c r="Y366" s="23" t="s">
        <v>326</v>
      </c>
      <c r="Z366" s="23"/>
      <c r="AA366" s="23"/>
      <c r="AB366" s="23"/>
      <c r="AC366" s="23"/>
      <c r="AD366" s="46" t="s">
        <v>4</v>
      </c>
      <c r="AE366" s="23"/>
      <c r="AF366" s="23"/>
      <c r="AG366" s="23"/>
      <c r="AH366" s="23"/>
      <c r="AI366" s="46"/>
      <c r="AJ366" s="46"/>
      <c r="AK366" s="46" t="s">
        <v>809</v>
      </c>
      <c r="AL366" s="46"/>
      <c r="AM366" s="46"/>
      <c r="AN366" s="46"/>
      <c r="AO366" s="46"/>
      <c r="AP366" s="46"/>
      <c r="AQ366" s="46" t="s">
        <v>809</v>
      </c>
      <c r="AR366" s="46"/>
      <c r="AS366" s="46"/>
      <c r="AT366" s="46"/>
      <c r="AU366" s="46"/>
      <c r="AV366" s="46" t="s">
        <v>809</v>
      </c>
      <c r="AW366" s="46"/>
      <c r="AX366" s="46"/>
      <c r="AY366" s="46"/>
      <c r="AZ366" s="46"/>
      <c r="BA366" s="46"/>
      <c r="BB366" s="46"/>
      <c r="BC366" s="46" t="s">
        <v>809</v>
      </c>
      <c r="BD366" s="46"/>
      <c r="BE366" s="46" t="s">
        <v>797</v>
      </c>
      <c r="BF366" s="46"/>
      <c r="BG366" s="46"/>
      <c r="BH366" s="46"/>
      <c r="BI366" s="46"/>
      <c r="BJ366" s="46"/>
      <c r="BK366" s="46"/>
      <c r="BL366" s="46"/>
      <c r="BM366" s="46"/>
      <c r="BN366" s="46"/>
      <c r="BO366" s="46">
        <v>11500</v>
      </c>
      <c r="BP366" s="35"/>
      <c r="BQ366" s="35"/>
      <c r="BR366" s="35"/>
    </row>
    <row r="367" spans="1:70" x14ac:dyDescent="0.35">
      <c r="A367" s="23" t="s">
        <v>895</v>
      </c>
      <c r="B367" s="29" t="s">
        <v>851</v>
      </c>
      <c r="C367" s="23"/>
      <c r="D367" s="23"/>
      <c r="E367" s="23"/>
      <c r="F367" s="23"/>
      <c r="G367" s="23"/>
      <c r="H367" s="23"/>
      <c r="I367" s="23"/>
      <c r="J367" s="23"/>
      <c r="K367" s="2">
        <v>66000.02</v>
      </c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>
        <f t="shared" si="31"/>
        <v>66000.02</v>
      </c>
      <c r="W367" s="23">
        <f>AW367</f>
        <v>66000</v>
      </c>
      <c r="X367" s="23">
        <f t="shared" si="32"/>
        <v>2.0000000004074536E-2</v>
      </c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31"/>
      <c r="AJ367" s="31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62">
        <v>66000</v>
      </c>
      <c r="AX367" s="35"/>
      <c r="AY367" s="35"/>
    </row>
    <row r="368" spans="1:70" x14ac:dyDescent="0.35">
      <c r="A368" s="8" t="s">
        <v>310</v>
      </c>
      <c r="B368" s="24"/>
      <c r="C368" s="8"/>
      <c r="D368" s="23">
        <v>-8485</v>
      </c>
      <c r="E368" s="23"/>
      <c r="F368" s="23"/>
      <c r="G368" s="23"/>
      <c r="H368" s="23"/>
      <c r="I368" s="23"/>
      <c r="J368" s="23"/>
      <c r="K368" s="23"/>
      <c r="L368" s="23"/>
      <c r="M368" s="8"/>
      <c r="N368" s="8"/>
      <c r="O368" s="8"/>
      <c r="P368" s="8"/>
      <c r="Q368" s="8"/>
      <c r="R368" s="8"/>
      <c r="S368" s="8"/>
      <c r="T368" s="8"/>
      <c r="U368" s="8"/>
      <c r="V368" s="23">
        <f t="shared" si="31"/>
        <v>-8485</v>
      </c>
      <c r="W368" s="8"/>
      <c r="X368" s="8">
        <f t="shared" si="32"/>
        <v>-8485</v>
      </c>
    </row>
    <row r="369" spans="1:91" ht="18.5" x14ac:dyDescent="0.45">
      <c r="A369" s="77" t="s">
        <v>342</v>
      </c>
      <c r="B369" s="78"/>
      <c r="C369" s="77"/>
      <c r="D369" s="77">
        <v>7200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23"/>
      <c r="O369" s="23"/>
      <c r="P369" s="23"/>
      <c r="Q369" s="23"/>
      <c r="R369" s="23"/>
      <c r="S369" s="23"/>
      <c r="T369" s="23"/>
      <c r="U369" s="23"/>
      <c r="V369" s="23">
        <f t="shared" si="31"/>
        <v>7200</v>
      </c>
      <c r="W369" s="23">
        <v>7500</v>
      </c>
      <c r="X369" s="8">
        <f t="shared" si="32"/>
        <v>-300</v>
      </c>
      <c r="Y369" s="46" t="s">
        <v>785</v>
      </c>
      <c r="Z369" s="46"/>
      <c r="AA369" s="46" t="s">
        <v>4</v>
      </c>
      <c r="AB369" s="46"/>
      <c r="AC369" s="46"/>
      <c r="AD369" s="46"/>
      <c r="AE369" s="46" t="s">
        <v>805</v>
      </c>
      <c r="AF369" s="46"/>
      <c r="AG369" s="46"/>
      <c r="AH369" s="46" t="s">
        <v>838</v>
      </c>
      <c r="AI369" s="46"/>
      <c r="AJ369" s="46"/>
      <c r="AK369" s="46" t="s">
        <v>803</v>
      </c>
      <c r="AL369" s="46" t="s">
        <v>846</v>
      </c>
      <c r="AM369" s="46"/>
      <c r="AN369" s="46"/>
      <c r="AO369" s="46" t="s">
        <v>803</v>
      </c>
      <c r="AP369" s="46"/>
      <c r="AQ369" s="46" t="s">
        <v>803</v>
      </c>
      <c r="AR369" s="46"/>
      <c r="AS369" s="46" t="s">
        <v>793</v>
      </c>
      <c r="AT369" s="46"/>
      <c r="AU369" s="46"/>
      <c r="AV369" s="46" t="s">
        <v>793</v>
      </c>
      <c r="AW369" s="46"/>
      <c r="AX369" s="46"/>
      <c r="AY369" s="46" t="s">
        <v>904</v>
      </c>
      <c r="AZ369" s="46"/>
      <c r="BA369" s="46"/>
      <c r="BB369" s="46"/>
      <c r="BC369" s="46" t="s">
        <v>783</v>
      </c>
      <c r="BD369" s="46"/>
      <c r="BE369" s="46"/>
      <c r="BF369" s="46"/>
      <c r="BG369" s="46" t="s">
        <v>803</v>
      </c>
      <c r="BH369" s="46"/>
      <c r="BI369" s="46"/>
      <c r="BJ369" s="46"/>
      <c r="BK369" s="46" t="s">
        <v>823</v>
      </c>
      <c r="BL369" s="58">
        <v>0.70833333333333337</v>
      </c>
      <c r="BM369" s="58">
        <v>0.70833333333333337</v>
      </c>
      <c r="BN369" s="46"/>
      <c r="BO369" s="46" t="s">
        <v>838</v>
      </c>
      <c r="BP369" s="46" t="s">
        <v>4</v>
      </c>
      <c r="BQ369" s="46" t="s">
        <v>999</v>
      </c>
      <c r="BR369" s="46">
        <v>7500</v>
      </c>
      <c r="BS369" s="35"/>
    </row>
    <row r="370" spans="1:91" x14ac:dyDescent="0.35">
      <c r="A370" s="12" t="s">
        <v>402</v>
      </c>
      <c r="B370" s="18"/>
      <c r="C370" s="12"/>
      <c r="D370" s="12">
        <v>5630.12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23">
        <v>5800.01</v>
      </c>
      <c r="R370" s="23"/>
      <c r="S370" s="23"/>
      <c r="T370" s="23"/>
      <c r="U370" s="23"/>
      <c r="V370" s="23">
        <f t="shared" si="31"/>
        <v>11430.130000000001</v>
      </c>
      <c r="W370" s="23">
        <f>AK370+5800</f>
        <v>11300</v>
      </c>
      <c r="X370" s="23">
        <f t="shared" si="32"/>
        <v>130.13000000000102</v>
      </c>
      <c r="Y370" s="23" t="s">
        <v>326</v>
      </c>
      <c r="Z370" s="23"/>
      <c r="AA370" s="23"/>
      <c r="AB370" s="23"/>
      <c r="AC370" s="23"/>
      <c r="AD370" s="46" t="s">
        <v>4</v>
      </c>
      <c r="AE370" s="23" t="s">
        <v>805</v>
      </c>
      <c r="AF370" s="23"/>
      <c r="AG370" s="23"/>
      <c r="AH370" s="46" t="s">
        <v>838</v>
      </c>
      <c r="AI370" s="46"/>
      <c r="AJ370" s="46" t="s">
        <v>4</v>
      </c>
      <c r="AK370" s="46">
        <v>5500</v>
      </c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>
        <v>5800</v>
      </c>
      <c r="BT370" s="35"/>
      <c r="BU370" s="35"/>
      <c r="BV370" s="35"/>
      <c r="BW370" s="35"/>
      <c r="BX370" s="35"/>
      <c r="BY370" s="35"/>
    </row>
    <row r="371" spans="1:91" x14ac:dyDescent="0.35">
      <c r="A371" s="12" t="s">
        <v>874</v>
      </c>
      <c r="B371" s="18" t="s">
        <v>876</v>
      </c>
      <c r="C371" s="2"/>
      <c r="D371" s="2"/>
      <c r="E371" s="12"/>
      <c r="F371" s="12"/>
      <c r="G371" s="12"/>
      <c r="H371" s="12"/>
      <c r="I371" s="2">
        <v>13840.01</v>
      </c>
      <c r="J371" s="12"/>
      <c r="K371" s="12"/>
      <c r="L371" s="12"/>
      <c r="M371" s="12"/>
      <c r="N371" s="12"/>
      <c r="O371" s="12"/>
      <c r="P371" s="12"/>
      <c r="Q371" s="12"/>
      <c r="R371" s="23">
        <v>6920.01</v>
      </c>
      <c r="S371" s="23">
        <v>2900</v>
      </c>
      <c r="T371" s="23"/>
      <c r="U371" s="23"/>
      <c r="V371" s="23">
        <f t="shared" si="31"/>
        <v>23660.02</v>
      </c>
      <c r="W371" s="23">
        <f>AQ371+9500</f>
        <v>23000</v>
      </c>
      <c r="X371" s="23">
        <f t="shared" si="32"/>
        <v>660.02000000000044</v>
      </c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4"/>
      <c r="AP371" s="31"/>
      <c r="AQ371" s="62">
        <v>13500</v>
      </c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 t="s">
        <v>797</v>
      </c>
      <c r="BZ371" s="46"/>
      <c r="CA371" s="46">
        <v>9500</v>
      </c>
    </row>
    <row r="372" spans="1:91" ht="18.5" x14ac:dyDescent="0.45">
      <c r="A372" s="77" t="s">
        <v>395</v>
      </c>
      <c r="B372" s="78" t="s">
        <v>1013</v>
      </c>
      <c r="C372" s="77"/>
      <c r="D372" s="77">
        <v>45268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23"/>
      <c r="S372" s="23"/>
      <c r="T372" s="23"/>
      <c r="U372" s="23"/>
      <c r="V372" s="23">
        <f t="shared" si="31"/>
        <v>45268</v>
      </c>
      <c r="W372" s="23">
        <f>AY372</f>
        <v>44000</v>
      </c>
      <c r="X372" s="23">
        <f t="shared" si="32"/>
        <v>1268</v>
      </c>
      <c r="Y372" s="1" t="s">
        <v>326</v>
      </c>
      <c r="Z372" s="34"/>
      <c r="AA372" s="34"/>
      <c r="AB372" s="34"/>
      <c r="AC372" s="34"/>
      <c r="AD372" s="31" t="s">
        <v>4</v>
      </c>
      <c r="AE372" s="31"/>
      <c r="AF372" s="31"/>
      <c r="AG372" s="31"/>
      <c r="AH372" s="31"/>
      <c r="AI372" s="31"/>
      <c r="AJ372" s="31"/>
      <c r="AK372" s="34" t="s">
        <v>790</v>
      </c>
      <c r="AL372" s="34"/>
      <c r="AM372" s="31" t="s">
        <v>4</v>
      </c>
      <c r="AN372" s="31"/>
      <c r="AO372" s="31"/>
      <c r="AP372" s="31"/>
      <c r="AQ372" s="31"/>
      <c r="AR372" s="31"/>
      <c r="AS372" s="31"/>
      <c r="AT372" s="31"/>
      <c r="AU372" s="31"/>
      <c r="AV372" s="34" t="s">
        <v>892</v>
      </c>
      <c r="AW372" s="34"/>
      <c r="AX372" s="34"/>
      <c r="AY372" s="62">
        <v>44000</v>
      </c>
      <c r="AZ372" s="31"/>
      <c r="BA372" s="31"/>
      <c r="BB372" s="31"/>
      <c r="BC372" s="31"/>
      <c r="BD372" s="31"/>
      <c r="BE372" s="31" t="s">
        <v>794</v>
      </c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5"/>
      <c r="BT372" s="35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</row>
    <row r="373" spans="1:91" x14ac:dyDescent="0.35">
      <c r="A373" s="12" t="s">
        <v>1011</v>
      </c>
      <c r="B373" s="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23">
        <v>28162</v>
      </c>
      <c r="S373" s="23"/>
      <c r="T373" s="23"/>
      <c r="U373" s="23"/>
      <c r="V373" s="23">
        <f t="shared" si="31"/>
        <v>28162</v>
      </c>
      <c r="W373" s="23">
        <f>BT373</f>
        <v>28000</v>
      </c>
      <c r="X373" s="23">
        <f t="shared" si="32"/>
        <v>162</v>
      </c>
      <c r="Y373" s="31"/>
      <c r="Z373" s="31"/>
      <c r="AA373" s="31"/>
      <c r="AB373" s="31"/>
      <c r="AC373" s="31"/>
      <c r="AD373" s="1"/>
      <c r="AE373" s="31"/>
      <c r="AF373" s="1"/>
      <c r="AG373" s="34"/>
      <c r="AH373" s="34"/>
      <c r="AI373" s="34"/>
      <c r="AJ373" s="31"/>
      <c r="AK373" s="34"/>
      <c r="AL373" s="34"/>
      <c r="AM373" s="34"/>
      <c r="AN373" s="34"/>
      <c r="AO373" s="34"/>
      <c r="AP373" s="31"/>
      <c r="AQ373" s="34"/>
      <c r="AR373" s="34"/>
      <c r="AS373" s="34"/>
      <c r="AT373" s="34"/>
      <c r="AU373" s="31"/>
      <c r="AV373" s="62"/>
      <c r="AW373" s="34"/>
      <c r="AX373" s="34"/>
      <c r="AY373" s="34"/>
      <c r="AZ373" s="34"/>
      <c r="BA373" s="34"/>
      <c r="BB373" s="34"/>
      <c r="BC373" s="31"/>
      <c r="BD373" s="34"/>
      <c r="BE373" s="31"/>
      <c r="BF373" s="31"/>
      <c r="BG373" s="31"/>
      <c r="BH373" s="31"/>
      <c r="BI373" s="31"/>
      <c r="BJ373" s="31"/>
      <c r="BK373" s="31"/>
      <c r="BL373" s="91"/>
      <c r="BM373" s="31"/>
      <c r="BN373" s="31"/>
      <c r="BO373" s="31"/>
      <c r="BP373" s="31"/>
      <c r="BQ373" s="62"/>
      <c r="BR373" s="34"/>
      <c r="BS373" s="34"/>
      <c r="BT373" s="62">
        <v>28000</v>
      </c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</row>
    <row r="374" spans="1:91" x14ac:dyDescent="0.35">
      <c r="A374" s="12" t="s">
        <v>323</v>
      </c>
      <c r="B374" s="3"/>
      <c r="C374" s="8"/>
      <c r="D374" s="8">
        <v>5044.3999999999996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23">
        <f t="shared" si="31"/>
        <v>5044.3999999999996</v>
      </c>
      <c r="W374" s="12"/>
      <c r="X374" s="23">
        <f t="shared" si="32"/>
        <v>5044.3999999999996</v>
      </c>
      <c r="Y374" s="31"/>
      <c r="Z374" s="31"/>
      <c r="AA374" s="31"/>
      <c r="AB374" s="31"/>
      <c r="AC374" s="31" t="s">
        <v>793</v>
      </c>
      <c r="AD374" s="31"/>
      <c r="AE374" s="31"/>
      <c r="AF374" s="31" t="s">
        <v>793</v>
      </c>
      <c r="AG374" s="31"/>
      <c r="AH374" s="31" t="s">
        <v>793</v>
      </c>
      <c r="AI374" s="31"/>
      <c r="AJ374" s="31" t="s">
        <v>793</v>
      </c>
      <c r="AK374" s="31" t="s">
        <v>793</v>
      </c>
      <c r="AL374" s="31"/>
      <c r="AM374" s="31"/>
      <c r="AN374" s="31"/>
      <c r="AO374" s="31" t="s">
        <v>793</v>
      </c>
      <c r="AP374" s="31"/>
      <c r="AQ374" s="31" t="s">
        <v>793</v>
      </c>
      <c r="AR374" s="31"/>
      <c r="AS374" s="31" t="s">
        <v>793</v>
      </c>
      <c r="AT374" s="31"/>
      <c r="AU374" s="31"/>
      <c r="AV374" s="31" t="s">
        <v>793</v>
      </c>
      <c r="AW374" s="31"/>
      <c r="AX374" s="31"/>
      <c r="AY374" s="31" t="s">
        <v>793</v>
      </c>
      <c r="AZ374" s="31"/>
      <c r="BA374" s="31"/>
      <c r="BB374" s="31"/>
      <c r="BC374" s="31" t="s">
        <v>793</v>
      </c>
      <c r="BD374" s="31"/>
      <c r="BE374" s="31" t="s">
        <v>793</v>
      </c>
      <c r="BF374" s="31"/>
      <c r="BG374" s="31" t="s">
        <v>793</v>
      </c>
      <c r="BH374" s="31" t="s">
        <v>793</v>
      </c>
      <c r="BI374" s="31"/>
      <c r="BJ374" s="31"/>
      <c r="BK374" s="31"/>
      <c r="BL374" s="31"/>
      <c r="BM374" s="31" t="s">
        <v>793</v>
      </c>
      <c r="BN374" s="31"/>
      <c r="BO374" s="31" t="s">
        <v>793</v>
      </c>
      <c r="BP374" s="31"/>
      <c r="BQ374" s="31"/>
      <c r="BR374" s="31"/>
      <c r="BS374" s="31"/>
      <c r="BT374" s="31"/>
      <c r="BU374" s="31" t="s">
        <v>793</v>
      </c>
      <c r="BV374" s="31"/>
      <c r="BW374" s="31"/>
      <c r="BX374" s="31"/>
      <c r="BY374" s="31" t="s">
        <v>793</v>
      </c>
      <c r="BZ374" s="31" t="s">
        <v>793</v>
      </c>
      <c r="CA374" s="31" t="s">
        <v>793</v>
      </c>
      <c r="CB374" s="31"/>
      <c r="CC374" s="31"/>
      <c r="CD374" s="31"/>
      <c r="CE374" s="31"/>
      <c r="CF374" s="31"/>
      <c r="CG374" s="31"/>
      <c r="CH374" s="31" t="s">
        <v>794</v>
      </c>
      <c r="CI374" s="31" t="s">
        <v>794</v>
      </c>
      <c r="CJ374" s="31"/>
      <c r="CK374" s="31"/>
      <c r="CL374" s="31"/>
    </row>
    <row r="375" spans="1:91" x14ac:dyDescent="0.35">
      <c r="A375" s="12" t="s">
        <v>324</v>
      </c>
      <c r="B375" s="3"/>
      <c r="C375" s="12"/>
      <c r="D375" s="12">
        <v>9885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23">
        <f t="shared" si="31"/>
        <v>9885</v>
      </c>
      <c r="W375" s="12">
        <f>Y375</f>
        <v>3000</v>
      </c>
      <c r="X375" s="23">
        <f t="shared" si="32"/>
        <v>6885</v>
      </c>
      <c r="Y375" s="8">
        <v>3000</v>
      </c>
      <c r="Z375" s="34" t="s">
        <v>781</v>
      </c>
      <c r="AA375" s="34"/>
      <c r="AB375" s="34"/>
      <c r="AC375" s="34"/>
      <c r="AD375" s="34"/>
      <c r="AE375" s="34"/>
      <c r="AF375" s="34"/>
      <c r="AG375" s="34"/>
      <c r="AH375" s="34"/>
      <c r="AI375" s="34"/>
      <c r="AJ375" s="34" t="s">
        <v>838</v>
      </c>
      <c r="AK375" s="63">
        <v>0.70833333333333337</v>
      </c>
      <c r="AL375" s="34" t="s">
        <v>845</v>
      </c>
      <c r="AM375" s="34"/>
      <c r="AN375" s="34"/>
      <c r="AO375" s="34"/>
      <c r="AP375" s="34" t="s">
        <v>877</v>
      </c>
      <c r="AQ375" s="34"/>
      <c r="AR375" s="34"/>
      <c r="AS375" s="34"/>
      <c r="AT375" s="34"/>
      <c r="AU375" s="34"/>
      <c r="AV375" s="34" t="s">
        <v>884</v>
      </c>
      <c r="AW375" s="34"/>
      <c r="AX375" s="34"/>
      <c r="AY375" s="43" t="s">
        <v>878</v>
      </c>
      <c r="AZ375" s="43"/>
      <c r="BA375" s="43"/>
      <c r="BB375" s="43"/>
      <c r="BC375" s="43" t="s">
        <v>168</v>
      </c>
      <c r="BD375" s="34"/>
      <c r="BE375" s="34"/>
      <c r="BF375" s="34"/>
      <c r="BG375" s="34"/>
      <c r="BH375" s="31" t="s">
        <v>4</v>
      </c>
      <c r="BI375" s="31"/>
      <c r="BJ375" s="31"/>
      <c r="BK375" s="31"/>
      <c r="BL375" s="34" t="s">
        <v>827</v>
      </c>
      <c r="BM375" s="34"/>
      <c r="BN375" s="34"/>
      <c r="BO375" s="34"/>
      <c r="BP375" s="34"/>
      <c r="BQ375" s="34" t="s">
        <v>846</v>
      </c>
      <c r="BR375" s="34"/>
      <c r="BS375" s="34"/>
      <c r="BT375" s="34" t="s">
        <v>1005</v>
      </c>
      <c r="BU375" s="34"/>
      <c r="BV375" s="34"/>
      <c r="BW375" s="34"/>
      <c r="BX375" s="34" t="s">
        <v>879</v>
      </c>
      <c r="BY375" s="34"/>
      <c r="BZ375" s="34"/>
      <c r="CA375" s="34"/>
      <c r="CB375" s="31" t="s">
        <v>4</v>
      </c>
      <c r="CC375" s="31"/>
      <c r="CD375" s="31"/>
      <c r="CE375" s="31"/>
      <c r="CF375" s="31"/>
      <c r="CG375" s="34" t="s">
        <v>785</v>
      </c>
      <c r="CH375" s="46">
        <v>3</v>
      </c>
      <c r="CI375" s="46"/>
      <c r="CJ375" s="46"/>
      <c r="CK375" s="31"/>
      <c r="CL375" s="31"/>
    </row>
    <row r="376" spans="1:91" x14ac:dyDescent="0.35">
      <c r="A376" s="12" t="s">
        <v>412</v>
      </c>
      <c r="B376" s="18"/>
      <c r="C376" s="34"/>
      <c r="D376" s="12">
        <v>6000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23">
        <f t="shared" si="31"/>
        <v>6000</v>
      </c>
      <c r="W376" s="12"/>
      <c r="X376" s="23">
        <f t="shared" si="32"/>
        <v>6000</v>
      </c>
      <c r="Y376" s="31"/>
      <c r="Z376" s="31"/>
      <c r="AA376" s="31"/>
      <c r="AB376" s="31"/>
      <c r="AC376" s="31" t="s">
        <v>793</v>
      </c>
      <c r="AD376" s="31"/>
      <c r="AE376" s="31"/>
      <c r="AF376" s="31"/>
      <c r="AG376" s="31"/>
      <c r="AH376" s="31"/>
      <c r="AI376" s="31"/>
      <c r="AJ376" s="31"/>
      <c r="AK376" s="31" t="s">
        <v>793</v>
      </c>
      <c r="AL376" s="31"/>
      <c r="AV376" s="21" t="s">
        <v>794</v>
      </c>
      <c r="BK376" s="34"/>
      <c r="BL376" s="1" t="s">
        <v>989</v>
      </c>
      <c r="BM376" s="31" t="s">
        <v>794</v>
      </c>
      <c r="BN376" s="31"/>
      <c r="BO376" s="31" t="s">
        <v>794</v>
      </c>
      <c r="BP376" s="31"/>
      <c r="BQ376" s="31"/>
      <c r="BR376" s="31"/>
      <c r="BS376" s="31"/>
      <c r="BT376" s="31" t="s">
        <v>793</v>
      </c>
      <c r="BU376" s="31" t="s">
        <v>793</v>
      </c>
      <c r="BV376" s="31"/>
      <c r="BW376" s="31"/>
      <c r="BX376" s="31"/>
      <c r="BY376" s="31" t="s">
        <v>794</v>
      </c>
      <c r="BZ376" s="31" t="s">
        <v>794</v>
      </c>
      <c r="CA376" s="31" t="s">
        <v>794</v>
      </c>
      <c r="CB376" s="31"/>
      <c r="CC376" s="31"/>
      <c r="CD376" s="31"/>
      <c r="CE376" s="31"/>
      <c r="CF376" s="31"/>
      <c r="CG376" s="31"/>
      <c r="CH376" s="31" t="s">
        <v>794</v>
      </c>
      <c r="CI376" s="31" t="s">
        <v>794</v>
      </c>
      <c r="CJ376" s="31"/>
      <c r="CK376" s="31"/>
      <c r="CL376" s="31"/>
    </row>
    <row r="377" spans="1:91" ht="18.5" x14ac:dyDescent="0.45">
      <c r="A377" s="77" t="s">
        <v>180</v>
      </c>
      <c r="B377" s="78" t="s">
        <v>840</v>
      </c>
      <c r="C377" s="77"/>
      <c r="D377" s="77">
        <v>1250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23">
        <f t="shared" si="31"/>
        <v>1250</v>
      </c>
      <c r="W377" s="12"/>
      <c r="X377" s="23">
        <f t="shared" si="32"/>
        <v>1250</v>
      </c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</row>
    <row r="378" spans="1:91" ht="18.5" x14ac:dyDescent="0.45">
      <c r="A378" s="77" t="s">
        <v>325</v>
      </c>
      <c r="B378" s="78"/>
      <c r="C378" s="77"/>
      <c r="D378" s="77">
        <v>19000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23">
        <f t="shared" si="31"/>
        <v>19000</v>
      </c>
      <c r="W378" s="12">
        <v>3000</v>
      </c>
      <c r="X378" s="23">
        <f t="shared" si="32"/>
        <v>16000</v>
      </c>
      <c r="Y378" s="12" t="s">
        <v>326</v>
      </c>
      <c r="Z378" s="34"/>
      <c r="AA378" s="34"/>
      <c r="AB378" s="34"/>
      <c r="AC378" s="34"/>
      <c r="AD378" s="31" t="s">
        <v>4</v>
      </c>
      <c r="AE378" s="34" t="s">
        <v>790</v>
      </c>
      <c r="AF378" s="34"/>
      <c r="AG378" s="34"/>
      <c r="AH378" s="34"/>
      <c r="AI378" s="34"/>
      <c r="AJ378" s="34"/>
      <c r="AK378" s="34"/>
      <c r="AL378" s="34"/>
      <c r="AM378" s="34" t="s">
        <v>845</v>
      </c>
      <c r="AN378" s="34"/>
      <c r="AO378" s="34"/>
      <c r="AP378" s="34" t="s">
        <v>854</v>
      </c>
      <c r="AQ378" s="34"/>
      <c r="AR378" s="34"/>
      <c r="AS378" s="34"/>
      <c r="AT378" s="31"/>
      <c r="AU378" s="31"/>
      <c r="AV378" s="34" t="s">
        <v>892</v>
      </c>
      <c r="AW378" s="34"/>
      <c r="AX378" s="34"/>
      <c r="AY378" s="34"/>
      <c r="AZ378" s="34"/>
      <c r="BA378" s="34">
        <v>6</v>
      </c>
      <c r="BB378" s="34"/>
      <c r="BC378" s="34"/>
      <c r="BD378" s="34">
        <v>6</v>
      </c>
      <c r="BE378" s="34"/>
      <c r="BF378" s="34"/>
      <c r="BG378" s="34"/>
      <c r="BH378" s="34"/>
      <c r="BI378" s="31" t="s">
        <v>4</v>
      </c>
      <c r="BJ378" s="52">
        <v>0.75</v>
      </c>
      <c r="BK378" s="34" t="s">
        <v>825</v>
      </c>
      <c r="BL378" s="34"/>
      <c r="BM378" s="34"/>
      <c r="BN378" s="31" t="s">
        <v>4</v>
      </c>
      <c r="BO378" s="34" t="s">
        <v>814</v>
      </c>
      <c r="BP378" s="34"/>
      <c r="BQ378" s="34"/>
      <c r="BR378" s="34"/>
      <c r="BS378" s="31" t="s">
        <v>4</v>
      </c>
      <c r="BT378" s="34" t="s">
        <v>845</v>
      </c>
      <c r="BU378" s="63">
        <v>0.66666666666666663</v>
      </c>
      <c r="BV378" s="31"/>
      <c r="BW378" s="31"/>
      <c r="BX378" s="31"/>
      <c r="BY378" s="34" t="s">
        <v>879</v>
      </c>
      <c r="BZ378" s="34"/>
      <c r="CA378" s="34"/>
      <c r="CB378" s="31" t="s">
        <v>4</v>
      </c>
      <c r="CC378" s="31"/>
      <c r="CD378" s="31"/>
      <c r="CE378" s="31"/>
      <c r="CF378" s="31"/>
      <c r="CG378" s="34" t="s">
        <v>782</v>
      </c>
      <c r="CH378" s="46">
        <v>2</v>
      </c>
      <c r="CI378" s="46"/>
      <c r="CJ378" s="46"/>
      <c r="CK378" s="31"/>
      <c r="CL378" s="31"/>
    </row>
    <row r="379" spans="1:91" x14ac:dyDescent="0.35">
      <c r="A379" s="12" t="s">
        <v>875</v>
      </c>
      <c r="B379" s="18" t="s">
        <v>851</v>
      </c>
      <c r="C379" s="12"/>
      <c r="D379" s="12">
        <v>0</v>
      </c>
      <c r="E379" s="12"/>
      <c r="F379" s="12"/>
      <c r="G379" s="12"/>
      <c r="H379" s="12">
        <f>33000+15600.01</f>
        <v>48600.01</v>
      </c>
      <c r="I379" s="12"/>
      <c r="J379" s="12"/>
      <c r="K379" s="12"/>
      <c r="L379" s="12"/>
      <c r="M379" s="12"/>
      <c r="N379" s="12"/>
      <c r="O379" s="2">
        <v>37000.019999999997</v>
      </c>
      <c r="P379" s="12"/>
      <c r="Q379" s="12"/>
      <c r="R379" s="12"/>
      <c r="S379" s="12"/>
      <c r="T379" s="12"/>
      <c r="U379" s="12"/>
      <c r="V379" s="23">
        <f t="shared" si="31"/>
        <v>85600.03</v>
      </c>
      <c r="W379" s="23">
        <f>48600+37000</f>
        <v>85600</v>
      </c>
      <c r="X379" s="23">
        <f t="shared" si="32"/>
        <v>2.9999999998835847E-2</v>
      </c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46"/>
      <c r="AJ379" s="46"/>
      <c r="AK379" s="46"/>
      <c r="AL379" s="46"/>
      <c r="AM379" s="46"/>
      <c r="AN379" s="46"/>
      <c r="AO379" s="46"/>
      <c r="AP379" s="46" t="s">
        <v>878</v>
      </c>
      <c r="AQ379" s="46"/>
      <c r="AR379" s="46"/>
      <c r="AS379" s="46"/>
      <c r="AT379" s="46"/>
      <c r="AU379" s="46"/>
      <c r="AV379" s="46"/>
      <c r="AW379" s="46"/>
      <c r="AX379" s="46"/>
      <c r="AY379" s="46">
        <v>48600</v>
      </c>
      <c r="BI379" s="34"/>
      <c r="BJ379" s="34"/>
      <c r="BK379" s="34"/>
      <c r="BL379" s="34"/>
      <c r="BM379" s="34"/>
      <c r="BN379" s="34"/>
      <c r="BO379" s="34"/>
      <c r="BP379" s="34"/>
      <c r="BQ379" s="31" t="s">
        <v>4</v>
      </c>
      <c r="BR379" s="31"/>
      <c r="BS379" s="31"/>
      <c r="BT379" s="34" t="s">
        <v>883</v>
      </c>
      <c r="BU379" s="34"/>
      <c r="BV379" s="34"/>
      <c r="BW379" s="34"/>
      <c r="BX379" s="34"/>
      <c r="BY379" s="34" t="s">
        <v>877</v>
      </c>
      <c r="BZ379" s="34"/>
      <c r="CA379" s="34" t="s">
        <v>892</v>
      </c>
      <c r="CB379" s="34"/>
      <c r="CC379" s="34"/>
      <c r="CD379" s="34"/>
      <c r="CE379" s="34"/>
      <c r="CF379" s="34"/>
      <c r="CG379" s="31" t="s">
        <v>911</v>
      </c>
      <c r="CH379" s="34" t="s">
        <v>806</v>
      </c>
      <c r="CI379" s="34" t="s">
        <v>798</v>
      </c>
      <c r="CJ379" s="1">
        <v>37000</v>
      </c>
      <c r="CK379" s="35"/>
    </row>
    <row r="380" spans="1:91" ht="18.5" x14ac:dyDescent="0.45">
      <c r="A380" s="77" t="s">
        <v>327</v>
      </c>
      <c r="B380" s="78"/>
      <c r="C380" s="77"/>
      <c r="D380" s="77">
        <v>29730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23">
        <f t="shared" si="31"/>
        <v>29730</v>
      </c>
      <c r="W380" s="12"/>
      <c r="X380" s="23">
        <f t="shared" si="32"/>
        <v>29730</v>
      </c>
      <c r="Y380" s="31"/>
      <c r="Z380" s="31"/>
      <c r="AA380" s="31"/>
      <c r="AB380" s="31"/>
      <c r="AC380" s="31" t="s">
        <v>793</v>
      </c>
      <c r="AD380" s="52">
        <v>0.66666666666666663</v>
      </c>
      <c r="AE380" s="31"/>
      <c r="AF380" s="31" t="s">
        <v>793</v>
      </c>
      <c r="AG380" s="31"/>
      <c r="AH380" s="31" t="s">
        <v>793</v>
      </c>
      <c r="AI380" s="31"/>
      <c r="AJ380" s="31" t="s">
        <v>793</v>
      </c>
      <c r="AK380" s="31" t="s">
        <v>793</v>
      </c>
      <c r="AL380" s="31"/>
      <c r="AM380" s="31"/>
      <c r="AN380" s="31"/>
      <c r="AO380" s="31" t="s">
        <v>793</v>
      </c>
      <c r="AP380" s="31"/>
      <c r="AQ380" s="31" t="s">
        <v>793</v>
      </c>
      <c r="AR380" s="31"/>
      <c r="AS380" s="31" t="s">
        <v>793</v>
      </c>
      <c r="AT380" s="31"/>
      <c r="AU380" s="31"/>
      <c r="AV380" s="31" t="s">
        <v>793</v>
      </c>
      <c r="AW380" s="31"/>
      <c r="AX380" s="31"/>
      <c r="AY380" s="31" t="s">
        <v>793</v>
      </c>
      <c r="AZ380" s="31"/>
      <c r="BA380" s="31"/>
      <c r="BB380" s="31"/>
      <c r="BC380" s="31" t="s">
        <v>793</v>
      </c>
      <c r="BD380" s="31"/>
      <c r="BE380" s="31" t="s">
        <v>793</v>
      </c>
      <c r="BF380" s="31"/>
      <c r="BG380" s="31" t="s">
        <v>793</v>
      </c>
      <c r="BH380" s="31"/>
      <c r="BI380" s="31"/>
      <c r="BJ380" s="31"/>
      <c r="BK380" s="31"/>
      <c r="BL380" s="31"/>
      <c r="BM380" s="31" t="s">
        <v>793</v>
      </c>
      <c r="BN380" s="31"/>
      <c r="BO380" s="31" t="s">
        <v>803</v>
      </c>
      <c r="BP380" s="31"/>
      <c r="BQ380" s="31"/>
      <c r="BR380" s="31"/>
      <c r="BS380" s="31"/>
      <c r="BT380" s="31" t="s">
        <v>793</v>
      </c>
      <c r="BU380" s="31"/>
      <c r="BV380" s="31"/>
      <c r="BW380" s="31"/>
      <c r="BX380" s="31"/>
      <c r="BY380" s="31" t="s">
        <v>794</v>
      </c>
      <c r="BZ380" s="31" t="s">
        <v>794</v>
      </c>
      <c r="CA380" s="31" t="s">
        <v>794</v>
      </c>
      <c r="CB380" s="31"/>
      <c r="CC380" s="31"/>
      <c r="CD380" s="31"/>
      <c r="CE380" s="31"/>
      <c r="CF380" s="31"/>
      <c r="CG380" s="31"/>
      <c r="CH380" s="31" t="s">
        <v>793</v>
      </c>
      <c r="CI380" s="31" t="s">
        <v>793</v>
      </c>
      <c r="CJ380" s="31" t="s">
        <v>785</v>
      </c>
      <c r="CK380" s="1" t="s">
        <v>4</v>
      </c>
      <c r="CL380" s="31"/>
    </row>
    <row r="381" spans="1:91" ht="18.5" x14ac:dyDescent="0.45">
      <c r="A381" s="77" t="s">
        <v>328</v>
      </c>
      <c r="B381" s="78"/>
      <c r="C381" s="77"/>
      <c r="D381" s="77">
        <v>74500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23">
        <f t="shared" si="31"/>
        <v>74500</v>
      </c>
      <c r="W381" s="12"/>
      <c r="X381" s="23">
        <f t="shared" si="32"/>
        <v>74500</v>
      </c>
      <c r="Y381" s="31"/>
      <c r="Z381" s="31"/>
      <c r="AA381" s="31"/>
      <c r="AB381" s="34" t="s">
        <v>326</v>
      </c>
      <c r="AC381" s="34"/>
      <c r="AD381" s="31" t="s">
        <v>4</v>
      </c>
      <c r="AE381" s="31"/>
      <c r="AF381" s="34" t="s">
        <v>810</v>
      </c>
      <c r="AG381" s="34"/>
      <c r="AH381" s="34" t="s">
        <v>825</v>
      </c>
      <c r="AI381" s="52">
        <v>0.66666666666666663</v>
      </c>
      <c r="AJ381" s="31" t="s">
        <v>793</v>
      </c>
      <c r="AK381" s="34" t="s">
        <v>814</v>
      </c>
      <c r="AL381" s="34"/>
      <c r="AM381" s="34"/>
      <c r="AN381" s="31" t="s">
        <v>4</v>
      </c>
      <c r="AO381" s="31" t="s">
        <v>809</v>
      </c>
      <c r="AP381" s="52">
        <v>0.70833333333333337</v>
      </c>
      <c r="AQ381" s="31" t="s">
        <v>794</v>
      </c>
      <c r="AR381" s="31"/>
      <c r="AS381" s="34" t="s">
        <v>883</v>
      </c>
      <c r="AT381" s="34"/>
      <c r="AU381" s="31" t="s">
        <v>4</v>
      </c>
      <c r="AV381" s="34" t="s">
        <v>884</v>
      </c>
      <c r="AW381" s="34"/>
      <c r="AX381" s="34"/>
      <c r="AY381" s="34" t="s">
        <v>794</v>
      </c>
      <c r="AZ381" s="34"/>
      <c r="BA381" s="34"/>
      <c r="BB381" s="34"/>
      <c r="BC381" s="31" t="s">
        <v>793</v>
      </c>
      <c r="BD381" s="34" t="s">
        <v>785</v>
      </c>
      <c r="BE381" s="34"/>
      <c r="BF381" s="34" t="s">
        <v>4</v>
      </c>
      <c r="BG381" s="31" t="s">
        <v>810</v>
      </c>
      <c r="BH381" s="31"/>
      <c r="BI381" s="31"/>
      <c r="BJ381" s="31"/>
      <c r="BK381" s="34" t="s">
        <v>805</v>
      </c>
      <c r="BL381" s="34"/>
      <c r="BM381" s="52">
        <v>0.70833333333333337</v>
      </c>
      <c r="BN381" s="31"/>
      <c r="BO381" s="34" t="s">
        <v>790</v>
      </c>
      <c r="BP381" s="34"/>
      <c r="BQ381" s="34"/>
      <c r="BR381" s="31" t="s">
        <v>4</v>
      </c>
      <c r="BS381" s="31"/>
      <c r="BT381" s="52">
        <v>0.66666666666666663</v>
      </c>
      <c r="BU381" s="31" t="s">
        <v>793</v>
      </c>
      <c r="BV381" s="31"/>
      <c r="BW381" s="31"/>
      <c r="BX381" s="1" t="s">
        <v>854</v>
      </c>
      <c r="BY381" s="34" t="s">
        <v>877</v>
      </c>
      <c r="BZ381" s="34"/>
      <c r="CA381" s="34" t="s">
        <v>879</v>
      </c>
      <c r="CB381" s="34" t="s">
        <v>4</v>
      </c>
      <c r="CC381" s="31" t="s">
        <v>4</v>
      </c>
      <c r="CD381" s="31"/>
      <c r="CE381" s="31"/>
      <c r="CF381" s="31"/>
      <c r="CG381" s="31" t="s">
        <v>900</v>
      </c>
      <c r="CH381" s="34" t="s">
        <v>1032</v>
      </c>
      <c r="CI381" s="34" t="s">
        <v>793</v>
      </c>
      <c r="CJ381" s="31"/>
      <c r="CK381" s="31"/>
      <c r="CL381" s="31"/>
    </row>
    <row r="382" spans="1:91" ht="18.5" x14ac:dyDescent="0.45">
      <c r="A382" s="77" t="s">
        <v>329</v>
      </c>
      <c r="B382" s="78"/>
      <c r="C382" s="77"/>
      <c r="D382" s="77">
        <v>41402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23">
        <f t="shared" si="31"/>
        <v>41402</v>
      </c>
      <c r="W382" s="12"/>
      <c r="X382" s="23">
        <f t="shared" si="32"/>
        <v>41402</v>
      </c>
      <c r="Y382" s="31"/>
      <c r="Z382" s="31"/>
      <c r="AA382" s="31"/>
      <c r="AB382" s="31"/>
      <c r="AC382" s="31" t="s">
        <v>793</v>
      </c>
      <c r="AD382" s="31"/>
      <c r="AE382" s="31"/>
      <c r="AF382" s="31" t="s">
        <v>793</v>
      </c>
      <c r="AG382" s="31"/>
      <c r="AH382" s="31" t="s">
        <v>793</v>
      </c>
      <c r="AI382" s="31"/>
      <c r="AJ382" s="31"/>
      <c r="AK382" s="31" t="s">
        <v>793</v>
      </c>
      <c r="AL382" s="31"/>
      <c r="AM382" s="31"/>
      <c r="AN382" s="31"/>
      <c r="AO382" s="31" t="s">
        <v>793</v>
      </c>
      <c r="AP382" s="31"/>
      <c r="AQ382" s="31" t="s">
        <v>793</v>
      </c>
      <c r="AR382" s="31"/>
      <c r="AS382" s="31" t="s">
        <v>793</v>
      </c>
      <c r="AT382" s="31"/>
      <c r="AU382" s="31"/>
      <c r="AV382" s="31" t="s">
        <v>793</v>
      </c>
      <c r="AW382" s="31"/>
      <c r="AX382" s="31"/>
      <c r="AY382" s="31" t="s">
        <v>793</v>
      </c>
      <c r="AZ382" s="31"/>
      <c r="BA382" s="31"/>
      <c r="BB382" s="31"/>
      <c r="BC382" s="31" t="s">
        <v>794</v>
      </c>
      <c r="BD382" s="31"/>
      <c r="BE382" s="31" t="s">
        <v>794</v>
      </c>
      <c r="BF382" s="31"/>
      <c r="BG382" s="31" t="s">
        <v>793</v>
      </c>
      <c r="BH382" s="31"/>
      <c r="BI382" s="31"/>
      <c r="BJ382" s="31"/>
      <c r="BK382" s="31"/>
      <c r="BL382" s="31"/>
      <c r="BM382" s="31" t="s">
        <v>793</v>
      </c>
      <c r="BN382" s="31"/>
      <c r="BO382" s="31" t="s">
        <v>793</v>
      </c>
      <c r="BP382" s="31"/>
      <c r="BQ382" s="31"/>
      <c r="BR382" s="31"/>
      <c r="BS382" s="31"/>
      <c r="BT382" s="31" t="s">
        <v>793</v>
      </c>
      <c r="BU382" s="31" t="s">
        <v>793</v>
      </c>
      <c r="BV382" s="31"/>
      <c r="BW382" s="31"/>
      <c r="BX382" s="31"/>
      <c r="BY382" s="31" t="s">
        <v>793</v>
      </c>
      <c r="BZ382" s="31" t="s">
        <v>793</v>
      </c>
      <c r="CA382" s="31" t="s">
        <v>793</v>
      </c>
      <c r="CB382" s="31"/>
      <c r="CC382" s="31"/>
      <c r="CD382" s="31"/>
      <c r="CE382" s="31"/>
      <c r="CF382" s="31"/>
      <c r="CG382" s="31"/>
      <c r="CH382" s="31" t="s">
        <v>793</v>
      </c>
      <c r="CI382" s="31" t="s">
        <v>793</v>
      </c>
      <c r="CJ382" s="31"/>
      <c r="CK382" s="31"/>
      <c r="CL382" s="31"/>
    </row>
    <row r="383" spans="1:91" x14ac:dyDescent="0.35">
      <c r="A383" s="12" t="s">
        <v>894</v>
      </c>
      <c r="B383" s="3" t="s">
        <v>899</v>
      </c>
      <c r="C383" s="2"/>
      <c r="D383" s="2"/>
      <c r="E383" s="12"/>
      <c r="F383" s="12"/>
      <c r="G383" s="12"/>
      <c r="H383" s="12"/>
      <c r="I383" s="12"/>
      <c r="J383" s="2">
        <f>32000</f>
        <v>32000</v>
      </c>
      <c r="K383" s="2">
        <v>32000</v>
      </c>
      <c r="L383" s="12"/>
      <c r="M383" s="14"/>
      <c r="N383" s="14"/>
      <c r="O383" s="14"/>
      <c r="P383" s="14"/>
      <c r="Q383" s="14"/>
      <c r="R383" s="12"/>
      <c r="S383" s="12"/>
      <c r="T383" s="12"/>
      <c r="U383" s="12"/>
      <c r="V383" s="23">
        <f t="shared" si="31"/>
        <v>64000</v>
      </c>
      <c r="W383" s="12"/>
      <c r="X383" s="23">
        <f t="shared" si="32"/>
        <v>64000</v>
      </c>
      <c r="Y383" s="1"/>
      <c r="Z383" s="34"/>
      <c r="AA383" s="34"/>
      <c r="AB383" s="34"/>
      <c r="AC383" s="34"/>
      <c r="AD383" s="34"/>
      <c r="AE383" s="34"/>
      <c r="AF383" s="31"/>
      <c r="AG383" s="31"/>
      <c r="AH383" s="31"/>
      <c r="AI383" s="34"/>
      <c r="AJ383" s="34"/>
      <c r="AK383" s="34"/>
      <c r="AL383" s="34"/>
      <c r="AM383" s="34"/>
      <c r="AN383" s="34"/>
      <c r="AO383" s="31"/>
      <c r="AP383" s="31"/>
      <c r="AQ383" s="31"/>
      <c r="AR383" s="31"/>
      <c r="AS383" s="31"/>
      <c r="AT383" s="31"/>
      <c r="AU383" s="31"/>
      <c r="AV383" s="34" t="s">
        <v>878</v>
      </c>
      <c r="AW383" s="34"/>
      <c r="AX383" s="34"/>
      <c r="AY383" s="34"/>
      <c r="AZ383" s="34"/>
      <c r="BA383" s="34"/>
      <c r="BB383" s="34"/>
      <c r="BC383" s="34" t="s">
        <v>326</v>
      </c>
      <c r="BD383" s="34"/>
      <c r="BE383" s="34"/>
      <c r="BF383" s="34"/>
      <c r="BG383" s="34"/>
      <c r="BH383" s="34"/>
      <c r="BI383" s="31" t="s">
        <v>4</v>
      </c>
      <c r="BJ383" s="31"/>
      <c r="BK383" s="31"/>
      <c r="BL383" s="34" t="s">
        <v>846</v>
      </c>
      <c r="BM383" s="34"/>
      <c r="BN383" s="34"/>
      <c r="BO383" s="34"/>
      <c r="BP383" s="34"/>
      <c r="BQ383" s="34"/>
      <c r="BR383" s="34"/>
      <c r="BS383" s="34"/>
      <c r="BT383" s="34" t="s">
        <v>879</v>
      </c>
      <c r="BU383" s="34"/>
      <c r="BV383" s="34"/>
      <c r="BW383" s="34"/>
      <c r="BX383" s="34"/>
      <c r="BY383" s="34"/>
      <c r="BZ383" s="34"/>
      <c r="CA383" s="34"/>
      <c r="CB383" s="31" t="s">
        <v>4</v>
      </c>
      <c r="CC383" s="31"/>
      <c r="CD383" s="31"/>
      <c r="CE383" s="31"/>
      <c r="CF383" s="31"/>
      <c r="CG383" s="34" t="s">
        <v>168</v>
      </c>
      <c r="CH383" s="46" t="s">
        <v>168</v>
      </c>
      <c r="CI383" s="46"/>
      <c r="CJ383" s="46"/>
      <c r="CK383" s="46"/>
      <c r="CL383" s="46"/>
      <c r="CM383" s="46"/>
    </row>
    <row r="384" spans="1:91" x14ac:dyDescent="0.35">
      <c r="A384" s="12" t="s">
        <v>425</v>
      </c>
      <c r="B384" s="18"/>
      <c r="C384" s="1"/>
      <c r="D384" s="8">
        <v>61275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23">
        <f t="shared" si="31"/>
        <v>61275</v>
      </c>
      <c r="W384" s="12"/>
      <c r="X384" s="12">
        <f t="shared" si="32"/>
        <v>61275</v>
      </c>
      <c r="Y384" s="34"/>
      <c r="Z384" s="34"/>
      <c r="AA384" s="34"/>
      <c r="AB384" s="34"/>
      <c r="AC384" s="34" t="s">
        <v>810</v>
      </c>
      <c r="AD384" s="34"/>
      <c r="AE384" s="34"/>
      <c r="AF384" s="34"/>
      <c r="AG384" s="34"/>
      <c r="AH384" s="34"/>
      <c r="AI384" s="34"/>
      <c r="AJ384" s="34"/>
      <c r="AK384" s="34" t="s">
        <v>793</v>
      </c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 t="s">
        <v>793</v>
      </c>
      <c r="AW384" s="34"/>
      <c r="AX384" s="67" t="s">
        <v>326</v>
      </c>
      <c r="AY384" s="34"/>
      <c r="AZ384" s="34"/>
      <c r="BA384" s="34"/>
      <c r="BB384" s="34"/>
      <c r="BC384" s="34"/>
      <c r="BD384" s="34" t="s">
        <v>326</v>
      </c>
      <c r="BE384" s="34"/>
      <c r="BF384" s="34"/>
      <c r="BG384" s="34"/>
      <c r="BH384" s="34"/>
      <c r="BI384" s="31" t="s">
        <v>4</v>
      </c>
      <c r="BJ384" s="31"/>
      <c r="BK384" s="31"/>
      <c r="BL384" s="31"/>
      <c r="BM384" s="31" t="s">
        <v>793</v>
      </c>
      <c r="BN384" s="31"/>
      <c r="BO384" s="31" t="s">
        <v>793</v>
      </c>
      <c r="BP384" s="31"/>
      <c r="BQ384" s="31"/>
      <c r="BR384" s="31"/>
      <c r="BS384" s="31"/>
      <c r="BT384" s="31" t="s">
        <v>810</v>
      </c>
      <c r="BU384" s="31" t="s">
        <v>810</v>
      </c>
      <c r="BV384" s="31"/>
      <c r="BW384" s="31"/>
      <c r="BX384" s="31"/>
      <c r="BY384" s="31" t="s">
        <v>793</v>
      </c>
      <c r="BZ384" s="31" t="s">
        <v>793</v>
      </c>
      <c r="CA384" s="31" t="s">
        <v>793</v>
      </c>
      <c r="CB384" s="31"/>
      <c r="CC384" s="31"/>
      <c r="CD384" s="31"/>
      <c r="CE384" s="31"/>
      <c r="CF384" s="31"/>
      <c r="CG384" s="31"/>
      <c r="CH384" s="31"/>
      <c r="CI384" s="31" t="s">
        <v>810</v>
      </c>
      <c r="CJ384" s="31"/>
      <c r="CK384" s="31"/>
      <c r="CL384" s="31"/>
    </row>
    <row r="385" spans="1:92" x14ac:dyDescent="0.35">
      <c r="A385" s="12" t="s">
        <v>330</v>
      </c>
      <c r="B385" s="3" t="s">
        <v>851</v>
      </c>
      <c r="C385" s="12"/>
      <c r="D385" s="8">
        <v>62180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23">
        <f t="shared" si="31"/>
        <v>62180</v>
      </c>
      <c r="W385" s="12">
        <f>BU385</f>
        <v>25000</v>
      </c>
      <c r="X385" s="23">
        <f t="shared" si="32"/>
        <v>37180</v>
      </c>
      <c r="Y385" s="31"/>
      <c r="Z385" s="31"/>
      <c r="AA385" s="31"/>
      <c r="AB385" s="31"/>
      <c r="AC385" s="34" t="s">
        <v>805</v>
      </c>
      <c r="AD385" s="34"/>
      <c r="AE385" s="34"/>
      <c r="AF385" s="34"/>
      <c r="AG385" s="34"/>
      <c r="AH385" s="31" t="s">
        <v>4</v>
      </c>
      <c r="AI385" s="31"/>
      <c r="AJ385" s="34" t="s">
        <v>790</v>
      </c>
      <c r="AK385" s="34"/>
      <c r="AL385" s="34"/>
      <c r="AM385" s="31" t="s">
        <v>4</v>
      </c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4">
        <v>15</v>
      </c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1" t="s">
        <v>4</v>
      </c>
      <c r="BS385" s="31"/>
      <c r="BT385" s="31"/>
      <c r="BU385" s="62">
        <v>25000</v>
      </c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</row>
    <row r="386" spans="1:92" x14ac:dyDescent="0.35">
      <c r="A386" s="12" t="s">
        <v>331</v>
      </c>
      <c r="B386" s="3"/>
      <c r="C386" s="8"/>
      <c r="D386" s="8">
        <v>300820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23">
        <f t="shared" si="31"/>
        <v>300820</v>
      </c>
      <c r="W386" s="12"/>
      <c r="X386" s="23">
        <f t="shared" si="32"/>
        <v>300820</v>
      </c>
      <c r="Y386" s="31"/>
      <c r="Z386" s="31"/>
      <c r="AA386" s="31"/>
      <c r="AB386" s="31"/>
      <c r="AC386" s="31" t="s">
        <v>806</v>
      </c>
      <c r="AD386" s="31"/>
      <c r="AE386" s="31"/>
      <c r="AF386" s="31" t="s">
        <v>806</v>
      </c>
      <c r="AG386" s="31"/>
      <c r="AH386" s="31" t="s">
        <v>809</v>
      </c>
      <c r="AI386" s="31" t="s">
        <v>847</v>
      </c>
      <c r="AJ386" s="34" t="s">
        <v>814</v>
      </c>
      <c r="AK386" s="34"/>
      <c r="AL386" s="34"/>
      <c r="AM386" s="34"/>
      <c r="AN386" s="31"/>
      <c r="AO386" s="31" t="s">
        <v>867</v>
      </c>
      <c r="AP386" s="34" t="s">
        <v>839</v>
      </c>
      <c r="AQ386" s="34"/>
      <c r="AR386" s="31" t="s">
        <v>4</v>
      </c>
      <c r="AS386" s="31" t="s">
        <v>806</v>
      </c>
      <c r="AT386" s="31"/>
      <c r="AU386" s="31"/>
      <c r="AV386" s="31" t="s">
        <v>806</v>
      </c>
      <c r="AW386" s="31"/>
      <c r="AX386" s="31"/>
      <c r="AY386" s="31" t="s">
        <v>806</v>
      </c>
      <c r="AZ386" s="31"/>
      <c r="BA386" s="31"/>
      <c r="BB386" s="31"/>
      <c r="BC386" s="31" t="s">
        <v>806</v>
      </c>
      <c r="BD386" s="31"/>
      <c r="BE386" s="34" t="s">
        <v>793</v>
      </c>
      <c r="BF386" s="34"/>
      <c r="BG386" s="34"/>
      <c r="BH386" s="31"/>
      <c r="BI386" s="31"/>
      <c r="BJ386" s="31"/>
      <c r="BK386" s="1" t="s">
        <v>806</v>
      </c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 t="s">
        <v>793</v>
      </c>
      <c r="CB386" s="31"/>
      <c r="CC386" s="31"/>
      <c r="CD386" s="31"/>
      <c r="CE386" s="31"/>
      <c r="CF386" s="31"/>
      <c r="CG386" s="31"/>
      <c r="CH386" s="34" t="s">
        <v>806</v>
      </c>
      <c r="CI386" s="31" t="s">
        <v>793</v>
      </c>
      <c r="CJ386" s="31"/>
      <c r="CK386" s="31"/>
      <c r="CL386" s="31"/>
    </row>
    <row r="387" spans="1:92" x14ac:dyDescent="0.35">
      <c r="A387" s="12" t="s">
        <v>431</v>
      </c>
      <c r="B387" s="3"/>
      <c r="C387" s="8"/>
      <c r="D387" s="8">
        <v>7500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23">
        <f t="shared" si="31"/>
        <v>7500</v>
      </c>
      <c r="W387" s="12"/>
      <c r="X387" s="23">
        <f t="shared" si="32"/>
        <v>7500</v>
      </c>
      <c r="Y387" s="12"/>
      <c r="Z387" s="12"/>
      <c r="AA387" s="12"/>
      <c r="AB387" s="12"/>
      <c r="AC387" s="12"/>
      <c r="AD387" s="12"/>
      <c r="AE387" s="12"/>
      <c r="AF387" s="12"/>
      <c r="AG387" s="12"/>
      <c r="AH387" s="31" t="s">
        <v>793</v>
      </c>
      <c r="AI387" s="31"/>
      <c r="AJ387" s="31" t="s">
        <v>793</v>
      </c>
      <c r="AK387" s="31" t="s">
        <v>793</v>
      </c>
      <c r="AL387" s="31"/>
      <c r="AM387" s="31"/>
      <c r="AN387" s="31"/>
      <c r="AO387" s="31"/>
      <c r="AP387" s="31"/>
      <c r="AQ387" s="31" t="s">
        <v>794</v>
      </c>
      <c r="AR387" s="31"/>
      <c r="AS387" s="31" t="s">
        <v>794</v>
      </c>
      <c r="AT387" s="31"/>
      <c r="AU387" s="31"/>
      <c r="AV387" s="31" t="s">
        <v>794</v>
      </c>
      <c r="AW387" s="31"/>
      <c r="AX387" s="31"/>
      <c r="AY387" s="31" t="s">
        <v>793</v>
      </c>
      <c r="AZ387" s="31"/>
      <c r="BA387" s="31"/>
      <c r="BB387" s="31"/>
      <c r="BC387" s="31" t="s">
        <v>794</v>
      </c>
      <c r="BD387" s="31"/>
      <c r="BE387" s="31" t="s">
        <v>794</v>
      </c>
      <c r="BF387" s="31"/>
      <c r="BG387" s="31" t="s">
        <v>794</v>
      </c>
      <c r="BH387" s="31"/>
      <c r="BI387" s="31"/>
      <c r="BJ387" s="31"/>
      <c r="BK387" s="31"/>
      <c r="BL387" s="31"/>
      <c r="BM387" s="31"/>
      <c r="BN387" s="31"/>
      <c r="BO387" s="31" t="s">
        <v>794</v>
      </c>
      <c r="BP387" s="31"/>
      <c r="BQ387" s="31"/>
      <c r="BR387" s="31"/>
      <c r="BS387" s="31"/>
      <c r="BT387" s="31" t="s">
        <v>794</v>
      </c>
      <c r="BU387" s="31" t="s">
        <v>794</v>
      </c>
      <c r="BV387" s="31"/>
      <c r="BW387" s="31"/>
      <c r="BX387" s="31"/>
      <c r="BY387" s="31" t="s">
        <v>794</v>
      </c>
      <c r="BZ387" s="31" t="s">
        <v>794</v>
      </c>
      <c r="CA387" s="31" t="s">
        <v>794</v>
      </c>
      <c r="CB387" s="31"/>
      <c r="CC387" s="31"/>
      <c r="CD387" s="31"/>
      <c r="CE387" s="31"/>
      <c r="CF387" s="31"/>
      <c r="CG387" s="31"/>
      <c r="CH387" s="31" t="s">
        <v>794</v>
      </c>
      <c r="CI387" s="31" t="s">
        <v>794</v>
      </c>
      <c r="CJ387" s="31"/>
      <c r="CK387" s="31"/>
      <c r="CL387" s="31"/>
    </row>
    <row r="388" spans="1:92" x14ac:dyDescent="0.35">
      <c r="A388" s="12" t="s">
        <v>438</v>
      </c>
      <c r="B388" s="18"/>
      <c r="C388" s="1"/>
      <c r="D388" s="8">
        <v>6565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23">
        <f t="shared" si="31"/>
        <v>6565</v>
      </c>
      <c r="W388" s="12"/>
      <c r="X388" s="12">
        <f t="shared" si="32"/>
        <v>6565</v>
      </c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63">
        <v>0.70833333333333337</v>
      </c>
      <c r="AJ388" s="34" t="s">
        <v>827</v>
      </c>
      <c r="AK388" s="34"/>
      <c r="AL388" s="31" t="s">
        <v>4</v>
      </c>
      <c r="AM388" s="31"/>
      <c r="AN388" s="31"/>
      <c r="AO388" s="34" t="s">
        <v>839</v>
      </c>
      <c r="AP388" s="34"/>
      <c r="AQ388" s="34"/>
      <c r="AR388" s="31" t="s">
        <v>4</v>
      </c>
      <c r="AS388" s="34"/>
      <c r="AT388" s="31" t="s">
        <v>4</v>
      </c>
      <c r="AU388" s="31"/>
      <c r="AV388" s="31" t="s">
        <v>793</v>
      </c>
      <c r="AW388" s="31"/>
      <c r="AX388" s="34" t="s">
        <v>878</v>
      </c>
      <c r="AY388" s="34"/>
      <c r="AZ388" s="34"/>
      <c r="BA388" s="34"/>
      <c r="BB388" s="34"/>
      <c r="BC388" s="31" t="s">
        <v>793</v>
      </c>
      <c r="BD388" s="34" t="s">
        <v>785</v>
      </c>
      <c r="BE388" s="34"/>
      <c r="BF388" s="31" t="s">
        <v>4</v>
      </c>
      <c r="BG388" s="31" t="s">
        <v>793</v>
      </c>
      <c r="BH388" s="31"/>
      <c r="BI388" s="31"/>
      <c r="BJ388" s="31"/>
      <c r="BK388" s="31"/>
      <c r="BL388" s="31"/>
      <c r="BM388" s="31"/>
      <c r="BN388" s="31"/>
      <c r="BO388" s="31" t="s">
        <v>794</v>
      </c>
      <c r="BP388" s="31"/>
      <c r="BQ388" s="31"/>
      <c r="BR388" s="31"/>
      <c r="BS388" s="31"/>
      <c r="BT388" s="31" t="s">
        <v>793</v>
      </c>
      <c r="BU388" s="31" t="s">
        <v>793</v>
      </c>
      <c r="BV388" s="31"/>
      <c r="BW388" s="31"/>
      <c r="BX388" s="31"/>
      <c r="BY388" s="31" t="s">
        <v>793</v>
      </c>
      <c r="BZ388" s="31" t="s">
        <v>793</v>
      </c>
      <c r="CA388" s="31" t="s">
        <v>793</v>
      </c>
      <c r="CB388" s="31"/>
      <c r="CC388" s="31"/>
      <c r="CD388" s="31"/>
      <c r="CE388" s="31"/>
      <c r="CF388" s="31"/>
      <c r="CG388" s="31"/>
      <c r="CH388" s="31" t="s">
        <v>793</v>
      </c>
      <c r="CI388" s="31" t="s">
        <v>794</v>
      </c>
      <c r="CJ388" s="31"/>
      <c r="CK388" s="31"/>
      <c r="CL388" s="31"/>
    </row>
    <row r="389" spans="1:92" x14ac:dyDescent="0.35">
      <c r="A389" s="12" t="s">
        <v>441</v>
      </c>
      <c r="B389" s="18"/>
      <c r="C389" s="1"/>
      <c r="D389" s="8">
        <v>6075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23">
        <f t="shared" si="31"/>
        <v>6075</v>
      </c>
      <c r="W389" s="12"/>
      <c r="X389" s="12">
        <f t="shared" si="32"/>
        <v>6075</v>
      </c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 t="s">
        <v>846</v>
      </c>
      <c r="AJ389" s="34"/>
      <c r="AK389" s="34"/>
      <c r="AL389" s="34"/>
      <c r="AM389" s="34"/>
      <c r="AN389" s="34"/>
      <c r="AO389" s="31" t="s">
        <v>4</v>
      </c>
      <c r="AP389" s="31"/>
      <c r="AQ389" s="31" t="s">
        <v>793</v>
      </c>
      <c r="AR389" s="31"/>
      <c r="AS389" s="31" t="s">
        <v>793</v>
      </c>
      <c r="AT389" s="31"/>
      <c r="AU389" s="31"/>
      <c r="AV389" s="31" t="s">
        <v>793</v>
      </c>
      <c r="AW389" s="31"/>
      <c r="AX389" s="31"/>
      <c r="AY389" s="31" t="s">
        <v>793</v>
      </c>
      <c r="AZ389" s="31"/>
      <c r="BA389" s="31"/>
      <c r="BB389" s="31"/>
      <c r="BC389" s="31" t="s">
        <v>793</v>
      </c>
      <c r="BD389" s="31"/>
      <c r="BE389" s="31" t="s">
        <v>793</v>
      </c>
      <c r="BF389" s="31"/>
      <c r="BG389" s="31" t="s">
        <v>793</v>
      </c>
      <c r="BH389" s="31"/>
      <c r="BI389" s="31"/>
      <c r="BJ389" s="31"/>
      <c r="BK389" s="31"/>
      <c r="BL389" s="31"/>
      <c r="BM389" s="31"/>
      <c r="BN389" s="31"/>
      <c r="BO389" s="34" t="s">
        <v>839</v>
      </c>
      <c r="BP389" s="34"/>
      <c r="BQ389" s="34"/>
      <c r="BR389" s="34"/>
      <c r="BS389" s="34"/>
      <c r="BT389" s="34"/>
      <c r="BU389" s="34"/>
      <c r="BV389" s="34"/>
      <c r="BW389" s="31" t="s">
        <v>4</v>
      </c>
      <c r="BX389" s="31"/>
      <c r="BY389" s="31" t="s">
        <v>793</v>
      </c>
      <c r="BZ389" s="31" t="s">
        <v>793</v>
      </c>
      <c r="CA389" s="31" t="s">
        <v>793</v>
      </c>
      <c r="CB389" s="31"/>
      <c r="CC389" s="31"/>
      <c r="CD389" s="31"/>
      <c r="CE389" s="31"/>
      <c r="CF389" s="31"/>
      <c r="CG389" s="31"/>
      <c r="CH389" s="31" t="s">
        <v>803</v>
      </c>
      <c r="CI389" s="31" t="s">
        <v>803</v>
      </c>
      <c r="CJ389" s="31"/>
      <c r="CK389" s="31"/>
      <c r="CL389" s="31"/>
    </row>
    <row r="390" spans="1:92" x14ac:dyDescent="0.35">
      <c r="A390" s="12" t="s">
        <v>332</v>
      </c>
      <c r="B390" s="3"/>
      <c r="C390" s="8"/>
      <c r="D390" s="8">
        <v>20000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23">
        <f t="shared" si="31"/>
        <v>20000</v>
      </c>
      <c r="W390" s="12"/>
      <c r="X390" s="23">
        <f t="shared" si="32"/>
        <v>20000</v>
      </c>
      <c r="Y390" s="31"/>
      <c r="Z390" s="31"/>
      <c r="AA390" s="31"/>
      <c r="AB390" s="31"/>
      <c r="AC390" s="31" t="s">
        <v>793</v>
      </c>
      <c r="AD390" s="31"/>
      <c r="AE390" s="31"/>
      <c r="AF390" s="31" t="s">
        <v>793</v>
      </c>
      <c r="AG390" s="31"/>
      <c r="AH390" s="31" t="s">
        <v>793</v>
      </c>
      <c r="AI390" s="31"/>
      <c r="AJ390" s="31" t="s">
        <v>793</v>
      </c>
      <c r="AK390" s="31" t="s">
        <v>793</v>
      </c>
      <c r="AL390" s="31"/>
      <c r="AM390" s="31"/>
      <c r="AN390" s="31"/>
      <c r="AO390" s="31"/>
      <c r="AP390" s="31"/>
      <c r="AQ390" s="31" t="s">
        <v>793</v>
      </c>
      <c r="AR390" s="31"/>
      <c r="AS390" s="31" t="s">
        <v>793</v>
      </c>
      <c r="AT390" s="31"/>
      <c r="AU390" s="31"/>
      <c r="AV390" s="31" t="s">
        <v>793</v>
      </c>
      <c r="AW390" s="31"/>
      <c r="AX390" s="31"/>
      <c r="AY390" s="31" t="s">
        <v>803</v>
      </c>
      <c r="AZ390" s="31"/>
      <c r="BA390" s="31"/>
      <c r="BB390" s="31"/>
      <c r="BC390" s="31" t="s">
        <v>793</v>
      </c>
      <c r="BD390" s="31"/>
      <c r="BE390" s="31" t="s">
        <v>793</v>
      </c>
      <c r="BF390" s="31"/>
      <c r="BG390" s="31" t="s">
        <v>793</v>
      </c>
      <c r="BH390" s="31"/>
      <c r="BI390" s="31"/>
      <c r="BJ390" s="31"/>
      <c r="BK390" s="31"/>
      <c r="BL390" s="31"/>
      <c r="BM390" s="31"/>
      <c r="BN390" s="31"/>
      <c r="BO390" s="31" t="s">
        <v>793</v>
      </c>
      <c r="BP390" s="31"/>
      <c r="BQ390" s="31"/>
      <c r="BR390" s="31"/>
      <c r="BS390" s="31"/>
      <c r="BT390" s="31" t="s">
        <v>794</v>
      </c>
      <c r="BU390" s="31"/>
      <c r="BV390" s="31"/>
      <c r="BW390" s="31"/>
      <c r="BX390" s="31"/>
      <c r="BY390" s="31" t="s">
        <v>793</v>
      </c>
      <c r="BZ390" s="31"/>
      <c r="CA390" s="34" t="s">
        <v>886</v>
      </c>
      <c r="CB390" s="34"/>
      <c r="CC390" s="31" t="s">
        <v>4</v>
      </c>
      <c r="CD390" s="31"/>
      <c r="CE390" s="31"/>
      <c r="CF390" s="31"/>
      <c r="CG390" s="31"/>
      <c r="CH390" s="46" t="s">
        <v>326</v>
      </c>
      <c r="CI390" s="46"/>
      <c r="CJ390" s="46"/>
      <c r="CK390" s="46"/>
      <c r="CL390" s="46"/>
      <c r="CM390" s="46"/>
      <c r="CN390" s="46"/>
    </row>
    <row r="391" spans="1:92" x14ac:dyDescent="0.35">
      <c r="A391" s="12" t="s">
        <v>333</v>
      </c>
      <c r="B391" s="3"/>
      <c r="C391" s="8"/>
      <c r="D391" s="8">
        <v>33075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23">
        <f t="shared" si="31"/>
        <v>33075</v>
      </c>
      <c r="W391" s="12"/>
      <c r="X391" s="23">
        <f t="shared" si="32"/>
        <v>33075</v>
      </c>
      <c r="Y391" s="31"/>
      <c r="Z391" s="31"/>
      <c r="AA391" s="31"/>
      <c r="AB391" s="31"/>
      <c r="AC391" s="31" t="s">
        <v>793</v>
      </c>
      <c r="AD391" s="31"/>
      <c r="AE391" s="31"/>
      <c r="AF391" s="34" t="s">
        <v>790</v>
      </c>
      <c r="AG391" s="34"/>
      <c r="AH391" s="34"/>
      <c r="AI391" s="34"/>
      <c r="AJ391" s="34"/>
      <c r="AK391" s="34"/>
      <c r="AL391" s="34"/>
      <c r="AM391" s="31" t="s">
        <v>4</v>
      </c>
      <c r="AN391" s="31"/>
      <c r="AO391" s="31"/>
      <c r="AP391" s="31"/>
      <c r="AQ391" s="31" t="s">
        <v>793</v>
      </c>
      <c r="AR391" s="31"/>
      <c r="AS391" s="31" t="s">
        <v>793</v>
      </c>
      <c r="AT391" s="31"/>
      <c r="AU391" s="31"/>
      <c r="AV391" s="31" t="s">
        <v>793</v>
      </c>
      <c r="AW391" s="31"/>
      <c r="AX391" s="31"/>
      <c r="AY391" s="31" t="s">
        <v>793</v>
      </c>
      <c r="AZ391" s="31"/>
      <c r="BA391" s="31"/>
      <c r="BB391" s="31"/>
      <c r="BC391" s="31" t="s">
        <v>793</v>
      </c>
      <c r="BD391" s="31"/>
      <c r="BE391" s="31" t="s">
        <v>793</v>
      </c>
      <c r="BF391" s="31"/>
      <c r="BG391" s="31" t="s">
        <v>803</v>
      </c>
      <c r="BH391" s="31"/>
      <c r="BI391" s="31"/>
      <c r="BJ391" s="31"/>
      <c r="BK391" s="31"/>
      <c r="BL391" s="31"/>
      <c r="BM391" s="31"/>
      <c r="BN391" s="31"/>
      <c r="BO391" s="31" t="s">
        <v>803</v>
      </c>
      <c r="BP391" s="31"/>
      <c r="BQ391" s="31"/>
      <c r="BR391" s="31"/>
      <c r="BS391" s="31"/>
      <c r="BT391" s="34" t="s">
        <v>870</v>
      </c>
      <c r="BU391" s="34"/>
      <c r="BV391" s="34"/>
      <c r="BW391" s="34"/>
      <c r="BX391" s="31" t="s">
        <v>4</v>
      </c>
      <c r="BY391" s="31" t="s">
        <v>803</v>
      </c>
      <c r="BZ391" s="31"/>
      <c r="CA391" s="31" t="s">
        <v>793</v>
      </c>
      <c r="CB391" s="31"/>
      <c r="CC391" s="31"/>
      <c r="CD391" s="31"/>
      <c r="CE391" s="31"/>
      <c r="CF391" s="31"/>
      <c r="CG391" s="31"/>
      <c r="CH391" s="31"/>
      <c r="CI391" s="31" t="s">
        <v>793</v>
      </c>
      <c r="CJ391" s="31"/>
      <c r="CK391" s="31"/>
      <c r="CL391" s="31"/>
    </row>
    <row r="392" spans="1:92" x14ac:dyDescent="0.35">
      <c r="A392" s="12" t="s">
        <v>334</v>
      </c>
      <c r="B392" s="3"/>
      <c r="C392" s="8"/>
      <c r="D392" s="8">
        <v>19915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23">
        <f t="shared" si="31"/>
        <v>19915</v>
      </c>
      <c r="W392" s="12"/>
      <c r="X392" s="23">
        <f t="shared" si="32"/>
        <v>19915</v>
      </c>
      <c r="Y392" s="31"/>
      <c r="Z392" s="31"/>
      <c r="AA392" s="31"/>
      <c r="AB392" s="31"/>
      <c r="AC392" s="31" t="s">
        <v>793</v>
      </c>
      <c r="AD392" s="31"/>
      <c r="AE392" s="31"/>
      <c r="AF392" s="31" t="s">
        <v>810</v>
      </c>
      <c r="AG392" s="31"/>
      <c r="AH392" s="31" t="s">
        <v>793</v>
      </c>
      <c r="AI392" s="31"/>
      <c r="AJ392" s="31"/>
      <c r="AK392" s="31" t="s">
        <v>793</v>
      </c>
      <c r="AL392" s="31"/>
      <c r="AM392" s="31"/>
      <c r="AN392" s="31"/>
      <c r="AO392" s="31"/>
      <c r="AP392" s="31"/>
      <c r="AQ392" s="31" t="s">
        <v>793</v>
      </c>
      <c r="AR392" s="31"/>
      <c r="AS392" s="31" t="s">
        <v>793</v>
      </c>
      <c r="AT392" s="31"/>
      <c r="AU392" s="31"/>
      <c r="AV392" s="31" t="s">
        <v>810</v>
      </c>
      <c r="AW392" s="31"/>
      <c r="AX392" s="31"/>
      <c r="AY392" s="31" t="s">
        <v>793</v>
      </c>
      <c r="AZ392" s="31"/>
      <c r="BA392" s="31"/>
      <c r="BB392" s="31"/>
      <c r="BC392" s="31" t="s">
        <v>794</v>
      </c>
      <c r="BD392" s="31"/>
      <c r="BE392" s="31" t="s">
        <v>793</v>
      </c>
      <c r="BF392" s="31"/>
      <c r="BG392" s="31" t="s">
        <v>810</v>
      </c>
      <c r="BH392" s="31"/>
      <c r="BI392" s="31"/>
      <c r="BJ392" s="31"/>
      <c r="BK392" s="31"/>
      <c r="BL392" s="31"/>
      <c r="BM392" s="31"/>
      <c r="BN392" s="31"/>
      <c r="BO392" s="31" t="s">
        <v>793</v>
      </c>
      <c r="BP392" s="31"/>
      <c r="BQ392" s="31"/>
      <c r="BR392" s="31"/>
      <c r="BS392" s="31"/>
      <c r="BT392" s="31" t="s">
        <v>810</v>
      </c>
      <c r="BU392" s="31"/>
      <c r="BV392" s="31"/>
      <c r="BW392" s="31"/>
      <c r="BX392" s="31"/>
      <c r="BY392" s="31" t="s">
        <v>810</v>
      </c>
      <c r="BZ392" s="31"/>
      <c r="CA392" s="31" t="s">
        <v>810</v>
      </c>
      <c r="CB392" s="31"/>
      <c r="CC392" s="31"/>
      <c r="CD392" s="31"/>
      <c r="CE392" s="31"/>
      <c r="CF392" s="31"/>
      <c r="CG392" s="31"/>
      <c r="CH392" s="31"/>
      <c r="CI392" s="31" t="s">
        <v>793</v>
      </c>
      <c r="CJ392" s="31"/>
      <c r="CK392" s="31"/>
      <c r="CL392" s="31"/>
    </row>
    <row r="393" spans="1:92" x14ac:dyDescent="0.35">
      <c r="A393" s="12" t="s">
        <v>335</v>
      </c>
      <c r="B393" s="3"/>
      <c r="C393" s="8"/>
      <c r="D393" s="8">
        <v>67712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23">
        <f t="shared" si="31"/>
        <v>67712</v>
      </c>
      <c r="W393" s="12"/>
      <c r="X393" s="23">
        <f t="shared" si="32"/>
        <v>67712</v>
      </c>
      <c r="Y393" s="31"/>
      <c r="Z393" s="31"/>
      <c r="AA393" s="31"/>
      <c r="AB393" s="31"/>
      <c r="AC393" s="31"/>
      <c r="AD393" s="31"/>
      <c r="AE393" s="31"/>
      <c r="AF393" s="31" t="s">
        <v>793</v>
      </c>
      <c r="AG393" s="31"/>
      <c r="AH393" s="31" t="s">
        <v>793</v>
      </c>
      <c r="AI393" s="31"/>
      <c r="AJ393" s="31"/>
      <c r="AK393" s="31" t="s">
        <v>793</v>
      </c>
      <c r="AL393" s="31"/>
      <c r="AM393" s="31"/>
      <c r="AN393" s="31"/>
      <c r="AO393" s="31"/>
      <c r="AP393" s="31"/>
      <c r="AQ393" s="31" t="s">
        <v>793</v>
      </c>
      <c r="AR393" s="31"/>
      <c r="AS393" s="31" t="s">
        <v>793</v>
      </c>
      <c r="AT393" s="31"/>
      <c r="AU393" s="31"/>
      <c r="AV393" s="31" t="s">
        <v>794</v>
      </c>
      <c r="AW393" s="31"/>
      <c r="AX393" s="31"/>
      <c r="AY393" s="34" t="s">
        <v>878</v>
      </c>
      <c r="AZ393" s="34"/>
      <c r="BA393" s="34" t="s">
        <v>900</v>
      </c>
      <c r="BB393" s="34"/>
      <c r="BC393" s="34" t="s">
        <v>794</v>
      </c>
      <c r="BD393" s="31"/>
      <c r="BE393" s="31" t="s">
        <v>793</v>
      </c>
      <c r="BF393" s="31"/>
      <c r="BG393" s="31" t="s">
        <v>793</v>
      </c>
      <c r="BH393" s="31"/>
      <c r="BI393" s="31"/>
      <c r="BJ393" s="31"/>
      <c r="BK393" s="31"/>
      <c r="BL393" s="31"/>
      <c r="BM393" s="31"/>
      <c r="BN393" s="31"/>
      <c r="BO393" s="31" t="s">
        <v>793</v>
      </c>
      <c r="BP393" s="31"/>
      <c r="BQ393" s="31"/>
      <c r="BR393" s="31"/>
      <c r="BS393" s="31"/>
      <c r="BT393" s="31" t="s">
        <v>793</v>
      </c>
      <c r="BU393" s="31"/>
      <c r="BV393" s="31"/>
      <c r="BW393" s="31"/>
      <c r="BX393" s="31"/>
      <c r="BY393" s="31"/>
      <c r="BZ393" s="31"/>
      <c r="CA393" s="31" t="s">
        <v>793</v>
      </c>
      <c r="CB393" s="31"/>
      <c r="CC393" s="31"/>
      <c r="CD393" s="31"/>
      <c r="CE393" s="31"/>
      <c r="CF393" s="31"/>
      <c r="CG393" s="31"/>
      <c r="CH393" s="31"/>
      <c r="CI393" s="31" t="s">
        <v>793</v>
      </c>
      <c r="CJ393" s="31"/>
      <c r="CK393" s="31"/>
      <c r="CL393" s="31"/>
    </row>
    <row r="394" spans="1:92" x14ac:dyDescent="0.35">
      <c r="A394" s="12" t="s">
        <v>336</v>
      </c>
      <c r="B394" s="3"/>
      <c r="C394" s="12"/>
      <c r="D394" s="12">
        <v>43285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23">
        <f t="shared" si="31"/>
        <v>43285</v>
      </c>
      <c r="W394" s="12"/>
      <c r="X394" s="23">
        <f t="shared" si="32"/>
        <v>43285</v>
      </c>
      <c r="Y394" s="1" t="s">
        <v>782</v>
      </c>
      <c r="Z394" s="31" t="s">
        <v>4</v>
      </c>
      <c r="AA394" s="31"/>
      <c r="AB394" s="31"/>
      <c r="AC394" s="34" t="s">
        <v>784</v>
      </c>
      <c r="AD394" s="34"/>
      <c r="AE394" s="34"/>
      <c r="AF394" s="34" t="s">
        <v>825</v>
      </c>
      <c r="AG394" s="34"/>
      <c r="AH394" s="34"/>
      <c r="AI394" s="31" t="s">
        <v>4</v>
      </c>
      <c r="AJ394" s="34" t="s">
        <v>827</v>
      </c>
      <c r="AK394" s="34"/>
      <c r="AL394" s="34" t="s">
        <v>846</v>
      </c>
      <c r="AM394" s="34"/>
      <c r="AN394" s="34"/>
      <c r="AO394" s="31" t="s">
        <v>793</v>
      </c>
      <c r="AP394" s="34" t="s">
        <v>870</v>
      </c>
      <c r="AQ394" s="34"/>
      <c r="AR394" s="34"/>
      <c r="AS394" s="34" t="s">
        <v>877</v>
      </c>
      <c r="AT394" s="34"/>
      <c r="AU394" s="34"/>
      <c r="AV394" s="31" t="s">
        <v>809</v>
      </c>
      <c r="AW394" s="31"/>
      <c r="AX394" s="34" t="s">
        <v>896</v>
      </c>
      <c r="AY394" s="34"/>
      <c r="AZ394" s="31" t="s">
        <v>4</v>
      </c>
      <c r="BA394" s="31"/>
      <c r="BB394" s="31"/>
      <c r="BC394" s="34" t="s">
        <v>782</v>
      </c>
      <c r="BD394" s="34"/>
      <c r="BE394" s="34" t="s">
        <v>785</v>
      </c>
      <c r="BF394" s="63">
        <v>0.70833333333333337</v>
      </c>
      <c r="BG394" s="63">
        <v>0.75</v>
      </c>
      <c r="BH394" s="31" t="s">
        <v>4</v>
      </c>
      <c r="BI394" s="31"/>
      <c r="BJ394" s="31"/>
      <c r="BK394" s="31"/>
      <c r="BL394" s="34" t="s">
        <v>825</v>
      </c>
      <c r="BM394" s="34"/>
      <c r="BN394" s="31" t="s">
        <v>4</v>
      </c>
      <c r="BO394" s="31" t="s">
        <v>794</v>
      </c>
      <c r="BP394" s="31"/>
      <c r="BQ394" s="34" t="s">
        <v>814</v>
      </c>
      <c r="BR394" s="34"/>
      <c r="BS394" s="34"/>
      <c r="BT394" s="31" t="s">
        <v>809</v>
      </c>
      <c r="BU394" s="31"/>
      <c r="BV394" s="31"/>
      <c r="BW394" s="31"/>
      <c r="BX394" s="31"/>
      <c r="BY394" s="31"/>
      <c r="BZ394" s="31"/>
      <c r="CA394" s="31" t="s">
        <v>793</v>
      </c>
      <c r="CB394" s="31"/>
      <c r="CC394" s="31"/>
      <c r="CD394" s="31"/>
      <c r="CE394" s="31"/>
      <c r="CF394" s="31"/>
      <c r="CG394" s="31"/>
      <c r="CH394" s="31"/>
      <c r="CI394" s="46" t="s">
        <v>783</v>
      </c>
      <c r="CJ394" s="46"/>
      <c r="CK394" s="46"/>
      <c r="CL394" s="31" t="s">
        <v>4</v>
      </c>
    </row>
    <row r="395" spans="1:92" x14ac:dyDescent="0.35">
      <c r="A395" s="12" t="s">
        <v>337</v>
      </c>
      <c r="B395" s="3"/>
      <c r="C395" s="12"/>
      <c r="D395" s="12">
        <v>1995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23">
        <f t="shared" ref="V395:V426" si="33">SUM(D395:U395)</f>
        <v>1995</v>
      </c>
      <c r="W395" s="12"/>
      <c r="X395" s="23">
        <f t="shared" ref="X395:X426" si="34">V395-W395</f>
        <v>1995</v>
      </c>
      <c r="Y395" s="31"/>
      <c r="Z395" s="31"/>
      <c r="AA395" s="31"/>
      <c r="AB395" s="31"/>
      <c r="AC395" s="31" t="s">
        <v>793</v>
      </c>
      <c r="AD395" s="31"/>
      <c r="AE395" s="31"/>
      <c r="AF395" s="31" t="s">
        <v>793</v>
      </c>
      <c r="AG395" s="31"/>
      <c r="AH395" s="31" t="s">
        <v>793</v>
      </c>
      <c r="AI395" s="31"/>
      <c r="AJ395" s="31"/>
      <c r="AK395" s="31" t="s">
        <v>793</v>
      </c>
      <c r="AL395" s="31"/>
      <c r="AM395" s="31"/>
      <c r="AN395" s="31"/>
      <c r="AO395" s="31" t="s">
        <v>793</v>
      </c>
      <c r="AP395" s="31"/>
      <c r="AQ395" s="31" t="s">
        <v>793</v>
      </c>
      <c r="AR395" s="31"/>
      <c r="AS395" s="31" t="s">
        <v>793</v>
      </c>
      <c r="AT395" s="31"/>
      <c r="AU395" s="31"/>
      <c r="AV395" s="31" t="s">
        <v>794</v>
      </c>
      <c r="AW395" s="31"/>
      <c r="AX395" s="31"/>
      <c r="AY395" s="31" t="s">
        <v>794</v>
      </c>
      <c r="AZ395" s="31"/>
      <c r="BA395" s="31"/>
      <c r="BB395" s="31"/>
      <c r="BC395" s="31" t="s">
        <v>793</v>
      </c>
      <c r="BD395" s="31"/>
      <c r="BE395" s="31" t="s">
        <v>794</v>
      </c>
      <c r="BF395" s="31"/>
      <c r="BG395" s="31" t="s">
        <v>794</v>
      </c>
      <c r="BH395" s="31"/>
      <c r="BI395" s="31"/>
      <c r="BJ395" s="31"/>
      <c r="BK395" s="31"/>
      <c r="BL395" s="31"/>
      <c r="BM395" s="31"/>
      <c r="BN395" s="31"/>
      <c r="BO395" s="31" t="s">
        <v>810</v>
      </c>
      <c r="BP395" s="31"/>
      <c r="BQ395" s="31"/>
      <c r="BR395" s="31"/>
      <c r="BS395" s="31"/>
      <c r="BT395" s="31" t="s">
        <v>793</v>
      </c>
      <c r="BU395" s="31"/>
      <c r="BV395" s="31"/>
      <c r="BW395" s="31"/>
      <c r="BX395" s="31"/>
      <c r="BY395" s="31"/>
      <c r="BZ395" s="31"/>
      <c r="CA395" s="31" t="s">
        <v>794</v>
      </c>
      <c r="CB395" s="31"/>
      <c r="CC395" s="31"/>
      <c r="CD395" s="31"/>
      <c r="CE395" s="31"/>
      <c r="CF395" s="31"/>
      <c r="CG395" s="31"/>
      <c r="CH395" s="31"/>
      <c r="CI395" s="31" t="s">
        <v>793</v>
      </c>
      <c r="CJ395" s="31"/>
      <c r="CK395" s="31"/>
      <c r="CL395" s="31"/>
    </row>
    <row r="396" spans="1:92" ht="18.5" x14ac:dyDescent="0.45">
      <c r="A396" s="77" t="s">
        <v>339</v>
      </c>
      <c r="B396" s="78"/>
      <c r="C396" s="77"/>
      <c r="D396" s="77">
        <v>28000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23">
        <f t="shared" si="33"/>
        <v>28000</v>
      </c>
      <c r="W396" s="12"/>
      <c r="X396" s="23">
        <f t="shared" si="34"/>
        <v>28000</v>
      </c>
      <c r="Y396" s="1" t="s">
        <v>784</v>
      </c>
      <c r="Z396" s="34"/>
      <c r="AA396" s="34"/>
      <c r="AB396" s="34"/>
      <c r="AC396" s="34"/>
      <c r="AD396" s="34"/>
      <c r="AE396" s="34"/>
      <c r="AF396" s="31" t="s">
        <v>803</v>
      </c>
      <c r="AG396" s="31"/>
      <c r="AH396" s="31" t="s">
        <v>803</v>
      </c>
      <c r="AI396" s="34" t="s">
        <v>846</v>
      </c>
      <c r="AJ396" s="34"/>
      <c r="AK396" s="34"/>
      <c r="AL396" s="34"/>
      <c r="AM396" s="34"/>
      <c r="AN396" s="34"/>
      <c r="AO396" s="31" t="s">
        <v>803</v>
      </c>
      <c r="AP396" s="31"/>
      <c r="AQ396" s="31" t="s">
        <v>803</v>
      </c>
      <c r="AR396" s="31"/>
      <c r="AS396" s="31" t="s">
        <v>793</v>
      </c>
      <c r="AT396" s="31"/>
      <c r="AU396" s="31"/>
      <c r="AV396" s="31" t="s">
        <v>803</v>
      </c>
      <c r="AW396" s="31"/>
      <c r="AX396" s="31"/>
      <c r="AY396" s="31" t="s">
        <v>803</v>
      </c>
      <c r="AZ396" s="31"/>
      <c r="BA396" s="31"/>
      <c r="BB396" s="31"/>
      <c r="BC396" s="31" t="s">
        <v>803</v>
      </c>
      <c r="BD396" s="31"/>
      <c r="BE396" s="31" t="s">
        <v>803</v>
      </c>
      <c r="BF396" s="31"/>
      <c r="BG396" s="31" t="s">
        <v>803</v>
      </c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 t="s">
        <v>803</v>
      </c>
      <c r="BU396" s="31"/>
      <c r="BV396" s="31"/>
      <c r="BW396" s="31"/>
      <c r="BX396" s="31"/>
      <c r="BY396" s="31"/>
      <c r="BZ396" s="31"/>
      <c r="CA396" s="31" t="s">
        <v>803</v>
      </c>
      <c r="CB396" s="31"/>
      <c r="CC396" s="31"/>
      <c r="CD396" s="31"/>
      <c r="CE396" s="31"/>
      <c r="CF396" s="31"/>
      <c r="CG396" s="31"/>
      <c r="CH396" s="31"/>
      <c r="CI396" s="31" t="s">
        <v>803</v>
      </c>
      <c r="CJ396" s="31"/>
      <c r="CK396" s="31"/>
      <c r="CL396" s="31"/>
    </row>
    <row r="397" spans="1:92" x14ac:dyDescent="0.35">
      <c r="A397" s="12" t="s">
        <v>340</v>
      </c>
      <c r="B397" s="3"/>
      <c r="C397" s="12"/>
      <c r="D397" s="12">
        <v>33892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23">
        <f t="shared" si="33"/>
        <v>33892</v>
      </c>
      <c r="W397" s="12"/>
      <c r="X397" s="23">
        <f t="shared" si="34"/>
        <v>33892</v>
      </c>
      <c r="Y397" s="31"/>
      <c r="Z397" s="31"/>
      <c r="AA397" s="31"/>
      <c r="AB397" s="31"/>
      <c r="AC397" s="31"/>
      <c r="AD397" s="31"/>
      <c r="AE397" s="31"/>
      <c r="AF397" s="31" t="s">
        <v>794</v>
      </c>
      <c r="AG397" s="31"/>
      <c r="AH397" s="31" t="s">
        <v>836</v>
      </c>
      <c r="AI397" s="31"/>
      <c r="AJ397" s="31"/>
      <c r="AK397" s="31" t="s">
        <v>794</v>
      </c>
      <c r="AL397" s="31"/>
      <c r="AM397" s="31"/>
      <c r="AN397" s="31"/>
      <c r="AO397" s="31" t="s">
        <v>794</v>
      </c>
      <c r="AP397" s="31"/>
      <c r="AQ397" s="31" t="s">
        <v>794</v>
      </c>
      <c r="AR397" s="31"/>
      <c r="AS397" s="31" t="s">
        <v>794</v>
      </c>
      <c r="AT397" s="31"/>
      <c r="AU397" s="31"/>
      <c r="AV397" s="31" t="s">
        <v>794</v>
      </c>
      <c r="AW397" s="31"/>
      <c r="AX397" s="31"/>
      <c r="AY397" s="31" t="s">
        <v>794</v>
      </c>
      <c r="AZ397" s="31"/>
      <c r="BA397" s="31"/>
      <c r="BB397" s="31"/>
      <c r="BC397" s="31" t="s">
        <v>794</v>
      </c>
      <c r="BD397" s="31"/>
      <c r="BE397" s="31" t="s">
        <v>794</v>
      </c>
      <c r="BF397" s="31"/>
      <c r="BG397" s="31" t="s">
        <v>794</v>
      </c>
      <c r="BH397" s="31"/>
      <c r="BI397" s="31"/>
      <c r="BJ397" s="31"/>
      <c r="BK397" s="31"/>
      <c r="BL397" s="31"/>
      <c r="BM397" s="31"/>
      <c r="BN397" s="31"/>
      <c r="BO397" s="31" t="s">
        <v>794</v>
      </c>
      <c r="BP397" s="31"/>
      <c r="BQ397" s="31"/>
      <c r="BR397" s="31"/>
      <c r="BS397" s="31"/>
      <c r="BT397" s="31" t="s">
        <v>794</v>
      </c>
      <c r="BU397" s="31"/>
      <c r="BV397" s="31"/>
      <c r="BW397" s="31"/>
      <c r="BX397" s="31"/>
      <c r="BY397" s="31"/>
      <c r="BZ397" s="31"/>
      <c r="CA397" s="31" t="s">
        <v>794</v>
      </c>
      <c r="CB397" s="31"/>
      <c r="CC397" s="31"/>
      <c r="CD397" s="31"/>
      <c r="CE397" s="31"/>
      <c r="CF397" s="31"/>
      <c r="CG397" s="31"/>
      <c r="CH397" s="31"/>
      <c r="CI397" s="31" t="s">
        <v>794</v>
      </c>
      <c r="CJ397" s="31"/>
      <c r="CK397" s="31"/>
      <c r="CL397" s="31"/>
    </row>
    <row r="398" spans="1:92" ht="18.5" x14ac:dyDescent="0.45">
      <c r="A398" s="77" t="s">
        <v>341</v>
      </c>
      <c r="B398" s="78"/>
      <c r="C398" s="77"/>
      <c r="D398" s="77">
        <v>9008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23">
        <f t="shared" si="33"/>
        <v>9008</v>
      </c>
      <c r="W398" s="12"/>
      <c r="X398" s="23">
        <f t="shared" si="34"/>
        <v>9008</v>
      </c>
      <c r="Y398" s="14"/>
      <c r="Z398" s="31"/>
      <c r="AA398" s="14"/>
      <c r="AB398" s="14"/>
      <c r="AC398" s="14" t="s">
        <v>803</v>
      </c>
      <c r="AD398" s="14"/>
      <c r="AE398" s="14"/>
      <c r="AF398" s="14" t="s">
        <v>793</v>
      </c>
      <c r="AG398" s="14"/>
      <c r="AH398" s="14" t="s">
        <v>837</v>
      </c>
      <c r="AI398" s="31"/>
      <c r="AJ398" s="31"/>
      <c r="AK398" s="34" t="s">
        <v>845</v>
      </c>
      <c r="AL398" s="34"/>
      <c r="AM398" s="34"/>
      <c r="AN398" s="34"/>
      <c r="AO398" s="34"/>
      <c r="AP398" s="31" t="s">
        <v>4</v>
      </c>
      <c r="AQ398" s="31" t="s">
        <v>803</v>
      </c>
      <c r="AR398" s="31"/>
      <c r="AS398" s="31" t="s">
        <v>803</v>
      </c>
      <c r="AT398" s="31"/>
      <c r="AU398" s="31"/>
      <c r="AV398" s="31" t="s">
        <v>803</v>
      </c>
      <c r="AW398" s="31"/>
      <c r="AX398" s="31"/>
      <c r="AY398" s="31" t="s">
        <v>794</v>
      </c>
      <c r="AZ398" s="31"/>
      <c r="BA398" s="31"/>
      <c r="BB398" s="31"/>
      <c r="BC398" s="31" t="s">
        <v>793</v>
      </c>
      <c r="BD398" s="31"/>
      <c r="BE398" s="31" t="s">
        <v>793</v>
      </c>
      <c r="BF398" s="31"/>
      <c r="BG398" s="31" t="s">
        <v>793</v>
      </c>
      <c r="BH398" s="31"/>
      <c r="BI398" s="31"/>
      <c r="BJ398" s="31"/>
      <c r="BK398" s="31"/>
      <c r="BL398" s="31"/>
      <c r="BM398" s="31"/>
      <c r="BN398" s="31"/>
      <c r="BO398" s="31" t="s">
        <v>794</v>
      </c>
      <c r="BP398" s="31"/>
      <c r="BQ398" s="31"/>
      <c r="BR398" s="31"/>
      <c r="BS398" s="31"/>
      <c r="BT398" s="31" t="s">
        <v>794</v>
      </c>
      <c r="BU398" s="31"/>
      <c r="BV398" s="31"/>
      <c r="BW398" s="31"/>
      <c r="BX398" s="31"/>
      <c r="BY398" s="31"/>
      <c r="BZ398" s="31"/>
      <c r="CA398" s="31" t="s">
        <v>794</v>
      </c>
      <c r="CB398" s="31"/>
      <c r="CC398" s="31"/>
      <c r="CD398" s="31"/>
      <c r="CE398" s="31"/>
      <c r="CF398" s="31"/>
      <c r="CG398" s="31"/>
      <c r="CH398" s="31"/>
      <c r="CI398" s="31" t="s">
        <v>794</v>
      </c>
      <c r="CJ398" s="31"/>
      <c r="CK398" s="31"/>
      <c r="CL398" s="31"/>
    </row>
    <row r="399" spans="1:92" x14ac:dyDescent="0.35">
      <c r="A399" s="12" t="s">
        <v>478</v>
      </c>
      <c r="B399" s="18"/>
      <c r="C399" s="12"/>
      <c r="D399" s="12">
        <v>7600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23">
        <f t="shared" si="33"/>
        <v>7600</v>
      </c>
      <c r="W399" s="12"/>
      <c r="X399" s="12">
        <f t="shared" si="34"/>
        <v>7600</v>
      </c>
      <c r="Y399" s="14"/>
      <c r="Z399" s="14"/>
      <c r="AA399" s="14"/>
      <c r="AB399" s="14"/>
      <c r="AC399" s="14"/>
      <c r="AD399" s="14"/>
      <c r="AE399" s="14"/>
      <c r="AF399" s="14"/>
      <c r="AG399" s="14"/>
      <c r="AH399" s="31"/>
      <c r="AI399" s="31"/>
      <c r="AJ399" s="31"/>
      <c r="AK399" s="31"/>
      <c r="AL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</row>
    <row r="400" spans="1:92" ht="18.5" x14ac:dyDescent="0.45">
      <c r="A400" s="77" t="s">
        <v>343</v>
      </c>
      <c r="B400" s="78"/>
      <c r="C400" s="77"/>
      <c r="D400" s="77">
        <v>13705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23">
        <f t="shared" si="33"/>
        <v>13705</v>
      </c>
      <c r="W400" s="12"/>
      <c r="X400" s="23">
        <f t="shared" si="34"/>
        <v>13705</v>
      </c>
      <c r="Y400" s="31"/>
      <c r="Z400" s="31"/>
      <c r="AA400" s="31"/>
      <c r="AB400" s="31"/>
      <c r="AC400" s="31" t="s">
        <v>794</v>
      </c>
      <c r="AD400" s="31"/>
      <c r="AE400" s="31"/>
      <c r="AF400" s="31" t="s">
        <v>794</v>
      </c>
      <c r="AG400" s="31"/>
      <c r="AH400" s="31" t="s">
        <v>794</v>
      </c>
      <c r="AI400" s="31"/>
      <c r="AJ400" s="31"/>
      <c r="AK400" s="31" t="s">
        <v>794</v>
      </c>
      <c r="AL400" s="31"/>
      <c r="AM400" s="31"/>
      <c r="AN400" s="31"/>
      <c r="AO400" s="31" t="s">
        <v>794</v>
      </c>
      <c r="AP400" s="31"/>
      <c r="AQ400" s="31" t="s">
        <v>794</v>
      </c>
      <c r="AR400" s="31"/>
      <c r="AS400" s="31" t="s">
        <v>794</v>
      </c>
      <c r="AT400" s="31"/>
      <c r="AU400" s="31"/>
      <c r="AV400" s="31" t="s">
        <v>794</v>
      </c>
      <c r="AW400" s="31"/>
      <c r="AX400" s="31"/>
      <c r="AY400" s="31" t="s">
        <v>794</v>
      </c>
      <c r="AZ400" s="31"/>
      <c r="BA400" s="31"/>
      <c r="BB400" s="31"/>
      <c r="BC400" s="31" t="s">
        <v>794</v>
      </c>
      <c r="BD400" s="31"/>
      <c r="BE400" s="31" t="s">
        <v>794</v>
      </c>
      <c r="BF400" s="31"/>
      <c r="BG400" s="31" t="s">
        <v>794</v>
      </c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 t="s">
        <v>794</v>
      </c>
      <c r="BU400" s="31"/>
      <c r="BV400" s="31"/>
      <c r="BW400" s="31"/>
      <c r="BX400" s="31"/>
      <c r="BY400" s="31"/>
      <c r="BZ400" s="31"/>
      <c r="CA400" s="31" t="s">
        <v>794</v>
      </c>
      <c r="CB400" s="31"/>
      <c r="CC400" s="31"/>
      <c r="CD400" s="31"/>
      <c r="CE400" s="31"/>
      <c r="CF400" s="31"/>
      <c r="CG400" s="31"/>
      <c r="CH400" s="31"/>
      <c r="CI400" s="31" t="s">
        <v>794</v>
      </c>
      <c r="CJ400" s="31"/>
      <c r="CK400" s="31"/>
      <c r="CL400" s="31"/>
    </row>
    <row r="401" spans="1:92" ht="18.5" x14ac:dyDescent="0.45">
      <c r="A401" s="77" t="s">
        <v>479</v>
      </c>
      <c r="B401" s="78" t="s">
        <v>899</v>
      </c>
      <c r="C401" s="77"/>
      <c r="D401" s="77">
        <v>2675</v>
      </c>
      <c r="E401" s="12"/>
      <c r="F401" s="12"/>
      <c r="G401" s="12"/>
      <c r="H401" s="12"/>
      <c r="I401" s="12"/>
      <c r="J401" s="2">
        <v>85000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23">
        <f t="shared" si="33"/>
        <v>87675</v>
      </c>
      <c r="W401" s="12">
        <f>AV401</f>
        <v>85000</v>
      </c>
      <c r="X401" s="23">
        <f t="shared" si="34"/>
        <v>2675</v>
      </c>
      <c r="Y401" s="1"/>
      <c r="Z401" s="34"/>
      <c r="AA401" s="31"/>
      <c r="AB401" s="31"/>
      <c r="AC401" s="31"/>
      <c r="AD401" s="31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1"/>
      <c r="AP401" s="31"/>
      <c r="AQ401" s="31"/>
      <c r="AR401" s="31"/>
      <c r="AS401" s="31"/>
      <c r="AT401" s="31"/>
      <c r="AU401" s="31"/>
      <c r="AV401" s="62">
        <v>85000</v>
      </c>
      <c r="AX401" s="31"/>
      <c r="AY401" s="31"/>
      <c r="AZ401" s="31"/>
      <c r="BA401" s="31"/>
      <c r="BB401" s="31"/>
      <c r="BC401" s="31" t="s">
        <v>794</v>
      </c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 t="s">
        <v>794</v>
      </c>
      <c r="CJ401" s="31"/>
      <c r="CK401" s="31"/>
      <c r="CL401" s="31"/>
    </row>
    <row r="402" spans="1:92" x14ac:dyDescent="0.35">
      <c r="A402" s="12" t="s">
        <v>345</v>
      </c>
      <c r="B402" s="3"/>
      <c r="C402" s="12"/>
      <c r="D402" s="12">
        <v>26232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23">
        <f t="shared" si="33"/>
        <v>26232</v>
      </c>
      <c r="W402" s="12"/>
      <c r="X402" s="23">
        <f t="shared" si="34"/>
        <v>26232</v>
      </c>
      <c r="Y402" s="14"/>
      <c r="Z402" s="31"/>
      <c r="AA402" s="14"/>
      <c r="AB402" s="14"/>
      <c r="AC402" s="14"/>
      <c r="AD402" s="14"/>
      <c r="AE402" s="14"/>
      <c r="AF402" s="14"/>
      <c r="AG402" s="14"/>
      <c r="AH402" s="14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</row>
    <row r="403" spans="1:92" x14ac:dyDescent="0.35">
      <c r="A403" s="12" t="s">
        <v>346</v>
      </c>
      <c r="B403" s="3"/>
      <c r="C403" s="12"/>
      <c r="D403" s="12">
        <v>24870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23">
        <f t="shared" si="33"/>
        <v>24870</v>
      </c>
      <c r="W403" s="12"/>
      <c r="X403" s="23">
        <f t="shared" si="34"/>
        <v>24870</v>
      </c>
      <c r="Y403" s="31"/>
      <c r="Z403" s="31"/>
      <c r="AA403" s="31"/>
      <c r="AB403" s="31"/>
      <c r="AC403" s="31" t="s">
        <v>793</v>
      </c>
      <c r="AD403" s="31"/>
      <c r="AE403" s="31"/>
      <c r="AF403" s="31" t="s">
        <v>793</v>
      </c>
      <c r="AG403" s="31"/>
      <c r="AH403" s="31" t="s">
        <v>793</v>
      </c>
      <c r="AI403" s="31"/>
      <c r="AJ403" s="31"/>
      <c r="AK403" s="34" t="s">
        <v>814</v>
      </c>
      <c r="AL403" s="34"/>
      <c r="AM403" s="34"/>
      <c r="AN403" s="31" t="s">
        <v>4</v>
      </c>
      <c r="AO403" s="31" t="s">
        <v>793</v>
      </c>
      <c r="AP403" s="31"/>
      <c r="AQ403" s="31" t="s">
        <v>793</v>
      </c>
      <c r="AR403" s="31"/>
      <c r="AS403" s="31" t="s">
        <v>793</v>
      </c>
      <c r="AT403" s="31"/>
      <c r="AU403" s="31"/>
      <c r="AV403" s="31" t="s">
        <v>793</v>
      </c>
      <c r="AW403" s="31"/>
      <c r="AX403" s="31"/>
      <c r="AY403" s="31" t="s">
        <v>793</v>
      </c>
      <c r="AZ403" s="31"/>
      <c r="BA403" s="31"/>
      <c r="BB403" s="31"/>
      <c r="BC403" s="31" t="s">
        <v>793</v>
      </c>
      <c r="BD403" s="31"/>
      <c r="BE403" s="31" t="s">
        <v>793</v>
      </c>
      <c r="BF403" s="31"/>
      <c r="BG403" s="31" t="s">
        <v>793</v>
      </c>
      <c r="BH403" s="31"/>
      <c r="BI403" s="31"/>
      <c r="BJ403" s="31"/>
      <c r="BK403" s="31"/>
      <c r="BL403" s="31"/>
      <c r="BM403" s="31" t="s">
        <v>793</v>
      </c>
      <c r="BN403" s="31"/>
      <c r="BO403" s="31"/>
      <c r="BP403" s="31"/>
      <c r="BQ403" s="31"/>
      <c r="BR403" s="31"/>
      <c r="BS403" s="31"/>
      <c r="BT403" s="31" t="s">
        <v>793</v>
      </c>
      <c r="BU403" s="31"/>
      <c r="BV403" s="31"/>
      <c r="BW403" s="31"/>
      <c r="BX403" s="31"/>
      <c r="BY403" s="31"/>
      <c r="BZ403" s="31"/>
      <c r="CA403" s="31" t="s">
        <v>793</v>
      </c>
      <c r="CB403" s="31"/>
      <c r="CC403" s="31"/>
      <c r="CD403" s="31"/>
      <c r="CE403" s="31"/>
      <c r="CF403" s="31"/>
      <c r="CG403" s="31"/>
      <c r="CH403" s="31"/>
      <c r="CI403" s="31" t="s">
        <v>793</v>
      </c>
      <c r="CJ403" s="31"/>
      <c r="CK403" s="31"/>
      <c r="CL403" s="31"/>
    </row>
    <row r="404" spans="1:92" x14ac:dyDescent="0.35">
      <c r="A404" s="12" t="s">
        <v>487</v>
      </c>
      <c r="B404" s="3"/>
      <c r="C404" s="12"/>
      <c r="D404" s="12">
        <v>129500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23">
        <f t="shared" si="33"/>
        <v>129500</v>
      </c>
      <c r="W404" s="12"/>
      <c r="X404" s="23">
        <f t="shared" si="34"/>
        <v>129500</v>
      </c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 t="s">
        <v>796</v>
      </c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 t="s">
        <v>809</v>
      </c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 t="s">
        <v>794</v>
      </c>
      <c r="CJ404" s="31"/>
      <c r="CK404" s="31"/>
      <c r="CL404" s="31"/>
    </row>
    <row r="405" spans="1:92" x14ac:dyDescent="0.35">
      <c r="A405" s="12" t="s">
        <v>347</v>
      </c>
      <c r="B405" s="3"/>
      <c r="C405" s="12"/>
      <c r="D405" s="12">
        <v>118350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23">
        <f t="shared" si="33"/>
        <v>118350</v>
      </c>
      <c r="W405" s="12"/>
      <c r="X405" s="23">
        <f t="shared" si="34"/>
        <v>118350</v>
      </c>
      <c r="Y405" s="8" t="s">
        <v>786</v>
      </c>
      <c r="Z405" s="31"/>
      <c r="AA405" s="31"/>
      <c r="AB405" s="31"/>
      <c r="AC405" s="31" t="s">
        <v>808</v>
      </c>
      <c r="AD405" s="31"/>
      <c r="AE405" s="31"/>
      <c r="AF405" s="31" t="s">
        <v>830</v>
      </c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 t="s">
        <v>793</v>
      </c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 t="s">
        <v>793</v>
      </c>
      <c r="CB405" s="31"/>
      <c r="CC405" s="31"/>
      <c r="CD405" s="31"/>
      <c r="CE405" s="31"/>
      <c r="CF405" s="31"/>
      <c r="CG405" s="31"/>
      <c r="CH405" s="31"/>
      <c r="CI405" s="46" t="s">
        <v>785</v>
      </c>
      <c r="CJ405" s="46"/>
      <c r="CK405" s="31" t="s">
        <v>4</v>
      </c>
      <c r="CL405" s="31"/>
    </row>
    <row r="406" spans="1:92" x14ac:dyDescent="0.35">
      <c r="A406" s="12" t="s">
        <v>348</v>
      </c>
      <c r="B406" s="24" t="s">
        <v>851</v>
      </c>
      <c r="C406" s="12"/>
      <c r="D406" s="8">
        <v>8125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23">
        <f t="shared" si="33"/>
        <v>8125</v>
      </c>
      <c r="W406" s="12">
        <v>5000</v>
      </c>
      <c r="X406" s="23">
        <f t="shared" si="34"/>
        <v>3125</v>
      </c>
      <c r="Y406" s="31"/>
      <c r="Z406" s="31"/>
      <c r="AA406" s="31"/>
      <c r="AB406" s="31"/>
      <c r="AC406" s="31" t="s">
        <v>793</v>
      </c>
      <c r="AD406" s="31"/>
      <c r="AE406" s="31"/>
      <c r="AF406" s="34" t="s">
        <v>827</v>
      </c>
      <c r="AG406" s="34"/>
      <c r="AH406" s="34"/>
      <c r="AI406" s="34"/>
      <c r="AJ406" s="34"/>
      <c r="AK406" s="34"/>
      <c r="AL406" s="65">
        <v>0.70833333333333337</v>
      </c>
      <c r="AM406" s="31"/>
      <c r="AN406" s="31"/>
      <c r="AO406" s="62">
        <v>5000</v>
      </c>
      <c r="AP406" s="34"/>
      <c r="AQ406" s="34"/>
      <c r="AR406" s="34"/>
      <c r="AS406" s="34"/>
      <c r="AT406" s="34"/>
      <c r="AU406" s="34"/>
      <c r="AV406" s="34" t="s">
        <v>892</v>
      </c>
      <c r="AW406" s="34"/>
      <c r="AX406" s="34"/>
      <c r="AY406" s="34"/>
      <c r="AZ406" s="34"/>
      <c r="BA406" s="31" t="s">
        <v>4</v>
      </c>
      <c r="BB406" s="31"/>
      <c r="BC406" s="31" t="s">
        <v>793</v>
      </c>
      <c r="BD406" s="34" t="s">
        <v>168</v>
      </c>
      <c r="BE406" s="34"/>
      <c r="BF406" s="34"/>
      <c r="BG406" s="34"/>
      <c r="BH406" s="31" t="s">
        <v>4</v>
      </c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 t="s">
        <v>793</v>
      </c>
      <c r="CB406" s="31"/>
      <c r="CC406" s="31"/>
      <c r="CD406" s="31"/>
      <c r="CE406" s="31"/>
      <c r="CF406" s="31"/>
      <c r="CG406" s="31"/>
      <c r="CH406" s="31"/>
      <c r="CI406" s="31" t="s">
        <v>809</v>
      </c>
      <c r="CJ406" s="31"/>
      <c r="CK406" s="31"/>
      <c r="CL406" s="31"/>
    </row>
    <row r="407" spans="1:92" x14ac:dyDescent="0.35">
      <c r="A407" s="12" t="s">
        <v>349</v>
      </c>
      <c r="B407" s="3"/>
      <c r="C407" s="12"/>
      <c r="D407" s="12">
        <v>2293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2">
        <v>6920.01</v>
      </c>
      <c r="S407" s="2">
        <v>6920.01</v>
      </c>
      <c r="T407" s="12"/>
      <c r="U407" s="12"/>
      <c r="V407" s="23">
        <f t="shared" si="33"/>
        <v>16133.02</v>
      </c>
      <c r="W407" s="12"/>
      <c r="X407" s="23">
        <f t="shared" si="34"/>
        <v>16133.02</v>
      </c>
      <c r="Y407" s="1" t="s">
        <v>785</v>
      </c>
      <c r="Z407" s="34"/>
      <c r="AA407" s="31" t="s">
        <v>4</v>
      </c>
      <c r="AB407" s="31"/>
      <c r="AC407" s="31"/>
      <c r="AD407" s="34" t="s">
        <v>821</v>
      </c>
      <c r="AE407" s="34"/>
      <c r="AF407" s="34"/>
      <c r="AG407" s="34"/>
      <c r="AH407" s="34" t="s">
        <v>781</v>
      </c>
      <c r="AI407" s="34"/>
      <c r="AJ407" s="31" t="s">
        <v>4</v>
      </c>
      <c r="AK407" s="34" t="s">
        <v>853</v>
      </c>
      <c r="AL407" s="34"/>
      <c r="AM407" s="34"/>
      <c r="AN407" s="34"/>
      <c r="AO407" s="34"/>
      <c r="AP407" s="34"/>
      <c r="AQ407" s="34" t="s">
        <v>809</v>
      </c>
      <c r="AR407" s="34" t="s">
        <v>879</v>
      </c>
      <c r="AS407" s="34"/>
      <c r="AT407" s="34"/>
      <c r="AU407" s="34"/>
      <c r="AV407" s="34"/>
      <c r="AW407" s="31" t="s">
        <v>4</v>
      </c>
      <c r="AX407" s="31"/>
      <c r="AY407" s="31" t="s">
        <v>809</v>
      </c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 t="s">
        <v>797</v>
      </c>
      <c r="BZ407" s="31"/>
      <c r="CA407" s="31" t="s">
        <v>797</v>
      </c>
      <c r="CB407" s="31"/>
      <c r="CC407" s="31"/>
      <c r="CD407" s="31"/>
      <c r="CE407" s="31"/>
      <c r="CF407" s="31"/>
      <c r="CG407" s="34" t="s">
        <v>783</v>
      </c>
      <c r="CH407" s="46">
        <v>4</v>
      </c>
      <c r="CI407" s="46"/>
      <c r="CJ407" s="46"/>
      <c r="CK407" s="46"/>
      <c r="CL407" s="46"/>
    </row>
    <row r="408" spans="1:92" x14ac:dyDescent="0.35">
      <c r="A408" s="12" t="s">
        <v>656</v>
      </c>
      <c r="B408" s="18" t="s">
        <v>876</v>
      </c>
      <c r="C408" s="2"/>
      <c r="D408" s="2">
        <v>0</v>
      </c>
      <c r="E408" s="12"/>
      <c r="F408" s="2">
        <v>9731.01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23">
        <f t="shared" si="33"/>
        <v>9731.01</v>
      </c>
      <c r="W408" s="12"/>
      <c r="X408" s="12">
        <f t="shared" si="34"/>
        <v>9731.01</v>
      </c>
      <c r="AF408" s="34"/>
      <c r="AG408" s="34"/>
      <c r="AH408" s="34"/>
      <c r="AI408" s="34"/>
      <c r="AJ408" s="34"/>
      <c r="AK408" s="34" t="s">
        <v>845</v>
      </c>
      <c r="AL408" s="34"/>
      <c r="AM408" s="34"/>
      <c r="AN408" s="34"/>
      <c r="AO408" s="34"/>
      <c r="AP408" s="34" t="s">
        <v>870</v>
      </c>
      <c r="AQ408" s="34"/>
      <c r="AR408" s="34"/>
      <c r="AS408" s="34" t="s">
        <v>879</v>
      </c>
      <c r="AT408" s="34"/>
      <c r="AU408" s="34"/>
      <c r="AV408" s="34"/>
      <c r="AW408" s="34"/>
      <c r="AX408" s="31"/>
      <c r="AY408" s="31"/>
      <c r="AZ408" s="31"/>
      <c r="BA408" s="31"/>
      <c r="BB408" s="31"/>
      <c r="BC408" s="31"/>
      <c r="BD408" s="31"/>
      <c r="BE408" s="31"/>
      <c r="BF408" s="34" t="s">
        <v>784</v>
      </c>
      <c r="BG408" s="34"/>
      <c r="BH408" s="34"/>
      <c r="BI408" s="34"/>
      <c r="BJ408" s="34"/>
      <c r="BK408" s="34" t="s">
        <v>781</v>
      </c>
      <c r="BL408" s="34"/>
      <c r="BM408" s="34"/>
      <c r="BN408" s="34"/>
      <c r="BO408" s="34" t="s">
        <v>827</v>
      </c>
      <c r="BP408" s="34"/>
      <c r="BQ408" s="34" t="s">
        <v>846</v>
      </c>
      <c r="BR408" s="34"/>
      <c r="BS408" s="34"/>
      <c r="BT408" s="34"/>
      <c r="BU408" s="34" t="s">
        <v>870</v>
      </c>
      <c r="BV408" s="34"/>
      <c r="BW408" s="34"/>
      <c r="BX408" s="31" t="s">
        <v>4</v>
      </c>
      <c r="BY408" s="31"/>
      <c r="BZ408" s="31"/>
      <c r="CA408" s="34" t="s">
        <v>886</v>
      </c>
      <c r="CB408" s="34"/>
      <c r="CC408" s="31" t="s">
        <v>4</v>
      </c>
      <c r="CD408" s="31"/>
      <c r="CE408" s="31"/>
      <c r="CF408" s="31"/>
      <c r="CG408" s="34" t="s">
        <v>782</v>
      </c>
      <c r="CH408" s="46">
        <v>2</v>
      </c>
      <c r="CI408" s="46"/>
      <c r="CJ408" s="46"/>
      <c r="CK408" s="31"/>
      <c r="CL408" s="31"/>
    </row>
    <row r="409" spans="1:92" ht="18.5" x14ac:dyDescent="0.45">
      <c r="A409" s="77" t="s">
        <v>350</v>
      </c>
      <c r="B409" s="78"/>
      <c r="C409" s="77"/>
      <c r="D409" s="77">
        <v>43517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23">
        <f t="shared" si="33"/>
        <v>43517</v>
      </c>
      <c r="W409" s="12">
        <f>2500+2500+2000</f>
        <v>7000</v>
      </c>
      <c r="X409" s="23">
        <f t="shared" si="34"/>
        <v>36517</v>
      </c>
      <c r="Y409" s="8" t="s">
        <v>783</v>
      </c>
      <c r="Z409" s="34"/>
      <c r="AA409" s="12"/>
      <c r="AB409" s="31" t="s">
        <v>168</v>
      </c>
      <c r="AC409" s="51">
        <v>0.58333333333333337</v>
      </c>
      <c r="AD409" s="1">
        <v>2500</v>
      </c>
      <c r="AE409" s="34"/>
      <c r="AF409" s="12"/>
      <c r="AG409" s="12"/>
      <c r="AH409" s="12"/>
      <c r="AI409" s="34" t="s">
        <v>827</v>
      </c>
      <c r="AJ409" s="34"/>
      <c r="AK409" s="34"/>
      <c r="AL409" s="34" t="s">
        <v>790</v>
      </c>
      <c r="AM409" s="34" t="s">
        <v>845</v>
      </c>
      <c r="AN409" s="34"/>
      <c r="AO409" s="34"/>
      <c r="AP409" s="34"/>
      <c r="AQ409" s="52">
        <v>0.75</v>
      </c>
      <c r="AR409" s="31"/>
      <c r="AS409" s="52">
        <v>0.75</v>
      </c>
      <c r="AT409" s="62">
        <v>2500</v>
      </c>
      <c r="AU409" s="31"/>
      <c r="AV409" s="34" t="s">
        <v>892</v>
      </c>
      <c r="AW409" s="34"/>
      <c r="AX409" s="34"/>
      <c r="AY409" s="34"/>
      <c r="AZ409" s="34"/>
      <c r="BA409" s="31" t="s">
        <v>782</v>
      </c>
      <c r="BB409" s="31"/>
      <c r="BC409" s="31"/>
      <c r="BD409" s="34">
        <v>2</v>
      </c>
      <c r="BE409" s="1" t="s">
        <v>970</v>
      </c>
      <c r="BF409" s="31" t="s">
        <v>783</v>
      </c>
      <c r="BG409" s="52">
        <v>0.70833333333333337</v>
      </c>
      <c r="BH409" s="31"/>
      <c r="BI409" s="31"/>
      <c r="BJ409" s="52">
        <v>0.75</v>
      </c>
      <c r="BK409" s="1" t="s">
        <v>970</v>
      </c>
      <c r="BL409" s="31"/>
      <c r="BM409" s="31"/>
      <c r="BN409" s="31"/>
      <c r="BO409" s="34" t="s">
        <v>790</v>
      </c>
      <c r="BP409" s="34"/>
      <c r="BQ409" s="34"/>
      <c r="BR409" s="31" t="s">
        <v>4</v>
      </c>
      <c r="BS409" s="31"/>
      <c r="BT409" s="52">
        <v>0.70833333333333337</v>
      </c>
      <c r="BU409" s="62">
        <v>2000</v>
      </c>
      <c r="BV409" s="31"/>
      <c r="BW409" s="31"/>
      <c r="BX409" s="31"/>
      <c r="BY409" s="31"/>
      <c r="BZ409" s="31"/>
      <c r="CA409" s="34" t="s">
        <v>892</v>
      </c>
      <c r="CB409" s="34"/>
      <c r="CC409" s="34"/>
      <c r="CD409" s="34"/>
      <c r="CE409" s="34"/>
      <c r="CF409" s="34"/>
      <c r="CG409" s="31"/>
      <c r="CH409" s="31"/>
      <c r="CI409" s="46" t="s">
        <v>782</v>
      </c>
      <c r="CJ409" s="46" t="s">
        <v>785</v>
      </c>
      <c r="CK409" s="1" t="s">
        <v>4</v>
      </c>
      <c r="CL409" s="31"/>
    </row>
    <row r="410" spans="1:92" ht="18.5" x14ac:dyDescent="0.45">
      <c r="A410" s="77" t="s">
        <v>351</v>
      </c>
      <c r="B410" s="78"/>
      <c r="C410" s="77"/>
      <c r="D410" s="77">
        <v>5900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23">
        <f t="shared" si="33"/>
        <v>5900</v>
      </c>
      <c r="W410" s="12"/>
      <c r="X410" s="23">
        <f t="shared" si="34"/>
        <v>5900</v>
      </c>
      <c r="Y410" s="31"/>
      <c r="Z410" s="31"/>
      <c r="AA410" s="31"/>
      <c r="AB410" s="31"/>
      <c r="AC410" s="31" t="s">
        <v>793</v>
      </c>
      <c r="AD410" s="31"/>
      <c r="AE410" s="31"/>
      <c r="AF410" s="31" t="s">
        <v>793</v>
      </c>
      <c r="AG410" s="31"/>
      <c r="AH410" s="31" t="s">
        <v>793</v>
      </c>
      <c r="AI410" s="31"/>
      <c r="AJ410" s="31"/>
      <c r="AK410" s="31" t="s">
        <v>793</v>
      </c>
      <c r="AL410" s="31"/>
      <c r="AM410" s="31"/>
      <c r="AN410" s="31"/>
      <c r="AO410" s="31" t="s">
        <v>793</v>
      </c>
      <c r="AP410" s="31"/>
      <c r="AQ410" s="31" t="s">
        <v>793</v>
      </c>
      <c r="AR410" s="31"/>
      <c r="AS410" s="31" t="s">
        <v>793</v>
      </c>
      <c r="AT410" s="31"/>
      <c r="AU410" s="31"/>
      <c r="AV410" s="31" t="s">
        <v>793</v>
      </c>
      <c r="AW410" s="31"/>
      <c r="AX410" s="31"/>
      <c r="AY410" s="31" t="s">
        <v>793</v>
      </c>
      <c r="AZ410" s="31"/>
      <c r="BA410" s="31"/>
      <c r="BB410" s="31"/>
      <c r="BC410" s="34" t="s">
        <v>326</v>
      </c>
      <c r="BD410" s="34"/>
      <c r="BE410" s="34"/>
      <c r="BF410" s="34"/>
      <c r="BG410" s="34"/>
      <c r="BH410" s="34"/>
      <c r="BI410" s="31" t="s">
        <v>4</v>
      </c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 t="s">
        <v>793</v>
      </c>
      <c r="BV410" s="31"/>
      <c r="BW410" s="31"/>
      <c r="BX410" s="31"/>
      <c r="BY410" s="31"/>
      <c r="BZ410" s="31"/>
      <c r="CA410" s="31" t="s">
        <v>793</v>
      </c>
      <c r="CB410" s="31"/>
      <c r="CC410" s="31"/>
      <c r="CD410" s="31"/>
      <c r="CE410" s="31"/>
      <c r="CF410" s="31"/>
      <c r="CG410" s="31"/>
      <c r="CH410" s="31"/>
      <c r="CI410" s="31" t="s">
        <v>793</v>
      </c>
      <c r="CJ410" s="31"/>
      <c r="CK410" s="31"/>
      <c r="CL410" s="31"/>
    </row>
    <row r="411" spans="1:92" x14ac:dyDescent="0.35">
      <c r="A411" s="12" t="s">
        <v>979</v>
      </c>
      <c r="B411" s="3"/>
      <c r="C411" s="12"/>
      <c r="D411" s="12">
        <v>10000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23">
        <f t="shared" si="33"/>
        <v>10000</v>
      </c>
      <c r="W411" s="12"/>
      <c r="X411" s="23">
        <f t="shared" si="34"/>
        <v>10000</v>
      </c>
      <c r="Y411" s="31"/>
      <c r="Z411" s="31"/>
      <c r="AA411" s="31"/>
      <c r="AB411" s="31"/>
      <c r="AC411" s="31" t="s">
        <v>793</v>
      </c>
      <c r="AD411" s="31"/>
      <c r="AE411" s="31"/>
      <c r="AF411" s="31" t="s">
        <v>793</v>
      </c>
      <c r="AG411" s="31"/>
      <c r="AH411" s="31" t="s">
        <v>793</v>
      </c>
      <c r="AI411" s="31"/>
      <c r="AJ411" s="31"/>
      <c r="AK411" s="31" t="s">
        <v>793</v>
      </c>
      <c r="AL411" s="31"/>
      <c r="AM411" s="31"/>
      <c r="AN411" s="31"/>
      <c r="AO411" s="31" t="s">
        <v>793</v>
      </c>
      <c r="AP411" s="31"/>
      <c r="AQ411" s="31" t="s">
        <v>794</v>
      </c>
      <c r="AR411" s="31"/>
      <c r="AS411" s="31" t="s">
        <v>794</v>
      </c>
      <c r="AT411" s="31"/>
      <c r="AU411" s="31"/>
      <c r="AV411" s="31" t="s">
        <v>793</v>
      </c>
      <c r="AW411" s="31"/>
      <c r="AX411" s="31"/>
      <c r="AY411" s="31" t="s">
        <v>793</v>
      </c>
      <c r="AZ411" s="31"/>
      <c r="BA411" s="31"/>
      <c r="BB411" s="31"/>
      <c r="BC411" s="31" t="s">
        <v>793</v>
      </c>
      <c r="BD411" s="31"/>
      <c r="BE411" s="31" t="s">
        <v>793</v>
      </c>
      <c r="BF411" s="31"/>
      <c r="BG411" s="34" t="s">
        <v>823</v>
      </c>
      <c r="BH411" s="34"/>
      <c r="BI411" s="34"/>
      <c r="BJ411" s="34"/>
      <c r="BK411" s="34"/>
      <c r="BL411" s="31" t="s">
        <v>4</v>
      </c>
      <c r="BM411" s="31"/>
      <c r="BN411" s="31"/>
      <c r="BO411" s="31"/>
      <c r="BP411" s="31"/>
      <c r="BQ411" s="31"/>
      <c r="BR411" s="31"/>
      <c r="BS411" s="31"/>
      <c r="BT411" s="31"/>
      <c r="BU411" s="31" t="s">
        <v>793</v>
      </c>
      <c r="BV411" s="31"/>
      <c r="BW411" s="31"/>
      <c r="BX411" s="31"/>
      <c r="BY411" s="31"/>
      <c r="BZ411" s="31"/>
      <c r="CA411" s="31" t="s">
        <v>793</v>
      </c>
      <c r="CB411" s="31"/>
      <c r="CC411" s="31"/>
      <c r="CD411" s="31"/>
      <c r="CE411" s="31"/>
      <c r="CF411" s="31"/>
      <c r="CG411" s="31"/>
      <c r="CH411" s="31"/>
      <c r="CI411" s="31" t="s">
        <v>794</v>
      </c>
      <c r="CJ411" s="31"/>
      <c r="CK411" s="31"/>
      <c r="CL411" s="31"/>
    </row>
    <row r="412" spans="1:92" ht="18.5" x14ac:dyDescent="0.45">
      <c r="A412" s="77" t="s">
        <v>353</v>
      </c>
      <c r="B412" s="78"/>
      <c r="C412" s="77"/>
      <c r="D412" s="82">
        <v>13670</v>
      </c>
      <c r="E412" s="12"/>
      <c r="F412" s="12"/>
      <c r="G412" s="12"/>
      <c r="H412" s="12"/>
      <c r="I412" s="2">
        <v>25444</v>
      </c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23">
        <f t="shared" si="33"/>
        <v>39114</v>
      </c>
      <c r="W412" s="12">
        <f>BG412</f>
        <v>25400</v>
      </c>
      <c r="X412" s="23">
        <f t="shared" si="34"/>
        <v>13714</v>
      </c>
      <c r="Y412" s="31"/>
      <c r="Z412" s="31"/>
      <c r="AA412" s="31"/>
      <c r="AB412" s="31"/>
      <c r="AC412" s="31"/>
      <c r="AD412" s="31"/>
      <c r="AE412" s="31"/>
      <c r="AF412" s="31" t="s">
        <v>793</v>
      </c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 t="s">
        <v>882</v>
      </c>
      <c r="AS412" s="34"/>
      <c r="AT412" s="34"/>
      <c r="AU412" s="34"/>
      <c r="AV412" s="34"/>
      <c r="AW412" s="34"/>
      <c r="AX412" s="34"/>
      <c r="AY412" s="34" t="s">
        <v>878</v>
      </c>
      <c r="AZ412" s="34"/>
      <c r="BA412" s="34"/>
      <c r="BB412" s="34"/>
      <c r="BC412" s="31" t="s">
        <v>793</v>
      </c>
      <c r="BD412" s="31"/>
      <c r="BE412" s="1" t="s">
        <v>785</v>
      </c>
      <c r="BF412" s="1" t="s">
        <v>978</v>
      </c>
      <c r="BG412" s="1">
        <v>25400</v>
      </c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</row>
    <row r="413" spans="1:92" x14ac:dyDescent="0.35">
      <c r="A413" s="12" t="s">
        <v>354</v>
      </c>
      <c r="B413" s="3"/>
      <c r="C413" s="12"/>
      <c r="D413" s="12">
        <v>44600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23">
        <f t="shared" si="33"/>
        <v>44600</v>
      </c>
      <c r="W413" s="12"/>
      <c r="X413" s="23">
        <f t="shared" si="34"/>
        <v>44600</v>
      </c>
      <c r="Y413" s="31"/>
      <c r="Z413" s="31"/>
      <c r="AA413" s="31"/>
      <c r="AB413" s="31"/>
      <c r="AC413" s="31" t="s">
        <v>793</v>
      </c>
      <c r="AD413" s="31"/>
      <c r="AE413" s="31"/>
      <c r="AF413" s="31" t="s">
        <v>793</v>
      </c>
      <c r="AG413" s="31"/>
      <c r="AH413" s="31" t="s">
        <v>793</v>
      </c>
      <c r="AI413" s="34" t="s">
        <v>814</v>
      </c>
      <c r="AJ413" s="34"/>
      <c r="AK413" s="34" t="s">
        <v>793</v>
      </c>
      <c r="AL413" s="34"/>
      <c r="AM413" s="34"/>
      <c r="AN413" s="31" t="s">
        <v>4</v>
      </c>
      <c r="AO413" s="31" t="s">
        <v>793</v>
      </c>
      <c r="AP413" s="31"/>
      <c r="AQ413" s="31" t="s">
        <v>793</v>
      </c>
      <c r="AR413" s="31"/>
      <c r="AS413" s="31" t="s">
        <v>793</v>
      </c>
      <c r="AT413" s="31"/>
      <c r="AU413" s="31"/>
      <c r="AV413" s="34" t="s">
        <v>793</v>
      </c>
      <c r="AW413" s="34" t="s">
        <v>884</v>
      </c>
      <c r="AX413" s="34"/>
      <c r="AY413" s="31" t="s">
        <v>4</v>
      </c>
      <c r="AZ413" s="31"/>
      <c r="BA413" s="31"/>
      <c r="BB413" s="31"/>
      <c r="BC413" s="31" t="s">
        <v>793</v>
      </c>
      <c r="BD413" s="31"/>
      <c r="BE413" s="31" t="s">
        <v>793</v>
      </c>
      <c r="BF413" s="31"/>
      <c r="BG413" s="31" t="s">
        <v>793</v>
      </c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 t="s">
        <v>793</v>
      </c>
      <c r="BV413" s="31"/>
      <c r="BW413" s="31"/>
      <c r="BX413" s="31"/>
      <c r="BY413" s="31"/>
      <c r="BZ413" s="31"/>
      <c r="CA413" s="31" t="s">
        <v>793</v>
      </c>
      <c r="CB413" s="31"/>
      <c r="CC413" s="31"/>
      <c r="CD413" s="31"/>
      <c r="CE413" s="31"/>
      <c r="CF413" s="31"/>
      <c r="CG413" s="31"/>
      <c r="CH413" s="31"/>
      <c r="CI413" s="31" t="s">
        <v>793</v>
      </c>
      <c r="CJ413" s="31"/>
      <c r="CK413" s="31"/>
      <c r="CL413" s="31"/>
    </row>
    <row r="414" spans="1:92" ht="18.5" x14ac:dyDescent="0.45">
      <c r="A414" s="77" t="s">
        <v>355</v>
      </c>
      <c r="B414" s="78"/>
      <c r="C414" s="77"/>
      <c r="D414" s="77">
        <v>43225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23">
        <f t="shared" si="33"/>
        <v>43225</v>
      </c>
      <c r="W414" s="12"/>
      <c r="X414" s="23">
        <f t="shared" si="34"/>
        <v>43225</v>
      </c>
      <c r="Y414" s="31"/>
      <c r="Z414" s="31"/>
      <c r="AA414" s="31"/>
      <c r="AB414" s="31"/>
      <c r="AC414" s="31" t="s">
        <v>793</v>
      </c>
      <c r="AD414" s="31"/>
      <c r="AE414" s="31"/>
      <c r="AF414" s="31" t="s">
        <v>793</v>
      </c>
      <c r="AG414" s="31"/>
      <c r="AH414" s="34" t="s">
        <v>790</v>
      </c>
      <c r="AI414" s="34"/>
      <c r="AJ414" s="34"/>
      <c r="AK414" s="34" t="s">
        <v>793</v>
      </c>
      <c r="AL414" s="31" t="s">
        <v>4</v>
      </c>
      <c r="AM414" s="31"/>
      <c r="AN414" s="31"/>
      <c r="AO414" s="31" t="s">
        <v>793</v>
      </c>
      <c r="AP414" s="31"/>
      <c r="AQ414" s="31" t="s">
        <v>793</v>
      </c>
      <c r="AR414" s="31"/>
      <c r="AS414" s="31" t="s">
        <v>793</v>
      </c>
      <c r="AT414" s="31"/>
      <c r="AU414" s="31"/>
      <c r="AV414" s="31" t="s">
        <v>793</v>
      </c>
      <c r="AW414" s="31"/>
      <c r="AX414" s="31"/>
      <c r="AY414" s="31" t="s">
        <v>793</v>
      </c>
      <c r="AZ414" s="31"/>
      <c r="BA414" s="31"/>
      <c r="BB414" s="31"/>
      <c r="BC414" s="31" t="s">
        <v>793</v>
      </c>
      <c r="BD414" s="31"/>
      <c r="BE414" s="31" t="s">
        <v>793</v>
      </c>
      <c r="BF414" s="31"/>
      <c r="BG414" s="31" t="s">
        <v>793</v>
      </c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 t="s">
        <v>793</v>
      </c>
      <c r="BV414" s="31"/>
      <c r="BW414" s="31"/>
      <c r="BX414" s="31"/>
      <c r="BY414" s="31"/>
      <c r="BZ414" s="31"/>
      <c r="CA414" s="31" t="s">
        <v>793</v>
      </c>
      <c r="CB414" s="31"/>
      <c r="CC414" s="31"/>
      <c r="CD414" s="31"/>
      <c r="CE414" s="31"/>
      <c r="CF414" s="31"/>
      <c r="CG414" s="31"/>
      <c r="CH414" s="31"/>
      <c r="CI414" s="31" t="s">
        <v>793</v>
      </c>
      <c r="CJ414" s="31"/>
      <c r="CK414" s="31"/>
      <c r="CL414" s="31"/>
    </row>
    <row r="415" spans="1:92" x14ac:dyDescent="0.35">
      <c r="A415" s="12" t="s">
        <v>1001</v>
      </c>
      <c r="B415" s="3" t="s">
        <v>876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2">
        <v>14954.02</v>
      </c>
      <c r="Q415" s="12"/>
      <c r="R415" s="12"/>
      <c r="S415" s="12"/>
      <c r="T415" s="12"/>
      <c r="U415" s="12"/>
      <c r="V415" s="23">
        <f t="shared" si="33"/>
        <v>14954.02</v>
      </c>
      <c r="W415" s="12"/>
      <c r="X415" s="23">
        <f t="shared" si="34"/>
        <v>14954.02</v>
      </c>
      <c r="Y415" s="31"/>
      <c r="Z415" s="31"/>
      <c r="AA415" s="31"/>
      <c r="AB415" s="31"/>
      <c r="AC415" s="31"/>
      <c r="AD415" s="31"/>
      <c r="AE415" s="31"/>
      <c r="AF415" s="31"/>
      <c r="AG415" s="31"/>
      <c r="AH415" s="34"/>
      <c r="AI415" s="34"/>
      <c r="AJ415" s="34"/>
      <c r="AK415" s="34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1" t="s">
        <v>4</v>
      </c>
      <c r="CC415" s="31"/>
      <c r="CD415" s="31"/>
      <c r="CE415" s="31"/>
      <c r="CF415" s="31"/>
      <c r="CG415" s="34" t="s">
        <v>168</v>
      </c>
      <c r="CH415" s="46">
        <v>5</v>
      </c>
      <c r="CI415" s="46"/>
      <c r="CJ415" s="46"/>
      <c r="CK415" s="46"/>
      <c r="CL415" s="46"/>
      <c r="CM415" s="46"/>
    </row>
    <row r="416" spans="1:92" ht="18.5" x14ac:dyDescent="0.45">
      <c r="A416" s="77" t="s">
        <v>356</v>
      </c>
      <c r="B416" s="78"/>
      <c r="C416" s="77"/>
      <c r="D416" s="77">
        <v>19520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23">
        <f t="shared" si="33"/>
        <v>19520</v>
      </c>
      <c r="W416" s="12">
        <f>AD416</f>
        <v>14000</v>
      </c>
      <c r="X416" s="23">
        <f t="shared" si="34"/>
        <v>5520</v>
      </c>
      <c r="Y416" s="31"/>
      <c r="Z416" s="31"/>
      <c r="AA416" s="31"/>
      <c r="AB416" s="31"/>
      <c r="AC416" s="31"/>
      <c r="AD416" s="1">
        <v>14000</v>
      </c>
      <c r="AE416" s="31"/>
      <c r="AF416" s="31"/>
      <c r="AG416" s="31"/>
      <c r="AH416" s="31"/>
      <c r="AI416" s="31"/>
      <c r="AJ416" s="31"/>
      <c r="AK416" s="31" t="s">
        <v>856</v>
      </c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 t="s">
        <v>869</v>
      </c>
      <c r="AW416" s="31"/>
      <c r="AX416" s="31"/>
      <c r="AY416" s="31" t="s">
        <v>869</v>
      </c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 t="s">
        <v>869</v>
      </c>
      <c r="BV416" s="31"/>
      <c r="BW416" s="31"/>
      <c r="BX416" s="31"/>
      <c r="BY416" s="31"/>
      <c r="BZ416" s="31"/>
      <c r="CA416" s="31" t="s">
        <v>793</v>
      </c>
      <c r="CB416" s="31"/>
      <c r="CC416" s="31"/>
      <c r="CD416" s="31"/>
      <c r="CE416" s="31"/>
      <c r="CF416" s="31"/>
      <c r="CG416" s="31"/>
      <c r="CH416" s="31"/>
      <c r="CI416" s="34" t="s">
        <v>326</v>
      </c>
      <c r="CJ416" s="34"/>
      <c r="CK416" s="34"/>
      <c r="CL416" s="34"/>
      <c r="CM416" s="34"/>
      <c r="CN416" s="34"/>
    </row>
    <row r="417" spans="1:96" ht="18.5" x14ac:dyDescent="0.45">
      <c r="A417" s="77" t="s">
        <v>508</v>
      </c>
      <c r="B417" s="78"/>
      <c r="C417" s="103"/>
      <c r="D417" s="77">
        <v>12860</v>
      </c>
      <c r="E417" s="23"/>
      <c r="F417" s="23"/>
      <c r="G417" s="23"/>
      <c r="H417" s="23"/>
      <c r="I417" s="23"/>
      <c r="J417" s="23"/>
      <c r="K417" s="23"/>
      <c r="L417" s="23"/>
      <c r="M417" s="23"/>
      <c r="N417" s="12"/>
      <c r="O417" s="12"/>
      <c r="P417" s="12"/>
      <c r="Q417" s="12"/>
      <c r="R417" s="12"/>
      <c r="S417" s="12"/>
      <c r="T417" s="12"/>
      <c r="U417" s="12"/>
      <c r="V417" s="23">
        <f t="shared" si="33"/>
        <v>12860</v>
      </c>
      <c r="W417" s="23">
        <f>AY417</f>
        <v>8000</v>
      </c>
      <c r="X417" s="23">
        <f t="shared" si="34"/>
        <v>4860</v>
      </c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1">
        <v>8000</v>
      </c>
      <c r="BF417" s="34"/>
      <c r="BG417" s="34"/>
      <c r="BH417" s="34"/>
      <c r="BI417" s="34"/>
      <c r="BJ417" s="34"/>
      <c r="BK417" s="34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 t="s">
        <v>794</v>
      </c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</row>
    <row r="418" spans="1:96" x14ac:dyDescent="0.35">
      <c r="A418" s="12" t="s">
        <v>898</v>
      </c>
      <c r="B418" s="3" t="s">
        <v>965</v>
      </c>
      <c r="C418" s="2"/>
      <c r="D418" s="2"/>
      <c r="E418" s="12"/>
      <c r="F418" s="12"/>
      <c r="G418" s="12"/>
      <c r="H418" s="12"/>
      <c r="I418" s="12"/>
      <c r="J418" s="12"/>
      <c r="K418" s="2">
        <v>97000.01</v>
      </c>
      <c r="L418" s="14"/>
      <c r="M418" s="14"/>
      <c r="N418" s="14"/>
      <c r="O418" s="14"/>
      <c r="P418" s="14"/>
      <c r="Q418" s="14"/>
      <c r="R418" s="12"/>
      <c r="S418" s="12"/>
      <c r="T418" s="12"/>
      <c r="U418" s="12"/>
      <c r="V418" s="23">
        <f t="shared" si="33"/>
        <v>97000.01</v>
      </c>
      <c r="W418" s="12"/>
      <c r="X418" s="23">
        <f t="shared" si="34"/>
        <v>97000.01</v>
      </c>
      <c r="Y418" s="31"/>
      <c r="Z418" s="31"/>
      <c r="AA418" s="31"/>
      <c r="AB418" s="31"/>
      <c r="AC418" s="31"/>
      <c r="AD418" s="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4" t="s">
        <v>805</v>
      </c>
      <c r="AY418" s="34"/>
      <c r="AZ418" s="34"/>
      <c r="BA418" s="34"/>
      <c r="BB418" s="34"/>
      <c r="BC418" s="34"/>
      <c r="BD418" s="34" t="s">
        <v>805</v>
      </c>
      <c r="BE418" s="34"/>
      <c r="BF418" s="34"/>
      <c r="BG418" s="34"/>
      <c r="BH418" s="34"/>
      <c r="BI418" s="34"/>
      <c r="BJ418" s="34"/>
      <c r="BK418" s="34"/>
      <c r="BL418" s="34"/>
      <c r="BM418" s="31" t="s">
        <v>4</v>
      </c>
      <c r="BN418" s="31"/>
      <c r="BO418" s="34" t="s">
        <v>790</v>
      </c>
      <c r="BP418" s="34"/>
      <c r="BQ418" s="34"/>
      <c r="BR418" s="31" t="s">
        <v>4</v>
      </c>
      <c r="BS418" s="31"/>
      <c r="BT418" s="34" t="s">
        <v>845</v>
      </c>
      <c r="BU418" s="63">
        <v>0.66666666666666663</v>
      </c>
      <c r="BV418" s="31"/>
      <c r="BW418" s="31"/>
      <c r="BX418" s="31"/>
      <c r="BY418" s="31"/>
      <c r="BZ418" s="31"/>
      <c r="CA418" s="34" t="s">
        <v>886</v>
      </c>
      <c r="CB418" s="34"/>
      <c r="CC418" s="31" t="s">
        <v>4</v>
      </c>
      <c r="CD418" s="31"/>
      <c r="CE418" s="31"/>
      <c r="CF418" s="31"/>
      <c r="CG418" s="34" t="s">
        <v>1032</v>
      </c>
      <c r="CH418" s="46">
        <v>1</v>
      </c>
      <c r="CI418" s="46" t="s">
        <v>809</v>
      </c>
      <c r="CJ418" s="31"/>
      <c r="CK418" s="31"/>
      <c r="CL418" s="31"/>
    </row>
    <row r="419" spans="1:96" x14ac:dyDescent="0.35">
      <c r="A419" s="12" t="s">
        <v>357</v>
      </c>
      <c r="B419" s="3"/>
      <c r="C419" s="12"/>
      <c r="D419" s="12">
        <v>14350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23">
        <f t="shared" si="33"/>
        <v>14350</v>
      </c>
      <c r="W419" s="12">
        <f>AZ419</f>
        <v>10000</v>
      </c>
      <c r="X419" s="23">
        <f t="shared" si="34"/>
        <v>4350</v>
      </c>
      <c r="Y419" s="12" t="s">
        <v>326</v>
      </c>
      <c r="Z419" s="34"/>
      <c r="AA419" s="34"/>
      <c r="AB419" s="34"/>
      <c r="AC419" s="34"/>
      <c r="AD419" s="52">
        <v>0.66666666666666663</v>
      </c>
      <c r="AE419" s="31" t="s">
        <v>823</v>
      </c>
      <c r="AF419" s="34"/>
      <c r="AG419" s="31" t="s">
        <v>4</v>
      </c>
      <c r="AH419" s="31" t="s">
        <v>793</v>
      </c>
      <c r="AI419" s="31"/>
      <c r="AJ419" s="31"/>
      <c r="AK419" s="34" t="s">
        <v>790</v>
      </c>
      <c r="AL419" s="34"/>
      <c r="AM419" s="34" t="s">
        <v>865</v>
      </c>
      <c r="AN419" s="34"/>
      <c r="AO419" s="34"/>
      <c r="AP419" s="34"/>
      <c r="AQ419" s="34"/>
      <c r="AR419" s="34"/>
      <c r="AS419" s="34"/>
      <c r="AT419" s="34"/>
      <c r="AU419" s="34"/>
      <c r="AV419" s="31" t="s">
        <v>793</v>
      </c>
      <c r="AW419" s="31" t="s">
        <v>886</v>
      </c>
      <c r="AX419" s="31" t="s">
        <v>884</v>
      </c>
      <c r="AY419" s="31" t="s">
        <v>905</v>
      </c>
      <c r="AZ419" s="62">
        <v>10000</v>
      </c>
      <c r="BA419" s="31" t="s">
        <v>805</v>
      </c>
      <c r="BB419" s="31"/>
      <c r="BC419" s="31"/>
      <c r="BD419" s="34" t="s">
        <v>805</v>
      </c>
      <c r="BE419" s="34"/>
      <c r="BF419" s="34"/>
      <c r="BG419" s="34"/>
      <c r="BH419" s="34"/>
      <c r="BI419" s="34"/>
      <c r="BJ419" s="34"/>
      <c r="BK419" s="34"/>
      <c r="BL419" s="34"/>
      <c r="BM419" s="31" t="s">
        <v>4</v>
      </c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</row>
    <row r="420" spans="1:96" x14ac:dyDescent="0.35">
      <c r="A420" s="12" t="s">
        <v>358</v>
      </c>
      <c r="B420" s="3" t="s">
        <v>851</v>
      </c>
      <c r="C420" s="12"/>
      <c r="D420" s="8">
        <v>31810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23">
        <f t="shared" si="33"/>
        <v>31810</v>
      </c>
      <c r="W420" s="12"/>
      <c r="X420" s="23">
        <f t="shared" si="34"/>
        <v>31810</v>
      </c>
      <c r="Y420" s="31"/>
      <c r="Z420" s="31"/>
      <c r="AA420" s="31"/>
      <c r="AB420" s="31"/>
      <c r="AC420" s="34" t="s">
        <v>805</v>
      </c>
      <c r="AD420" s="34"/>
      <c r="AE420" s="34"/>
      <c r="AF420" s="34"/>
      <c r="AG420" s="34"/>
      <c r="AH420" s="31" t="s">
        <v>809</v>
      </c>
      <c r="AI420" s="31"/>
      <c r="AJ420" s="31"/>
      <c r="AK420" s="34" t="s">
        <v>839</v>
      </c>
      <c r="AL420" s="34"/>
      <c r="AM420" s="34"/>
      <c r="AN420" s="34"/>
      <c r="AO420" s="34"/>
      <c r="AP420" s="34"/>
      <c r="AQ420" s="34"/>
      <c r="AR420" s="34" t="s">
        <v>879</v>
      </c>
      <c r="AS420" s="34"/>
      <c r="AT420" s="34"/>
      <c r="AU420" s="34"/>
      <c r="AV420" s="34"/>
      <c r="AW420" s="34" t="s">
        <v>892</v>
      </c>
      <c r="AX420" s="34"/>
      <c r="AY420" s="34"/>
      <c r="AZ420" s="34"/>
      <c r="BA420" s="31" t="s">
        <v>4</v>
      </c>
      <c r="BB420" s="31"/>
      <c r="BC420" s="31" t="s">
        <v>809</v>
      </c>
      <c r="BD420" s="31"/>
      <c r="BE420" s="31"/>
      <c r="BF420" s="31"/>
      <c r="BG420" s="34" t="s">
        <v>784</v>
      </c>
      <c r="BH420" s="34"/>
      <c r="BI420" s="34"/>
      <c r="BJ420" s="34"/>
      <c r="BK420" s="31" t="s">
        <v>4</v>
      </c>
      <c r="BL420" s="31"/>
      <c r="BM420" s="31"/>
      <c r="BN420" s="31"/>
      <c r="BO420" s="34"/>
      <c r="BP420" s="34"/>
      <c r="BQ420" s="34" t="s">
        <v>809</v>
      </c>
      <c r="BR420" s="31"/>
      <c r="BS420" s="31"/>
      <c r="BT420" s="31"/>
      <c r="BU420" s="31"/>
      <c r="BV420" s="31"/>
      <c r="BW420" s="31"/>
      <c r="BX420" s="31"/>
      <c r="BY420" s="31"/>
      <c r="BZ420" s="31"/>
      <c r="CA420" s="34" t="s">
        <v>892</v>
      </c>
      <c r="CB420" s="34"/>
      <c r="CC420" s="34"/>
      <c r="CD420" s="34"/>
      <c r="CE420" s="34"/>
      <c r="CF420" s="34"/>
      <c r="CG420" s="31"/>
      <c r="CH420" s="31"/>
      <c r="CI420" s="34" t="s">
        <v>168</v>
      </c>
      <c r="CJ420" s="34"/>
      <c r="CK420" s="34"/>
      <c r="CL420" s="34"/>
      <c r="CM420" s="34"/>
      <c r="CN420" s="34"/>
    </row>
    <row r="421" spans="1:96" x14ac:dyDescent="0.35">
      <c r="A421" s="12" t="s">
        <v>515</v>
      </c>
      <c r="B421" s="3"/>
      <c r="C421" s="12"/>
      <c r="D421" s="12">
        <v>30000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23">
        <f t="shared" si="33"/>
        <v>30000</v>
      </c>
      <c r="W421" s="12"/>
      <c r="X421" s="12">
        <f t="shared" si="34"/>
        <v>30000</v>
      </c>
      <c r="Y421" s="12"/>
      <c r="Z421" s="12"/>
      <c r="AA421" s="12"/>
      <c r="AB421" s="12"/>
      <c r="AC421" s="12"/>
      <c r="AD421" s="12"/>
      <c r="AE421" s="12"/>
      <c r="AF421" s="12"/>
      <c r="AG421" s="12"/>
      <c r="AH421" s="31" t="s">
        <v>4</v>
      </c>
      <c r="AI421" s="31"/>
      <c r="AJ421" s="31"/>
      <c r="AK421" s="31" t="s">
        <v>793</v>
      </c>
      <c r="AL421" s="31"/>
      <c r="AM421" s="31"/>
      <c r="AN421" s="31"/>
      <c r="AO421" s="31" t="s">
        <v>794</v>
      </c>
      <c r="AP421" s="31"/>
      <c r="AQ421" s="31" t="s">
        <v>794</v>
      </c>
      <c r="AR421" s="31"/>
      <c r="AS421" s="31"/>
      <c r="AT421" s="31"/>
      <c r="AU421" s="31"/>
      <c r="AV421" s="31" t="s">
        <v>793</v>
      </c>
      <c r="AW421" s="31"/>
      <c r="AX421" s="31"/>
      <c r="AY421" s="31" t="s">
        <v>793</v>
      </c>
      <c r="AZ421" s="31"/>
      <c r="BA421" s="31"/>
      <c r="BB421" s="31"/>
      <c r="BC421" s="31" t="s">
        <v>794</v>
      </c>
      <c r="BD421" s="31"/>
      <c r="BE421" s="31" t="s">
        <v>794</v>
      </c>
      <c r="BF421" s="31"/>
      <c r="BG421" s="31" t="s">
        <v>794</v>
      </c>
      <c r="BH421" s="31"/>
      <c r="BI421" s="31"/>
      <c r="BJ421" s="31"/>
      <c r="BK421" s="31"/>
      <c r="BL421" s="31"/>
      <c r="BM421" s="31"/>
      <c r="BN421" s="31"/>
      <c r="BO421" s="31" t="s">
        <v>794</v>
      </c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 t="s">
        <v>794</v>
      </c>
      <c r="CB421" s="31"/>
      <c r="CC421" s="31"/>
      <c r="CD421" s="31"/>
      <c r="CE421" s="31"/>
      <c r="CF421" s="31"/>
      <c r="CG421" s="31"/>
      <c r="CH421" s="31"/>
      <c r="CI421" s="31" t="s">
        <v>794</v>
      </c>
      <c r="CJ421" s="31"/>
      <c r="CK421" s="31"/>
      <c r="CL421" s="31"/>
    </row>
    <row r="422" spans="1:96" ht="18.5" x14ac:dyDescent="0.45">
      <c r="A422" s="77" t="s">
        <v>359</v>
      </c>
      <c r="B422" s="78"/>
      <c r="C422" s="77"/>
      <c r="D422" s="77">
        <v>7720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23">
        <f t="shared" si="33"/>
        <v>7720</v>
      </c>
      <c r="W422" s="12"/>
      <c r="X422" s="23">
        <f t="shared" si="34"/>
        <v>7720</v>
      </c>
      <c r="Y422" s="31"/>
      <c r="Z422" s="31"/>
      <c r="AA422" s="31"/>
      <c r="AB422" s="31"/>
      <c r="AC422" s="31" t="s">
        <v>793</v>
      </c>
      <c r="AD422" s="31"/>
      <c r="AE422" s="31"/>
      <c r="AF422" s="31" t="s">
        <v>794</v>
      </c>
      <c r="AG422" s="31"/>
      <c r="AH422" s="31" t="s">
        <v>793</v>
      </c>
      <c r="AI422" s="31"/>
      <c r="AJ422" s="31"/>
      <c r="AK422" s="31" t="s">
        <v>793</v>
      </c>
      <c r="AL422" s="31"/>
      <c r="AM422" s="31"/>
      <c r="AN422" s="31"/>
      <c r="AO422" s="34" t="s">
        <v>839</v>
      </c>
      <c r="AP422" s="34"/>
      <c r="AQ422" s="34"/>
      <c r="AR422" s="31" t="s">
        <v>4</v>
      </c>
      <c r="AS422" s="34" t="s">
        <v>886</v>
      </c>
      <c r="AT422" s="34"/>
      <c r="AU422" s="34"/>
      <c r="AV422" s="34"/>
      <c r="AW422" s="34"/>
      <c r="AX422" s="31"/>
      <c r="AY422" s="31" t="s">
        <v>793</v>
      </c>
      <c r="AZ422" s="31"/>
      <c r="BA422" s="31"/>
      <c r="BB422" s="31"/>
      <c r="BC422" s="31" t="s">
        <v>793</v>
      </c>
      <c r="BD422" s="31"/>
      <c r="BE422" s="31" t="s">
        <v>793</v>
      </c>
      <c r="BF422" s="31"/>
      <c r="BG422" s="31"/>
      <c r="BH422" s="31"/>
      <c r="BI422" s="31"/>
      <c r="BJ422" s="31"/>
      <c r="BK422" s="31"/>
      <c r="BL422" s="31"/>
      <c r="BM422" s="31"/>
      <c r="BN422" s="31"/>
      <c r="BO422" s="31" t="s">
        <v>794</v>
      </c>
      <c r="BP422" s="31"/>
      <c r="BQ422" s="31"/>
      <c r="BR422" s="31"/>
      <c r="BS422" s="31"/>
      <c r="BT422" s="34"/>
      <c r="BU422" s="34"/>
      <c r="BV422" s="34"/>
      <c r="BW422" s="31" t="s">
        <v>4</v>
      </c>
      <c r="BX422" s="31"/>
      <c r="BY422" s="31"/>
      <c r="BZ422" s="31"/>
      <c r="CA422" s="31" t="s">
        <v>793</v>
      </c>
      <c r="CB422" s="31"/>
      <c r="CC422" s="31"/>
      <c r="CD422" s="31"/>
      <c r="CE422" s="31"/>
      <c r="CF422" s="31"/>
      <c r="CG422" s="31"/>
      <c r="CH422" s="31"/>
      <c r="CI422" s="31" t="s">
        <v>793</v>
      </c>
      <c r="CJ422" s="31"/>
      <c r="CK422" s="31"/>
      <c r="CL422" s="31"/>
    </row>
    <row r="423" spans="1:96" x14ac:dyDescent="0.35">
      <c r="A423" s="12" t="s">
        <v>360</v>
      </c>
      <c r="B423" s="3"/>
      <c r="C423" s="12"/>
      <c r="D423" s="12">
        <v>11130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23">
        <f t="shared" si="33"/>
        <v>11130</v>
      </c>
      <c r="W423" s="12"/>
      <c r="X423" s="23">
        <f t="shared" si="34"/>
        <v>11130</v>
      </c>
      <c r="Y423" s="1" t="s">
        <v>785</v>
      </c>
      <c r="Z423" s="34"/>
      <c r="AA423" s="31" t="s">
        <v>4</v>
      </c>
      <c r="AB423" s="31"/>
      <c r="AC423" s="34"/>
      <c r="AD423" s="34" t="s">
        <v>818</v>
      </c>
      <c r="AE423" s="34"/>
      <c r="AF423" s="31" t="s">
        <v>793</v>
      </c>
      <c r="AG423" s="31"/>
      <c r="AH423" s="34" t="s">
        <v>781</v>
      </c>
      <c r="AI423" s="34"/>
      <c r="AJ423" s="34" t="s">
        <v>4</v>
      </c>
      <c r="AK423" s="34" t="s">
        <v>846</v>
      </c>
      <c r="AL423" s="34"/>
      <c r="AM423" s="34"/>
      <c r="AN423" s="34"/>
      <c r="AO423" s="31" t="s">
        <v>809</v>
      </c>
      <c r="AP423" s="31"/>
      <c r="AQ423" s="31" t="s">
        <v>803</v>
      </c>
      <c r="AR423" s="34" t="s">
        <v>883</v>
      </c>
      <c r="AS423" s="34"/>
      <c r="AT423" s="34"/>
      <c r="AU423" s="31" t="s">
        <v>4</v>
      </c>
      <c r="AV423" s="31" t="s">
        <v>793</v>
      </c>
      <c r="AW423" s="31"/>
      <c r="AX423" s="31"/>
      <c r="AY423" s="31" t="s">
        <v>793</v>
      </c>
      <c r="AZ423" s="31"/>
      <c r="BA423" s="31"/>
      <c r="BB423" s="31"/>
      <c r="BC423" s="31" t="s">
        <v>793</v>
      </c>
      <c r="BD423" s="31"/>
      <c r="BE423" s="31" t="s">
        <v>793</v>
      </c>
      <c r="BF423" s="31"/>
      <c r="BG423" s="31"/>
      <c r="BH423" s="31"/>
      <c r="BI423" s="31"/>
      <c r="BJ423" s="31"/>
      <c r="BK423" s="34" t="s">
        <v>781</v>
      </c>
      <c r="BL423" s="34"/>
      <c r="BM423" s="34"/>
      <c r="BN423" s="34"/>
      <c r="BO423" s="31" t="s">
        <v>803</v>
      </c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 t="s">
        <v>793</v>
      </c>
      <c r="CB423" s="31"/>
      <c r="CC423" s="31"/>
      <c r="CD423" s="31"/>
      <c r="CE423" s="31"/>
      <c r="CF423" s="31"/>
      <c r="CG423" s="31"/>
      <c r="CH423" s="31"/>
      <c r="CI423" s="34" t="s">
        <v>326</v>
      </c>
      <c r="CJ423" s="34"/>
      <c r="CK423" s="34"/>
      <c r="CL423" s="34"/>
      <c r="CM423" s="34"/>
      <c r="CN423" s="34"/>
    </row>
    <row r="424" spans="1:96" x14ac:dyDescent="0.35">
      <c r="A424" s="12" t="s">
        <v>361</v>
      </c>
      <c r="B424" s="3"/>
      <c r="C424" s="12"/>
      <c r="D424" s="12">
        <v>5525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23">
        <f t="shared" si="33"/>
        <v>5525</v>
      </c>
      <c r="W424" s="12"/>
      <c r="X424" s="23">
        <f t="shared" si="34"/>
        <v>5525</v>
      </c>
      <c r="Y424" s="31"/>
      <c r="Z424" s="1" t="s">
        <v>783</v>
      </c>
      <c r="AA424" s="34"/>
      <c r="AB424" s="31" t="s">
        <v>4</v>
      </c>
      <c r="AC424" s="31" t="s">
        <v>793</v>
      </c>
      <c r="AD424" s="52">
        <v>0.70833333333333337</v>
      </c>
      <c r="AE424" s="31" t="s">
        <v>819</v>
      </c>
      <c r="AF424" s="31" t="s">
        <v>831</v>
      </c>
      <c r="AG424" s="31"/>
      <c r="AH424" s="31" t="s">
        <v>793</v>
      </c>
      <c r="AI424" s="1" t="s">
        <v>781</v>
      </c>
      <c r="AJ424" s="31" t="s">
        <v>4</v>
      </c>
      <c r="AK424" s="31" t="s">
        <v>793</v>
      </c>
      <c r="AL424" s="31"/>
      <c r="AM424" s="31"/>
      <c r="AN424" s="31"/>
      <c r="AO424" s="31" t="s">
        <v>793</v>
      </c>
      <c r="AP424" s="34" t="s">
        <v>853</v>
      </c>
      <c r="AQ424" s="34" t="s">
        <v>793</v>
      </c>
      <c r="AR424" s="34"/>
      <c r="AS424" s="34" t="s">
        <v>793</v>
      </c>
      <c r="AT424" s="34" t="s">
        <v>886</v>
      </c>
      <c r="AU424" s="34"/>
      <c r="AV424" s="34"/>
      <c r="AW424" s="34"/>
      <c r="AX424" s="34" t="s">
        <v>896</v>
      </c>
      <c r="AY424" s="34"/>
      <c r="AZ424" s="34"/>
      <c r="BA424" s="31" t="s">
        <v>4</v>
      </c>
      <c r="BB424" s="31"/>
      <c r="BC424" s="31" t="s">
        <v>793</v>
      </c>
      <c r="BD424" s="31"/>
      <c r="BE424" s="31" t="s">
        <v>793</v>
      </c>
      <c r="BF424" s="31"/>
      <c r="BG424" s="31"/>
      <c r="BH424" s="31"/>
      <c r="BI424" s="31"/>
      <c r="BJ424" s="31"/>
      <c r="BK424" s="31"/>
      <c r="BL424" s="34" t="s">
        <v>805</v>
      </c>
      <c r="BM424" s="31" t="s">
        <v>4</v>
      </c>
      <c r="BN424" s="31"/>
      <c r="BO424" s="31" t="s">
        <v>793</v>
      </c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 t="s">
        <v>793</v>
      </c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</row>
    <row r="425" spans="1:96" x14ac:dyDescent="0.35">
      <c r="A425" s="12" t="s">
        <v>221</v>
      </c>
      <c r="B425" s="3"/>
      <c r="C425" s="12"/>
      <c r="D425" s="12">
        <v>32430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23">
        <f t="shared" si="33"/>
        <v>32430</v>
      </c>
      <c r="W425" s="12"/>
      <c r="X425" s="23">
        <f t="shared" si="34"/>
        <v>32430</v>
      </c>
      <c r="Y425" s="31"/>
      <c r="Z425" s="31"/>
      <c r="AA425" s="31"/>
      <c r="AB425" s="31"/>
      <c r="AC425" s="31" t="s">
        <v>793</v>
      </c>
      <c r="AD425" s="31"/>
      <c r="AE425" s="31"/>
      <c r="AF425" s="31" t="s">
        <v>793</v>
      </c>
      <c r="AG425" s="31"/>
      <c r="AH425" s="31" t="s">
        <v>793</v>
      </c>
      <c r="AI425" s="31"/>
      <c r="AJ425" s="31"/>
      <c r="AK425" s="31" t="s">
        <v>794</v>
      </c>
      <c r="AL425" s="31"/>
      <c r="AM425" s="31"/>
      <c r="AN425" s="31"/>
      <c r="AO425" s="34" t="s">
        <v>845</v>
      </c>
      <c r="AP425" s="31"/>
      <c r="AQ425" s="34" t="s">
        <v>793</v>
      </c>
      <c r="AR425" s="34" t="s">
        <v>854</v>
      </c>
      <c r="AS425" s="34"/>
      <c r="AT425" s="31" t="s">
        <v>4</v>
      </c>
      <c r="AU425" s="31"/>
      <c r="AV425" s="31" t="s">
        <v>793</v>
      </c>
      <c r="AW425" s="31"/>
      <c r="AX425" s="31"/>
      <c r="AY425" s="31" t="s">
        <v>793</v>
      </c>
      <c r="AZ425" s="31"/>
      <c r="BA425" s="31"/>
      <c r="BB425" s="31"/>
      <c r="BC425" s="31" t="s">
        <v>793</v>
      </c>
      <c r="BD425" s="31"/>
      <c r="BE425" s="31" t="s">
        <v>793</v>
      </c>
      <c r="BF425" s="31"/>
      <c r="BG425" s="31"/>
      <c r="BH425" s="31"/>
      <c r="BI425" s="31"/>
      <c r="BJ425" s="31"/>
      <c r="BK425" s="31"/>
      <c r="BL425" s="34" t="s">
        <v>814</v>
      </c>
      <c r="BM425" s="34"/>
      <c r="BN425" s="34"/>
      <c r="BO425" s="34"/>
      <c r="BP425" s="34"/>
      <c r="BQ425" s="34"/>
      <c r="BR425" s="34"/>
      <c r="BS425" s="31" t="s">
        <v>4</v>
      </c>
      <c r="BT425" s="31" t="s">
        <v>793</v>
      </c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4" t="s">
        <v>805</v>
      </c>
      <c r="CH425" s="46">
        <v>10</v>
      </c>
      <c r="CI425" s="46"/>
      <c r="CJ425" s="46"/>
      <c r="CK425" s="46"/>
      <c r="CL425" s="46"/>
      <c r="CM425" s="46"/>
      <c r="CN425" s="46"/>
      <c r="CO425" s="46"/>
      <c r="CP425" s="46"/>
      <c r="CQ425" s="46"/>
      <c r="CR425" s="46"/>
    </row>
    <row r="426" spans="1:96" ht="18.5" x14ac:dyDescent="0.45">
      <c r="A426" s="77" t="s">
        <v>362</v>
      </c>
      <c r="B426" s="78"/>
      <c r="C426" s="77"/>
      <c r="D426" s="77">
        <v>7515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23">
        <f t="shared" si="33"/>
        <v>7515</v>
      </c>
      <c r="W426" s="12">
        <f>BT426</f>
        <v>3000</v>
      </c>
      <c r="X426" s="23">
        <f t="shared" si="34"/>
        <v>4515</v>
      </c>
      <c r="Y426" s="1" t="s">
        <v>326</v>
      </c>
      <c r="Z426" s="34"/>
      <c r="AA426" s="34"/>
      <c r="AB426" s="34"/>
      <c r="AC426" s="34"/>
      <c r="AD426" s="33" t="s">
        <v>822</v>
      </c>
      <c r="AE426" s="33"/>
      <c r="AF426" s="33"/>
      <c r="AG426" s="33"/>
      <c r="AH426" s="33"/>
      <c r="AI426" s="33"/>
      <c r="AJ426" s="31" t="s">
        <v>4</v>
      </c>
      <c r="AK426" s="34" t="s">
        <v>839</v>
      </c>
      <c r="AL426" s="34"/>
      <c r="AM426" s="34"/>
      <c r="AN426" s="34"/>
      <c r="AO426" s="34"/>
      <c r="AP426" s="34"/>
      <c r="AQ426" s="34"/>
      <c r="AR426" s="34" t="s">
        <v>877</v>
      </c>
      <c r="AS426" s="34"/>
      <c r="AT426" s="34"/>
      <c r="AU426" s="34"/>
      <c r="AV426" s="31" t="s">
        <v>793</v>
      </c>
      <c r="AW426" s="31"/>
      <c r="AX426" s="34"/>
      <c r="AY426" s="34"/>
      <c r="AZ426" s="34"/>
      <c r="BA426" s="31" t="s">
        <v>4</v>
      </c>
      <c r="BB426" s="31"/>
      <c r="BC426" s="34" t="s">
        <v>168</v>
      </c>
      <c r="BD426" s="34"/>
      <c r="BE426" s="34"/>
      <c r="BF426" s="34"/>
      <c r="BG426" s="34"/>
      <c r="BH426" s="31" t="s">
        <v>4</v>
      </c>
      <c r="BI426" s="31"/>
      <c r="BJ426" s="34" t="s">
        <v>823</v>
      </c>
      <c r="BK426" s="34"/>
      <c r="BL426" s="34" t="s">
        <v>825</v>
      </c>
      <c r="BM426" s="34"/>
      <c r="BN426" s="31" t="s">
        <v>4</v>
      </c>
      <c r="BO426" s="34" t="s">
        <v>846</v>
      </c>
      <c r="BP426" s="34"/>
      <c r="BQ426" s="34"/>
      <c r="BR426" s="34"/>
      <c r="BS426" s="34"/>
      <c r="BT426" s="62">
        <v>3000</v>
      </c>
      <c r="BU426" s="31"/>
      <c r="BV426" s="31"/>
      <c r="BW426" s="31"/>
      <c r="BX426" s="31"/>
      <c r="BY426" s="31"/>
      <c r="BZ426" s="31"/>
      <c r="CA426" s="34" t="s">
        <v>886</v>
      </c>
      <c r="CB426" s="34"/>
      <c r="CC426" s="31" t="s">
        <v>4</v>
      </c>
      <c r="CD426" s="31"/>
      <c r="CE426" s="31"/>
      <c r="CF426" s="31"/>
      <c r="CG426" s="34" t="s">
        <v>782</v>
      </c>
      <c r="CH426" s="46">
        <v>2</v>
      </c>
      <c r="CI426" s="46"/>
      <c r="CJ426" s="46"/>
      <c r="CK426" s="31"/>
      <c r="CL426" s="31"/>
    </row>
    <row r="427" spans="1:96" ht="18.5" x14ac:dyDescent="0.45">
      <c r="A427" s="77" t="s">
        <v>363</v>
      </c>
      <c r="B427" s="78"/>
      <c r="C427" s="77"/>
      <c r="D427" s="77">
        <v>148227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23">
        <f t="shared" ref="V427:V458" si="35">SUM(D427:U427)</f>
        <v>148227</v>
      </c>
      <c r="W427" s="12">
        <f>AF427+5000+BX427</f>
        <v>15000</v>
      </c>
      <c r="X427" s="23">
        <f t="shared" ref="X427:X458" si="36">V427-W427</f>
        <v>133227</v>
      </c>
      <c r="Y427" s="31"/>
      <c r="Z427" s="31"/>
      <c r="AA427" s="31"/>
      <c r="AB427" s="31"/>
      <c r="AC427" s="31" t="s">
        <v>809</v>
      </c>
      <c r="AD427" s="31"/>
      <c r="AE427" s="31"/>
      <c r="AF427" s="1">
        <v>5000</v>
      </c>
      <c r="AG427" s="34"/>
      <c r="AH427" s="34"/>
      <c r="AI427" s="34"/>
      <c r="AJ427" s="34"/>
      <c r="AK427" s="34"/>
      <c r="AL427" s="34"/>
      <c r="AM427" s="34" t="s">
        <v>4</v>
      </c>
      <c r="AN427" s="34"/>
      <c r="AO427" s="34"/>
      <c r="AP427" s="34"/>
      <c r="AQ427" s="34" t="s">
        <v>854</v>
      </c>
      <c r="AR427" s="34"/>
      <c r="AS427" s="34"/>
      <c r="AT427" s="34"/>
      <c r="AU427" s="31"/>
      <c r="AV427" s="31" t="s">
        <v>793</v>
      </c>
      <c r="AW427" s="31"/>
      <c r="AX427" s="31"/>
      <c r="AY427" s="31" t="s">
        <v>809</v>
      </c>
      <c r="AZ427" s="62">
        <v>5000</v>
      </c>
      <c r="BA427" s="31"/>
      <c r="BB427" s="31"/>
      <c r="BC427" s="34"/>
      <c r="BD427" s="34" t="s">
        <v>788</v>
      </c>
      <c r="BE427" s="34"/>
      <c r="BF427" s="34"/>
      <c r="BG427" s="34"/>
      <c r="BH427" s="34"/>
      <c r="BI427" s="34"/>
      <c r="BJ427" s="31" t="s">
        <v>4</v>
      </c>
      <c r="BK427" s="34" t="s">
        <v>781</v>
      </c>
      <c r="BL427" s="34"/>
      <c r="BM427" s="34"/>
      <c r="BN427" s="34"/>
      <c r="BO427" s="31" t="s">
        <v>809</v>
      </c>
      <c r="BP427" s="31"/>
      <c r="BQ427" s="31"/>
      <c r="BR427" s="31"/>
      <c r="BS427" s="31"/>
      <c r="BT427" s="31" t="s">
        <v>809</v>
      </c>
      <c r="BU427" s="31"/>
      <c r="BV427" s="31"/>
      <c r="BW427" s="31"/>
      <c r="BX427" s="62">
        <v>5000</v>
      </c>
      <c r="BY427" s="31"/>
      <c r="BZ427" s="31" t="s">
        <v>892</v>
      </c>
      <c r="CA427" s="31"/>
      <c r="CB427" s="31"/>
      <c r="CC427" s="31"/>
      <c r="CD427" s="31"/>
      <c r="CE427" s="31"/>
      <c r="CF427" s="31" t="s">
        <v>4</v>
      </c>
      <c r="CG427" s="34" t="s">
        <v>785</v>
      </c>
      <c r="CH427" s="46">
        <v>3</v>
      </c>
      <c r="CI427" s="46"/>
      <c r="CJ427" s="46"/>
      <c r="CK427" s="31"/>
      <c r="CL427" s="31"/>
    </row>
    <row r="428" spans="1:96" ht="18.5" x14ac:dyDescent="0.45">
      <c r="A428" s="77" t="s">
        <v>364</v>
      </c>
      <c r="B428" s="78"/>
      <c r="C428" s="77"/>
      <c r="D428" s="77">
        <v>26380</v>
      </c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12"/>
      <c r="S428" s="12">
        <v>28162</v>
      </c>
      <c r="T428" s="12"/>
      <c r="U428" s="12"/>
      <c r="V428" s="12">
        <f t="shared" si="35"/>
        <v>54542</v>
      </c>
      <c r="W428" s="12">
        <f>AM428</f>
        <v>26000</v>
      </c>
      <c r="X428" s="12">
        <f t="shared" si="36"/>
        <v>28542</v>
      </c>
      <c r="Y428" s="34"/>
      <c r="Z428" s="34"/>
      <c r="AA428" s="34"/>
      <c r="AB428" s="34"/>
      <c r="AC428" s="34"/>
      <c r="AD428" s="34"/>
      <c r="AE428" s="34"/>
      <c r="AF428" s="34" t="s">
        <v>790</v>
      </c>
      <c r="AG428" s="34"/>
      <c r="AH428" s="34"/>
      <c r="AI428" s="34"/>
      <c r="AJ428" s="34"/>
      <c r="AK428" s="34"/>
      <c r="AL428" s="34"/>
      <c r="AM428" s="34">
        <v>26000</v>
      </c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46">
        <v>10</v>
      </c>
      <c r="CI428" s="46"/>
      <c r="CJ428" s="46"/>
      <c r="CK428" s="46"/>
      <c r="CL428" s="46"/>
      <c r="CM428" s="46"/>
      <c r="CN428" s="46"/>
      <c r="CO428" s="46"/>
      <c r="CP428" s="46"/>
      <c r="CQ428" s="46"/>
      <c r="CR428" s="46"/>
    </row>
    <row r="429" spans="1:96" x14ac:dyDescent="0.35">
      <c r="A429" s="12" t="s">
        <v>530</v>
      </c>
      <c r="B429" s="18"/>
      <c r="C429" s="34"/>
      <c r="D429" s="12">
        <v>65500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23">
        <f t="shared" si="35"/>
        <v>65500</v>
      </c>
      <c r="W429" s="12"/>
      <c r="X429" s="12">
        <f t="shared" si="36"/>
        <v>65500</v>
      </c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 t="s">
        <v>845</v>
      </c>
      <c r="AJ429" s="34"/>
      <c r="AK429" s="34"/>
      <c r="AL429" s="34"/>
      <c r="AM429" s="34"/>
      <c r="AN429" s="34"/>
      <c r="AO429" s="34"/>
      <c r="AP429" s="31" t="s">
        <v>4</v>
      </c>
      <c r="AQ429" s="31" t="s">
        <v>793</v>
      </c>
      <c r="AR429" s="31"/>
      <c r="AS429" s="31"/>
      <c r="AT429" s="31"/>
      <c r="AU429" s="31"/>
      <c r="AV429" s="31" t="s">
        <v>793</v>
      </c>
      <c r="AW429" s="31"/>
      <c r="AX429" s="31"/>
      <c r="AY429" s="31" t="s">
        <v>793</v>
      </c>
      <c r="AZ429" s="31"/>
      <c r="BA429" s="31"/>
      <c r="BB429" s="31"/>
      <c r="BC429" s="31" t="s">
        <v>809</v>
      </c>
      <c r="BD429" s="31"/>
      <c r="BE429" s="31" t="s">
        <v>793</v>
      </c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 t="s">
        <v>793</v>
      </c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</row>
    <row r="430" spans="1:96" x14ac:dyDescent="0.35">
      <c r="A430" s="12" t="s">
        <v>966</v>
      </c>
      <c r="B430" s="18" t="s">
        <v>899</v>
      </c>
      <c r="C430" s="34"/>
      <c r="D430" s="12">
        <v>20990.11</v>
      </c>
      <c r="E430" s="12"/>
      <c r="F430" s="12"/>
      <c r="G430" s="12"/>
      <c r="H430" s="12"/>
      <c r="I430" s="12"/>
      <c r="J430" s="12"/>
      <c r="K430" s="2">
        <v>5856.01</v>
      </c>
      <c r="L430" s="12"/>
      <c r="M430" s="12"/>
      <c r="N430" s="12"/>
      <c r="O430" s="12"/>
      <c r="P430" s="12"/>
      <c r="Q430" s="12"/>
      <c r="R430" s="12"/>
      <c r="S430" s="2">
        <v>5689</v>
      </c>
      <c r="T430" s="12"/>
      <c r="U430" s="12"/>
      <c r="V430" s="23">
        <f t="shared" si="35"/>
        <v>32535.120000000003</v>
      </c>
      <c r="W430" s="12"/>
      <c r="X430" s="12">
        <f t="shared" si="36"/>
        <v>32535.120000000003</v>
      </c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</row>
    <row r="431" spans="1:96" x14ac:dyDescent="0.35">
      <c r="A431" s="12" t="s">
        <v>365</v>
      </c>
      <c r="B431" s="3"/>
      <c r="C431" s="12"/>
      <c r="D431" s="12">
        <v>51438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23">
        <f t="shared" si="35"/>
        <v>51438</v>
      </c>
      <c r="W431" s="12"/>
      <c r="X431" s="23">
        <f t="shared" si="36"/>
        <v>51438</v>
      </c>
      <c r="Y431" s="31"/>
      <c r="Z431" s="31"/>
      <c r="AA431" s="31"/>
      <c r="AB431" s="31"/>
      <c r="AC431" s="31"/>
      <c r="AD431" s="31"/>
      <c r="AE431" s="34"/>
      <c r="AF431" s="34"/>
      <c r="AG431" s="34"/>
      <c r="AH431" s="34" t="s">
        <v>827</v>
      </c>
      <c r="AI431" s="34"/>
      <c r="AJ431" s="34"/>
      <c r="AK431" s="34"/>
      <c r="AL431" s="34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</row>
    <row r="432" spans="1:96" ht="18.5" x14ac:dyDescent="0.45">
      <c r="A432" s="77" t="s">
        <v>535</v>
      </c>
      <c r="B432" s="78" t="s">
        <v>1000</v>
      </c>
      <c r="C432" s="103"/>
      <c r="D432" s="77">
        <v>41000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23">
        <f t="shared" si="35"/>
        <v>41000</v>
      </c>
      <c r="W432" s="12"/>
      <c r="X432" s="12">
        <f t="shared" si="36"/>
        <v>41000</v>
      </c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4" t="s">
        <v>844</v>
      </c>
      <c r="AJ432" s="34"/>
      <c r="AK432" s="34"/>
      <c r="AL432" s="34"/>
      <c r="AM432" s="31" t="s">
        <v>4</v>
      </c>
      <c r="AN432" s="31"/>
      <c r="AO432" s="34" t="s">
        <v>853</v>
      </c>
      <c r="AP432" s="34"/>
      <c r="AQ432" s="34" t="s">
        <v>870</v>
      </c>
      <c r="AR432" s="34"/>
      <c r="AS432" s="31"/>
      <c r="AT432" s="34" t="s">
        <v>877</v>
      </c>
      <c r="AU432" s="34"/>
      <c r="AV432" s="31" t="s">
        <v>793</v>
      </c>
      <c r="AW432" s="31"/>
      <c r="AX432" s="31"/>
      <c r="AY432" s="31" t="s">
        <v>793</v>
      </c>
      <c r="AZ432" s="31"/>
      <c r="BA432" s="31"/>
      <c r="BB432" s="31"/>
      <c r="BC432" s="34" t="s">
        <v>782</v>
      </c>
      <c r="BD432" s="34"/>
      <c r="BE432" s="31" t="s">
        <v>793</v>
      </c>
      <c r="BF432" s="31"/>
      <c r="BG432" s="31"/>
      <c r="BH432" s="31"/>
      <c r="BI432" s="31"/>
      <c r="BJ432" s="34" t="s">
        <v>805</v>
      </c>
      <c r="BK432" s="34"/>
      <c r="BL432" s="34"/>
      <c r="BM432" s="31" t="s">
        <v>4</v>
      </c>
      <c r="BN432" s="31"/>
      <c r="BO432" s="31" t="s">
        <v>793</v>
      </c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 t="s">
        <v>793</v>
      </c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</row>
    <row r="433" spans="1:92" ht="18.5" x14ac:dyDescent="0.45">
      <c r="A433" s="77" t="s">
        <v>366</v>
      </c>
      <c r="B433" s="78" t="s">
        <v>1000</v>
      </c>
      <c r="C433" s="77"/>
      <c r="D433" s="77">
        <v>19220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23">
        <f t="shared" si="35"/>
        <v>19220</v>
      </c>
      <c r="W433" s="12"/>
      <c r="X433" s="23">
        <f t="shared" si="36"/>
        <v>19220</v>
      </c>
      <c r="Y433" s="31"/>
      <c r="Z433" s="31"/>
      <c r="AA433" s="31"/>
      <c r="AB433" s="31"/>
      <c r="AC433" s="31" t="s">
        <v>803</v>
      </c>
      <c r="AD433" s="31"/>
      <c r="AE433" s="31" t="s">
        <v>784</v>
      </c>
      <c r="AF433" s="31" t="s">
        <v>793</v>
      </c>
      <c r="AG433" s="31"/>
      <c r="AH433" s="34" t="s">
        <v>790</v>
      </c>
      <c r="AI433" s="34"/>
      <c r="AJ433" s="34"/>
      <c r="AK433" s="34"/>
      <c r="AL433" s="34"/>
      <c r="AM433" s="31" t="s">
        <v>4</v>
      </c>
      <c r="AN433" s="31"/>
      <c r="AO433" s="34" t="s">
        <v>870</v>
      </c>
      <c r="AP433" s="34"/>
      <c r="AQ433" s="34"/>
      <c r="AR433" s="34"/>
      <c r="AS433" s="31" t="s">
        <v>793</v>
      </c>
      <c r="AT433" s="34" t="s">
        <v>879</v>
      </c>
      <c r="AU433" s="34"/>
      <c r="AV433" s="34"/>
      <c r="AW433" s="34" t="s">
        <v>884</v>
      </c>
      <c r="AX433" s="34"/>
      <c r="AY433" s="31" t="s">
        <v>793</v>
      </c>
      <c r="AZ433" s="31"/>
      <c r="BA433" s="31"/>
      <c r="BB433" s="31"/>
      <c r="BC433" s="34" t="s">
        <v>785</v>
      </c>
      <c r="BD433" s="34"/>
      <c r="BE433" s="34"/>
      <c r="BF433" s="31" t="s">
        <v>4</v>
      </c>
      <c r="BG433" s="31"/>
      <c r="BH433" s="31"/>
      <c r="BI433" s="31"/>
      <c r="BJ433" s="31"/>
      <c r="BK433" s="31"/>
      <c r="BL433" s="31"/>
      <c r="BM433" s="31"/>
      <c r="BN433" s="31"/>
      <c r="BO433" s="34" t="s">
        <v>814</v>
      </c>
      <c r="BP433" s="34"/>
      <c r="BQ433" s="34"/>
      <c r="BR433" s="34"/>
      <c r="BS433" s="31" t="s">
        <v>4</v>
      </c>
      <c r="BT433" s="31" t="s">
        <v>793</v>
      </c>
      <c r="BU433" s="31"/>
      <c r="BV433" s="31"/>
      <c r="BW433" s="31"/>
      <c r="BX433" s="31"/>
      <c r="BY433" s="31"/>
      <c r="BZ433" s="31"/>
      <c r="CA433" s="31" t="s">
        <v>793</v>
      </c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</row>
    <row r="434" spans="1:92" ht="18.5" x14ac:dyDescent="0.45">
      <c r="A434" s="77" t="s">
        <v>367</v>
      </c>
      <c r="B434" s="78" t="s">
        <v>1013</v>
      </c>
      <c r="C434" s="77"/>
      <c r="D434" s="77">
        <v>49330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23">
        <f t="shared" si="35"/>
        <v>49330</v>
      </c>
      <c r="W434" s="12"/>
      <c r="X434" s="23">
        <f t="shared" si="36"/>
        <v>49330</v>
      </c>
      <c r="Y434" s="31"/>
      <c r="Z434" s="31"/>
      <c r="AA434" s="31"/>
      <c r="AB434" s="31"/>
      <c r="AC434" s="31"/>
      <c r="AD434" s="31"/>
      <c r="AE434" s="31"/>
      <c r="AF434" s="31" t="s">
        <v>793</v>
      </c>
      <c r="AG434" s="31"/>
      <c r="AH434" s="31" t="s">
        <v>793</v>
      </c>
      <c r="AI434" s="31"/>
      <c r="AJ434" s="31"/>
      <c r="AK434" s="31" t="s">
        <v>793</v>
      </c>
      <c r="AL434" s="31"/>
      <c r="AM434" s="31"/>
      <c r="AN434" s="31"/>
      <c r="AO434" s="31"/>
      <c r="AP434" s="31"/>
      <c r="AQ434" s="31" t="s">
        <v>793</v>
      </c>
      <c r="AR434" s="31"/>
      <c r="AS434" s="31" t="s">
        <v>793</v>
      </c>
      <c r="AT434" s="31"/>
      <c r="AU434" s="31"/>
      <c r="AV434" s="31" t="s">
        <v>793</v>
      </c>
      <c r="AW434" s="31"/>
      <c r="AX434" s="31"/>
      <c r="AY434" s="31" t="s">
        <v>793</v>
      </c>
      <c r="AZ434" s="31"/>
      <c r="BA434" s="31"/>
      <c r="BB434" s="31"/>
      <c r="BC434" s="31" t="s">
        <v>793</v>
      </c>
      <c r="BD434" s="31"/>
      <c r="BE434" s="31" t="s">
        <v>793</v>
      </c>
      <c r="BF434" s="31"/>
      <c r="BG434" s="31"/>
      <c r="BH434" s="31"/>
      <c r="BI434" s="31"/>
      <c r="BJ434" s="31"/>
      <c r="BK434" s="31"/>
      <c r="BL434" s="31"/>
      <c r="BM434" s="31"/>
      <c r="BN434" s="31"/>
      <c r="BO434" s="31" t="s">
        <v>794</v>
      </c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 t="s">
        <v>793</v>
      </c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</row>
    <row r="435" spans="1:92" x14ac:dyDescent="0.35">
      <c r="A435" s="12" t="s">
        <v>368</v>
      </c>
      <c r="B435" s="3" t="s">
        <v>1013</v>
      </c>
      <c r="C435" s="12"/>
      <c r="D435" s="12">
        <v>786513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2">
        <v>15153.02</v>
      </c>
      <c r="S435" s="12"/>
      <c r="T435" s="12"/>
      <c r="U435" s="12"/>
      <c r="V435" s="23">
        <f t="shared" si="35"/>
        <v>801666.02</v>
      </c>
      <c r="W435" s="12"/>
      <c r="X435" s="23">
        <f t="shared" si="36"/>
        <v>801666.02</v>
      </c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4" t="s">
        <v>839</v>
      </c>
      <c r="AL435" s="34"/>
      <c r="AM435" s="34"/>
      <c r="AN435" s="34"/>
      <c r="AO435" s="34"/>
      <c r="AP435" s="34"/>
      <c r="AQ435" s="34"/>
      <c r="AR435" s="31" t="s">
        <v>4</v>
      </c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</row>
    <row r="436" spans="1:92" ht="18.5" x14ac:dyDescent="0.45">
      <c r="A436" s="77" t="s">
        <v>369</v>
      </c>
      <c r="B436" s="78" t="s">
        <v>1013</v>
      </c>
      <c r="C436" s="77"/>
      <c r="D436" s="77">
        <v>2000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23">
        <f t="shared" si="35"/>
        <v>2000</v>
      </c>
      <c r="W436" s="12"/>
      <c r="X436" s="23">
        <f t="shared" si="36"/>
        <v>2000</v>
      </c>
      <c r="Y436" s="31"/>
      <c r="Z436" s="31"/>
      <c r="AA436" s="31"/>
      <c r="AB436" s="31"/>
      <c r="AC436" s="31" t="s">
        <v>793</v>
      </c>
      <c r="AD436" s="31"/>
      <c r="AE436" s="31"/>
      <c r="AF436" s="31" t="s">
        <v>793</v>
      </c>
      <c r="AG436" s="31"/>
      <c r="AH436" s="31" t="s">
        <v>793</v>
      </c>
      <c r="AI436" s="31"/>
      <c r="AJ436" s="31"/>
      <c r="AK436" s="31" t="s">
        <v>793</v>
      </c>
      <c r="AL436" s="31"/>
      <c r="AM436" s="31"/>
      <c r="AN436" s="31"/>
      <c r="AO436" s="31"/>
      <c r="AP436" s="31"/>
      <c r="AQ436" s="31" t="s">
        <v>793</v>
      </c>
      <c r="AR436" s="31"/>
      <c r="AS436" s="31" t="s">
        <v>793</v>
      </c>
      <c r="AT436" s="31"/>
      <c r="AU436" s="31"/>
      <c r="AV436" s="31" t="s">
        <v>793</v>
      </c>
      <c r="AW436" s="31"/>
      <c r="AX436" s="31"/>
      <c r="AY436" s="31" t="s">
        <v>793</v>
      </c>
      <c r="AZ436" s="31"/>
      <c r="BA436" s="31"/>
      <c r="BB436" s="31"/>
      <c r="BC436" s="31" t="s">
        <v>793</v>
      </c>
      <c r="BD436" s="31"/>
      <c r="BE436" s="31" t="s">
        <v>793</v>
      </c>
      <c r="BF436" s="31"/>
      <c r="BG436" s="31"/>
      <c r="BH436" s="31"/>
      <c r="BI436" s="31"/>
      <c r="BJ436" s="31"/>
      <c r="BK436" s="31"/>
      <c r="BL436" s="31"/>
      <c r="BM436" s="31"/>
      <c r="BN436" s="31"/>
      <c r="BO436" s="31" t="s">
        <v>793</v>
      </c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 t="s">
        <v>793</v>
      </c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</row>
    <row r="437" spans="1:92" x14ac:dyDescent="0.35">
      <c r="A437" s="12" t="s">
        <v>547</v>
      </c>
      <c r="B437" s="3"/>
      <c r="C437" s="12"/>
      <c r="D437" s="12">
        <v>102070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23">
        <f t="shared" si="35"/>
        <v>102070</v>
      </c>
      <c r="W437" s="12"/>
      <c r="X437" s="12">
        <f t="shared" si="36"/>
        <v>102070</v>
      </c>
      <c r="Y437" s="12"/>
      <c r="Z437" s="12"/>
      <c r="AA437" s="12"/>
      <c r="AB437" s="12"/>
      <c r="AC437" s="12"/>
      <c r="AD437" s="12"/>
      <c r="AE437" s="12"/>
      <c r="AF437" s="12"/>
      <c r="AG437" s="12"/>
      <c r="AH437" s="31" t="s">
        <v>4</v>
      </c>
      <c r="AI437" s="31"/>
      <c r="AJ437" s="31"/>
      <c r="AK437" s="31" t="s">
        <v>793</v>
      </c>
      <c r="AL437" s="31"/>
      <c r="AM437" s="31"/>
      <c r="AN437" s="31"/>
      <c r="AO437" s="31"/>
      <c r="AP437" s="31"/>
      <c r="AQ437" s="31" t="s">
        <v>794</v>
      </c>
      <c r="AR437" s="31"/>
      <c r="AS437" s="31" t="s">
        <v>794</v>
      </c>
      <c r="AT437" s="31"/>
      <c r="AU437" s="31"/>
      <c r="AV437" s="31" t="s">
        <v>794</v>
      </c>
      <c r="AW437" s="31"/>
      <c r="AX437" s="31"/>
      <c r="AY437" s="31" t="s">
        <v>794</v>
      </c>
      <c r="AZ437" s="31"/>
      <c r="BA437" s="31"/>
      <c r="BB437" s="31"/>
      <c r="BC437" s="31" t="s">
        <v>793</v>
      </c>
      <c r="BD437" s="31"/>
      <c r="BE437" s="31" t="s">
        <v>794</v>
      </c>
      <c r="BF437" s="31"/>
      <c r="BG437" s="31"/>
      <c r="BH437" s="31"/>
      <c r="BI437" s="31"/>
      <c r="BJ437" s="31"/>
      <c r="BK437" s="31"/>
      <c r="BL437" s="31"/>
      <c r="BM437" s="31"/>
      <c r="BN437" s="31"/>
      <c r="BO437" s="31" t="s">
        <v>794</v>
      </c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 t="s">
        <v>794</v>
      </c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</row>
    <row r="438" spans="1:92" x14ac:dyDescent="0.35">
      <c r="A438" s="12" t="s">
        <v>550</v>
      </c>
      <c r="B438" s="3"/>
      <c r="C438" s="12"/>
      <c r="D438" s="12">
        <v>4150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23">
        <f t="shared" si="35"/>
        <v>4150</v>
      </c>
      <c r="W438" s="12"/>
      <c r="X438" s="12">
        <f t="shared" si="36"/>
        <v>4150</v>
      </c>
      <c r="Y438" s="12"/>
      <c r="Z438" s="12"/>
      <c r="AA438" s="12"/>
      <c r="AB438" s="12"/>
      <c r="AC438" s="12"/>
      <c r="AD438" s="12"/>
      <c r="AE438" s="12"/>
      <c r="AF438" s="12"/>
      <c r="AG438" s="12"/>
      <c r="AH438" s="31" t="s">
        <v>4</v>
      </c>
      <c r="AI438" s="31"/>
      <c r="AJ438" s="31"/>
      <c r="AK438" s="31" t="s">
        <v>794</v>
      </c>
      <c r="AL438" s="31"/>
      <c r="AM438" s="31"/>
      <c r="AN438" s="31"/>
      <c r="AO438" s="31"/>
      <c r="AP438" s="31"/>
      <c r="AQ438" s="31" t="s">
        <v>794</v>
      </c>
      <c r="AR438" s="31"/>
      <c r="AS438" s="31" t="s">
        <v>794</v>
      </c>
      <c r="AT438" s="31"/>
      <c r="AU438" s="31"/>
      <c r="AV438" s="31" t="s">
        <v>794</v>
      </c>
      <c r="AW438" s="31"/>
      <c r="AX438" s="31"/>
      <c r="AY438" s="31" t="s">
        <v>794</v>
      </c>
      <c r="AZ438" s="31"/>
      <c r="BA438" s="31"/>
      <c r="BB438" s="31"/>
      <c r="BC438" s="31" t="s">
        <v>794</v>
      </c>
      <c r="BD438" s="31"/>
      <c r="BE438" s="31" t="s">
        <v>793</v>
      </c>
      <c r="BF438" s="31"/>
      <c r="BG438" s="31"/>
      <c r="BH438" s="31"/>
      <c r="BI438" s="31"/>
      <c r="BJ438" s="31"/>
      <c r="BK438" s="31"/>
      <c r="BL438" s="31"/>
      <c r="BM438" s="31"/>
      <c r="BN438" s="31"/>
      <c r="BO438" s="31" t="s">
        <v>794</v>
      </c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 t="s">
        <v>794</v>
      </c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</row>
    <row r="439" spans="1:92" x14ac:dyDescent="0.35">
      <c r="A439" s="12" t="s">
        <v>370</v>
      </c>
      <c r="B439" s="3"/>
      <c r="C439" s="12"/>
      <c r="D439" s="12">
        <v>177630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23">
        <f t="shared" si="35"/>
        <v>177630</v>
      </c>
      <c r="W439" s="12"/>
      <c r="X439" s="23">
        <f t="shared" si="36"/>
        <v>177630</v>
      </c>
      <c r="Y439" s="31"/>
      <c r="Z439" s="31"/>
      <c r="AA439" s="31"/>
      <c r="AB439" s="31"/>
      <c r="AC439" s="31" t="s">
        <v>793</v>
      </c>
      <c r="AD439" s="31"/>
      <c r="AE439" s="31"/>
      <c r="AF439" s="31" t="s">
        <v>793</v>
      </c>
      <c r="AG439" s="31"/>
      <c r="AH439" s="31" t="s">
        <v>793</v>
      </c>
      <c r="AI439" s="31"/>
      <c r="AJ439" s="31"/>
      <c r="AK439" s="31" t="s">
        <v>793</v>
      </c>
      <c r="AL439" s="31"/>
      <c r="AM439" s="31"/>
      <c r="AN439" s="31"/>
      <c r="AO439" s="31"/>
      <c r="AP439" s="31"/>
      <c r="AQ439" s="31" t="s">
        <v>793</v>
      </c>
      <c r="AR439" s="31"/>
      <c r="AS439" s="31" t="s">
        <v>793</v>
      </c>
      <c r="AT439" s="31"/>
      <c r="AU439" s="31"/>
      <c r="AV439" s="31" t="s">
        <v>793</v>
      </c>
      <c r="AW439" s="31"/>
      <c r="AX439" s="31"/>
      <c r="AY439" s="31" t="s">
        <v>793</v>
      </c>
      <c r="AZ439" s="31"/>
      <c r="BA439" s="31"/>
      <c r="BB439" s="31"/>
      <c r="BC439" s="31" t="s">
        <v>803</v>
      </c>
      <c r="BD439" s="31"/>
      <c r="BE439" s="31" t="s">
        <v>803</v>
      </c>
      <c r="BF439" s="31"/>
      <c r="BG439" s="31"/>
      <c r="BH439" s="31"/>
      <c r="BI439" s="31"/>
      <c r="BJ439" s="31"/>
      <c r="BK439" s="31"/>
      <c r="BL439" s="31"/>
      <c r="BM439" s="31"/>
      <c r="BN439" s="31"/>
      <c r="BO439" s="31" t="s">
        <v>803</v>
      </c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 t="s">
        <v>803</v>
      </c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</row>
    <row r="440" spans="1:92" ht="18.5" x14ac:dyDescent="0.45">
      <c r="A440" s="77" t="s">
        <v>371</v>
      </c>
      <c r="B440" s="78" t="s">
        <v>1000</v>
      </c>
      <c r="C440" s="77"/>
      <c r="D440" s="77">
        <v>20425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23">
        <f t="shared" si="35"/>
        <v>20425</v>
      </c>
      <c r="W440" s="12"/>
      <c r="X440" s="23">
        <f t="shared" si="36"/>
        <v>20425</v>
      </c>
      <c r="Y440" s="31"/>
      <c r="Z440" s="31"/>
      <c r="AA440" s="31"/>
      <c r="AB440" s="31"/>
      <c r="AC440" s="31" t="s">
        <v>793</v>
      </c>
      <c r="AD440" s="31"/>
      <c r="AE440" s="31"/>
      <c r="AF440" s="31" t="s">
        <v>793</v>
      </c>
      <c r="AG440" s="31"/>
      <c r="AH440" s="31" t="s">
        <v>793</v>
      </c>
      <c r="AI440" s="31"/>
      <c r="AJ440" s="31"/>
      <c r="AK440" s="31" t="s">
        <v>793</v>
      </c>
      <c r="AL440" s="31"/>
      <c r="AM440" s="31"/>
      <c r="AN440" s="31"/>
      <c r="AO440" s="31"/>
      <c r="AP440" s="31"/>
      <c r="AQ440" s="31" t="s">
        <v>793</v>
      </c>
      <c r="AR440" s="31"/>
      <c r="AS440" s="31" t="s">
        <v>793</v>
      </c>
      <c r="AT440" s="31"/>
      <c r="AU440" s="31"/>
      <c r="AV440" s="31" t="s">
        <v>793</v>
      </c>
      <c r="AW440" s="31"/>
      <c r="AX440" s="31"/>
      <c r="AY440" s="31" t="s">
        <v>803</v>
      </c>
      <c r="AZ440" s="31"/>
      <c r="BA440" s="31"/>
      <c r="BB440" s="31"/>
      <c r="BC440" s="31" t="s">
        <v>803</v>
      </c>
      <c r="BD440" s="31"/>
      <c r="BE440" s="31" t="s">
        <v>793</v>
      </c>
      <c r="BF440" s="31"/>
      <c r="BG440" s="31"/>
      <c r="BH440" s="31"/>
      <c r="BI440" s="31"/>
      <c r="BJ440" s="31"/>
      <c r="BK440" s="31"/>
      <c r="BL440" s="31"/>
      <c r="BM440" s="31"/>
      <c r="BN440" s="31"/>
      <c r="BO440" s="31" t="s">
        <v>803</v>
      </c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 t="s">
        <v>803</v>
      </c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</row>
    <row r="441" spans="1:92" ht="18.5" x14ac:dyDescent="0.45">
      <c r="A441" s="77" t="s">
        <v>372</v>
      </c>
      <c r="B441" s="78"/>
      <c r="C441" s="77"/>
      <c r="D441" s="77">
        <v>56940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23">
        <f t="shared" si="35"/>
        <v>56940</v>
      </c>
      <c r="W441" s="12"/>
      <c r="X441" s="23">
        <f t="shared" si="36"/>
        <v>56940</v>
      </c>
      <c r="Y441" s="31"/>
      <c r="Z441" s="31"/>
      <c r="AA441" s="31"/>
      <c r="AB441" s="31"/>
      <c r="AC441" s="31" t="s">
        <v>793</v>
      </c>
      <c r="AD441" s="31"/>
      <c r="AE441" s="31"/>
      <c r="AF441" s="31" t="s">
        <v>793</v>
      </c>
      <c r="AG441" s="31"/>
      <c r="AH441" s="31" t="s">
        <v>793</v>
      </c>
      <c r="AI441" s="31"/>
      <c r="AJ441" s="31"/>
      <c r="AK441" s="31" t="s">
        <v>793</v>
      </c>
      <c r="AL441" s="31"/>
      <c r="AM441" s="31"/>
      <c r="AN441" s="31"/>
      <c r="AO441" s="31"/>
      <c r="AP441" s="31"/>
      <c r="AQ441" s="31" t="s">
        <v>793</v>
      </c>
      <c r="AR441" s="31"/>
      <c r="AS441" s="31" t="s">
        <v>793</v>
      </c>
      <c r="AT441" s="31"/>
      <c r="AU441" s="31"/>
      <c r="AV441" s="31" t="s">
        <v>793</v>
      </c>
      <c r="AW441" s="31"/>
      <c r="AX441" s="31"/>
      <c r="AY441" s="31" t="s">
        <v>793</v>
      </c>
      <c r="AZ441" s="31"/>
      <c r="BA441" s="31"/>
      <c r="BB441" s="31"/>
      <c r="BC441" s="31" t="s">
        <v>793</v>
      </c>
      <c r="BD441" s="31"/>
      <c r="BE441" s="31" t="s">
        <v>793</v>
      </c>
      <c r="BF441" s="31"/>
      <c r="BG441" s="31"/>
      <c r="BH441" s="31"/>
      <c r="BI441" s="31"/>
      <c r="BJ441" s="31"/>
      <c r="BK441" s="31"/>
      <c r="BL441" s="31"/>
      <c r="BM441" s="31"/>
      <c r="BN441" s="31"/>
      <c r="BO441" s="31" t="s">
        <v>793</v>
      </c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 t="s">
        <v>793</v>
      </c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</row>
    <row r="442" spans="1:92" x14ac:dyDescent="0.35">
      <c r="A442" s="12" t="s">
        <v>373</v>
      </c>
      <c r="B442" s="3"/>
      <c r="C442" s="12"/>
      <c r="D442" s="12">
        <v>22980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23">
        <f t="shared" si="35"/>
        <v>22980</v>
      </c>
      <c r="W442" s="12"/>
      <c r="X442" s="23">
        <f t="shared" si="36"/>
        <v>22980</v>
      </c>
      <c r="Y442" s="14"/>
      <c r="Z442" s="14"/>
      <c r="AA442" s="14"/>
      <c r="AB442" s="14"/>
      <c r="AC442" s="14" t="s">
        <v>793</v>
      </c>
      <c r="AD442" s="14"/>
      <c r="AE442" s="14"/>
      <c r="AF442" s="14" t="s">
        <v>793</v>
      </c>
      <c r="AG442" s="14"/>
      <c r="AH442" s="14" t="s">
        <v>793</v>
      </c>
      <c r="AI442" s="31"/>
      <c r="AJ442" s="31"/>
      <c r="AK442" s="31" t="s">
        <v>793</v>
      </c>
      <c r="AL442" s="31"/>
      <c r="AM442" s="31"/>
      <c r="AN442" s="31"/>
      <c r="AO442" s="31"/>
      <c r="AP442" s="31"/>
      <c r="AQ442" s="31" t="s">
        <v>793</v>
      </c>
      <c r="AR442" s="31"/>
      <c r="AS442" s="31" t="s">
        <v>793</v>
      </c>
      <c r="AT442" s="31"/>
      <c r="AU442" s="31"/>
      <c r="AV442" s="31" t="s">
        <v>793</v>
      </c>
      <c r="AW442" s="31"/>
      <c r="AX442" s="31"/>
      <c r="AY442" s="31" t="s">
        <v>793</v>
      </c>
      <c r="AZ442" s="31"/>
      <c r="BA442" s="31"/>
      <c r="BB442" s="31"/>
      <c r="BC442" s="31" t="s">
        <v>793</v>
      </c>
      <c r="BD442" s="31"/>
      <c r="BE442" s="31" t="s">
        <v>793</v>
      </c>
      <c r="BF442" s="31"/>
      <c r="BG442" s="31"/>
      <c r="BH442" s="31"/>
      <c r="BI442" s="31"/>
      <c r="BJ442" s="31"/>
      <c r="BK442" s="31"/>
      <c r="BL442" s="31"/>
      <c r="BM442" s="31"/>
      <c r="BN442" s="31"/>
      <c r="BO442" s="31" t="s">
        <v>793</v>
      </c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 t="s">
        <v>793</v>
      </c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</row>
    <row r="443" spans="1:92" ht="18.5" x14ac:dyDescent="0.45">
      <c r="A443" s="77" t="s">
        <v>374</v>
      </c>
      <c r="B443" s="78" t="s">
        <v>1028</v>
      </c>
      <c r="C443" s="77"/>
      <c r="D443" s="77">
        <v>11780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23">
        <f t="shared" si="35"/>
        <v>11780</v>
      </c>
      <c r="W443" s="12"/>
      <c r="X443" s="23">
        <f t="shared" si="36"/>
        <v>11780</v>
      </c>
      <c r="Y443" s="31"/>
      <c r="Z443" s="31"/>
      <c r="AA443" s="31"/>
      <c r="AB443" s="31"/>
      <c r="AC443" s="31" t="s">
        <v>793</v>
      </c>
      <c r="AD443" s="31"/>
      <c r="AE443" s="31"/>
      <c r="AF443" s="31" t="s">
        <v>793</v>
      </c>
      <c r="AG443" s="31"/>
      <c r="AH443" s="31" t="s">
        <v>793</v>
      </c>
      <c r="AI443" s="31"/>
      <c r="AJ443" s="31"/>
      <c r="AK443" s="31" t="s">
        <v>793</v>
      </c>
      <c r="AL443" s="31"/>
      <c r="AM443" s="31"/>
      <c r="AN443" s="31"/>
      <c r="AO443" s="31"/>
      <c r="AP443" s="31"/>
      <c r="AQ443" s="31" t="s">
        <v>793</v>
      </c>
      <c r="AR443" s="31"/>
      <c r="AS443" s="31" t="s">
        <v>793</v>
      </c>
      <c r="AT443" s="31"/>
      <c r="AU443" s="31"/>
      <c r="AV443" s="31" t="s">
        <v>793</v>
      </c>
      <c r="AW443" s="31"/>
      <c r="AX443" s="31"/>
      <c r="AY443" s="31" t="s">
        <v>793</v>
      </c>
      <c r="AZ443" s="31"/>
      <c r="BA443" s="31"/>
      <c r="BB443" s="31"/>
      <c r="BC443" s="31" t="s">
        <v>793</v>
      </c>
      <c r="BD443" s="31"/>
      <c r="BE443" s="31" t="s">
        <v>793</v>
      </c>
      <c r="BF443" s="31"/>
      <c r="BG443" s="31"/>
      <c r="BH443" s="31"/>
      <c r="BI443" s="31"/>
      <c r="BJ443" s="31"/>
      <c r="BK443" s="31"/>
      <c r="BL443" s="31"/>
      <c r="BM443" s="31"/>
      <c r="BN443" s="31"/>
      <c r="BO443" s="31" t="s">
        <v>793</v>
      </c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 t="s">
        <v>793</v>
      </c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</row>
    <row r="444" spans="1:92" x14ac:dyDescent="0.35">
      <c r="A444" s="12" t="s">
        <v>375</v>
      </c>
      <c r="B444" s="3"/>
      <c r="C444" s="12"/>
      <c r="D444" s="12">
        <v>128495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23">
        <f t="shared" si="35"/>
        <v>128495</v>
      </c>
      <c r="W444" s="12">
        <f>15000+10000</f>
        <v>25000</v>
      </c>
      <c r="X444" s="23">
        <f t="shared" si="36"/>
        <v>103495</v>
      </c>
      <c r="Y444" s="1">
        <v>15000</v>
      </c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1" t="s">
        <v>4</v>
      </c>
      <c r="AN444" s="31"/>
      <c r="AO444" s="31"/>
      <c r="AP444" s="34" t="s">
        <v>877</v>
      </c>
      <c r="AQ444" s="34"/>
      <c r="AR444" s="34"/>
      <c r="AS444" s="34"/>
      <c r="AT444" s="34"/>
      <c r="AU444" s="34"/>
      <c r="AV444" s="34"/>
      <c r="AW444" s="34" t="s">
        <v>892</v>
      </c>
      <c r="AX444" s="34"/>
      <c r="AY444" s="34"/>
      <c r="AZ444" s="34"/>
      <c r="BA444" s="31" t="s">
        <v>4</v>
      </c>
      <c r="BB444" s="31"/>
      <c r="BC444" s="34" t="s">
        <v>788</v>
      </c>
      <c r="BD444" s="34"/>
      <c r="BE444" s="34"/>
      <c r="BF444" s="34"/>
      <c r="BG444" s="34"/>
      <c r="BH444" s="1">
        <v>10000</v>
      </c>
      <c r="BI444" s="34"/>
      <c r="BJ444" s="34" t="s">
        <v>983</v>
      </c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1" t="s">
        <v>4</v>
      </c>
      <c r="CC444" s="31"/>
      <c r="CD444" s="31"/>
      <c r="CE444" s="31"/>
      <c r="CF444" s="31"/>
      <c r="CG444" s="34" t="s">
        <v>326</v>
      </c>
      <c r="CH444" s="46">
        <v>6</v>
      </c>
      <c r="CI444" s="46"/>
      <c r="CJ444" s="46"/>
      <c r="CK444" s="46"/>
      <c r="CL444" s="46"/>
      <c r="CM444" s="46"/>
      <c r="CN444" s="46"/>
    </row>
    <row r="445" spans="1:92" x14ac:dyDescent="0.35">
      <c r="A445" s="12" t="s">
        <v>376</v>
      </c>
      <c r="B445" s="3"/>
      <c r="C445" s="12"/>
      <c r="D445" s="12">
        <v>15500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23">
        <f t="shared" si="35"/>
        <v>15500</v>
      </c>
      <c r="W445" s="12"/>
      <c r="X445" s="23">
        <f t="shared" si="36"/>
        <v>15500</v>
      </c>
      <c r="Y445" s="31"/>
      <c r="Z445" s="31"/>
      <c r="AA445" s="31"/>
      <c r="AB445" s="34" t="s">
        <v>805</v>
      </c>
      <c r="AC445" s="34"/>
      <c r="AD445" s="34"/>
      <c r="AE445" s="34"/>
      <c r="AF445" s="34"/>
      <c r="AG445" s="34"/>
      <c r="AH445" s="34" t="s">
        <v>790</v>
      </c>
      <c r="AI445" s="34"/>
      <c r="AJ445" s="34"/>
      <c r="AK445" s="34"/>
      <c r="AL445" s="34"/>
      <c r="AM445" s="31" t="s">
        <v>4</v>
      </c>
      <c r="AN445" s="31"/>
      <c r="AO445" s="31"/>
      <c r="AP445" s="31"/>
      <c r="AQ445" s="31" t="s">
        <v>793</v>
      </c>
      <c r="AR445" s="31"/>
      <c r="AS445" s="31" t="s">
        <v>793</v>
      </c>
      <c r="AT445" s="31"/>
      <c r="AU445" s="31"/>
      <c r="AV445" s="31" t="s">
        <v>793</v>
      </c>
      <c r="AW445" s="31"/>
      <c r="AX445" s="31"/>
      <c r="AY445" s="31" t="s">
        <v>793</v>
      </c>
      <c r="AZ445" s="31"/>
      <c r="BA445" s="31"/>
      <c r="BB445" s="31"/>
      <c r="BC445" s="31" t="s">
        <v>793</v>
      </c>
      <c r="BD445" s="31"/>
      <c r="BE445" s="31" t="s">
        <v>793</v>
      </c>
      <c r="BF445" s="31"/>
      <c r="BG445" s="31"/>
      <c r="BH445" s="31"/>
      <c r="BI445" s="31"/>
      <c r="BJ445" s="31"/>
      <c r="BK445" s="31"/>
      <c r="BL445" s="31"/>
      <c r="BM445" s="31"/>
      <c r="BN445" s="31"/>
      <c r="BO445" s="31" t="s">
        <v>793</v>
      </c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 t="s">
        <v>793</v>
      </c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</row>
    <row r="446" spans="1:92" x14ac:dyDescent="0.35">
      <c r="A446" s="12" t="s">
        <v>377</v>
      </c>
      <c r="B446" s="3"/>
      <c r="C446" s="12"/>
      <c r="D446" s="12">
        <v>84965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23">
        <f t="shared" si="35"/>
        <v>84965</v>
      </c>
      <c r="W446" s="12"/>
      <c r="X446" s="23">
        <f t="shared" si="36"/>
        <v>84965</v>
      </c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 t="s">
        <v>855</v>
      </c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 t="s">
        <v>794</v>
      </c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</row>
    <row r="447" spans="1:92" ht="18.5" x14ac:dyDescent="0.45">
      <c r="A447" s="77" t="s">
        <v>378</v>
      </c>
      <c r="B447" s="78" t="s">
        <v>1000</v>
      </c>
      <c r="C447" s="77"/>
      <c r="D447" s="77">
        <v>5750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23">
        <f t="shared" si="35"/>
        <v>5750</v>
      </c>
      <c r="W447" s="12"/>
      <c r="X447" s="23">
        <f t="shared" si="36"/>
        <v>5750</v>
      </c>
      <c r="Y447" s="1" t="s">
        <v>787</v>
      </c>
      <c r="Z447" s="31"/>
      <c r="AA447" s="31"/>
      <c r="AB447" s="31"/>
      <c r="AC447" s="34" t="s">
        <v>814</v>
      </c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1" t="s">
        <v>4</v>
      </c>
      <c r="AO447" s="31"/>
      <c r="AP447" s="31"/>
      <c r="AQ447" s="31" t="s">
        <v>793</v>
      </c>
      <c r="AR447" s="31"/>
      <c r="AS447" s="31" t="s">
        <v>793</v>
      </c>
      <c r="AT447" s="31"/>
      <c r="AU447" s="31"/>
      <c r="AV447" s="31" t="s">
        <v>793</v>
      </c>
      <c r="AW447" s="31"/>
      <c r="AX447" s="31"/>
      <c r="AY447" s="31" t="s">
        <v>793</v>
      </c>
      <c r="AZ447" s="31"/>
      <c r="BA447" s="31"/>
      <c r="BB447" s="31"/>
      <c r="BC447" s="31" t="s">
        <v>793</v>
      </c>
      <c r="BD447" s="31"/>
      <c r="BE447" s="31" t="s">
        <v>793</v>
      </c>
      <c r="BF447" s="52">
        <v>0.70833333333333337</v>
      </c>
      <c r="BG447" s="31"/>
      <c r="BH447" s="31"/>
      <c r="BI447" s="31"/>
      <c r="BJ447" s="31"/>
      <c r="BK447" s="31"/>
      <c r="BL447" s="31"/>
      <c r="BM447" s="31"/>
      <c r="BN447" s="31"/>
      <c r="BO447" s="31" t="s">
        <v>793</v>
      </c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 t="s">
        <v>896</v>
      </c>
      <c r="CA447" s="31"/>
      <c r="CB447" s="31"/>
      <c r="CC447" s="31"/>
      <c r="CD447" s="31"/>
      <c r="CE447" s="31" t="s">
        <v>4</v>
      </c>
      <c r="CF447" s="31"/>
      <c r="CG447" s="31"/>
      <c r="CH447" s="31"/>
      <c r="CI447" s="31"/>
      <c r="CJ447" s="31"/>
      <c r="CK447" s="31"/>
      <c r="CL447" s="31"/>
    </row>
    <row r="448" spans="1:92" ht="18.5" x14ac:dyDescent="0.45">
      <c r="A448" s="77" t="s">
        <v>379</v>
      </c>
      <c r="B448" s="78" t="s">
        <v>1028</v>
      </c>
      <c r="C448" s="77"/>
      <c r="D448" s="77">
        <v>139530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23">
        <f t="shared" si="35"/>
        <v>139530</v>
      </c>
      <c r="W448" s="12"/>
      <c r="X448" s="23">
        <f t="shared" si="36"/>
        <v>139530</v>
      </c>
      <c r="Y448" s="1" t="s">
        <v>785</v>
      </c>
      <c r="Z448" s="34"/>
      <c r="AA448" s="31" t="s">
        <v>4</v>
      </c>
      <c r="AB448" s="31"/>
      <c r="AC448" s="31"/>
      <c r="AD448" s="31"/>
      <c r="AE448" s="31"/>
      <c r="AF448" s="31" t="s">
        <v>793</v>
      </c>
      <c r="AG448" s="31"/>
      <c r="AH448" s="31" t="s">
        <v>793</v>
      </c>
      <c r="AI448" s="31"/>
      <c r="AJ448" s="31"/>
      <c r="AK448" s="31" t="s">
        <v>793</v>
      </c>
      <c r="AL448" s="31"/>
      <c r="AM448" s="31"/>
      <c r="AN448" s="31"/>
      <c r="AO448" s="31"/>
      <c r="AP448" s="31"/>
      <c r="AQ448" s="34" t="s">
        <v>793</v>
      </c>
      <c r="AR448" s="34" t="s">
        <v>879</v>
      </c>
      <c r="AS448" s="34"/>
      <c r="AT448" s="34"/>
      <c r="AU448" s="34"/>
      <c r="AV448" s="34"/>
      <c r="AW448" s="34" t="s">
        <v>896</v>
      </c>
      <c r="AX448" s="34"/>
      <c r="AY448" s="34"/>
      <c r="AZ448" s="31" t="s">
        <v>4</v>
      </c>
      <c r="BA448" s="31"/>
      <c r="BB448" s="31"/>
      <c r="BC448" s="31" t="s">
        <v>793</v>
      </c>
      <c r="BD448" s="34" t="s">
        <v>168</v>
      </c>
      <c r="BE448" s="34"/>
      <c r="BF448" s="34"/>
      <c r="BG448" s="34"/>
      <c r="BH448" s="31" t="s">
        <v>4</v>
      </c>
      <c r="BI448" s="31"/>
      <c r="BJ448" s="31"/>
      <c r="BK448" s="31"/>
      <c r="BL448" s="34" t="s">
        <v>790</v>
      </c>
      <c r="BM448" s="34"/>
      <c r="BN448" s="34"/>
      <c r="BO448" s="34"/>
      <c r="BP448" s="34"/>
      <c r="BQ448" s="34"/>
      <c r="BR448" s="31" t="s">
        <v>4</v>
      </c>
      <c r="BS448" s="31"/>
      <c r="BT448" s="31"/>
      <c r="BU448" s="31"/>
      <c r="BV448" s="31"/>
      <c r="BW448" s="31"/>
      <c r="BX448" s="31"/>
      <c r="BY448" s="31"/>
      <c r="BZ448" s="31"/>
      <c r="CA448" s="31" t="s">
        <v>793</v>
      </c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</row>
    <row r="449" spans="1:133" x14ac:dyDescent="0.35">
      <c r="A449" s="12" t="s">
        <v>380</v>
      </c>
      <c r="B449" s="3"/>
      <c r="C449" s="12"/>
      <c r="D449" s="12">
        <v>150000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23">
        <f t="shared" si="35"/>
        <v>150000</v>
      </c>
      <c r="W449" s="12"/>
      <c r="X449" s="23">
        <f t="shared" si="36"/>
        <v>150000</v>
      </c>
      <c r="Y449" s="12" t="s">
        <v>168</v>
      </c>
      <c r="Z449" s="34"/>
      <c r="AA449" s="34"/>
      <c r="AB449" s="34"/>
      <c r="AC449" s="31" t="s">
        <v>793</v>
      </c>
      <c r="AD449" s="31"/>
      <c r="AE449" s="31"/>
      <c r="AF449" s="31" t="s">
        <v>793</v>
      </c>
      <c r="AG449" s="31"/>
      <c r="AH449" s="31" t="s">
        <v>793</v>
      </c>
      <c r="AI449" s="31"/>
      <c r="AJ449" s="31"/>
      <c r="AK449" s="31" t="s">
        <v>793</v>
      </c>
      <c r="AL449" s="34"/>
      <c r="AM449" s="34"/>
      <c r="AN449" s="34"/>
      <c r="AO449" s="34"/>
      <c r="AP449" s="34"/>
      <c r="AQ449" s="31" t="s">
        <v>809</v>
      </c>
      <c r="AR449" s="31"/>
      <c r="AS449" s="31"/>
      <c r="AT449" s="31"/>
      <c r="AU449" s="31"/>
      <c r="AV449" s="31" t="s">
        <v>809</v>
      </c>
      <c r="AW449" s="31"/>
      <c r="AX449" s="34" t="s">
        <v>900</v>
      </c>
      <c r="AY449" s="34"/>
      <c r="AZ449" s="34"/>
      <c r="BA449" s="34"/>
      <c r="BB449" s="34"/>
      <c r="BC449" s="34" t="s">
        <v>794</v>
      </c>
      <c r="BD449" s="31"/>
      <c r="BE449" s="31" t="s">
        <v>793</v>
      </c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 t="s">
        <v>809</v>
      </c>
      <c r="CB449" s="31"/>
      <c r="CC449" s="31"/>
      <c r="CD449" s="31"/>
      <c r="CE449" s="31"/>
      <c r="CF449" s="31"/>
      <c r="CG449" s="34" t="s">
        <v>782</v>
      </c>
      <c r="CH449" s="46">
        <v>2</v>
      </c>
      <c r="CI449" s="46"/>
      <c r="CJ449" s="46"/>
      <c r="CK449" s="31"/>
      <c r="CL449" s="31"/>
    </row>
    <row r="450" spans="1:133" ht="18.5" x14ac:dyDescent="0.45">
      <c r="A450" s="77" t="s">
        <v>381</v>
      </c>
      <c r="B450" s="78" t="s">
        <v>1000</v>
      </c>
      <c r="C450" s="77"/>
      <c r="D450" s="77">
        <v>9700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23">
        <f t="shared" si="35"/>
        <v>9700</v>
      </c>
      <c r="W450" s="12"/>
      <c r="X450" s="23">
        <f t="shared" si="36"/>
        <v>9700</v>
      </c>
      <c r="Y450" s="31"/>
      <c r="Z450" s="31"/>
      <c r="AA450" s="31"/>
      <c r="AB450" s="31"/>
      <c r="AC450" s="31"/>
      <c r="AD450" s="31"/>
      <c r="AE450" s="31"/>
      <c r="AF450" s="31" t="s">
        <v>810</v>
      </c>
      <c r="AG450" s="31"/>
      <c r="AH450" s="31" t="s">
        <v>793</v>
      </c>
      <c r="AI450" s="31"/>
      <c r="AJ450" s="31"/>
      <c r="AK450" s="31" t="s">
        <v>793</v>
      </c>
      <c r="AL450" s="31"/>
      <c r="AM450" s="31"/>
      <c r="AN450" s="31"/>
      <c r="AO450" s="31"/>
      <c r="AP450" s="31"/>
      <c r="AQ450" s="31" t="s">
        <v>793</v>
      </c>
      <c r="AR450" s="31"/>
      <c r="AS450" s="31" t="s">
        <v>793</v>
      </c>
      <c r="AT450" s="31"/>
      <c r="AU450" s="31"/>
      <c r="AV450" s="31" t="s">
        <v>793</v>
      </c>
      <c r="AW450" s="31"/>
      <c r="AX450" s="34" t="s">
        <v>168</v>
      </c>
      <c r="AY450" s="34"/>
      <c r="AZ450" s="34"/>
      <c r="BA450" s="34"/>
      <c r="BB450" s="34"/>
      <c r="BC450" s="34"/>
      <c r="BD450" s="34" t="s">
        <v>168</v>
      </c>
      <c r="BE450" s="34"/>
      <c r="BF450" s="34"/>
      <c r="BG450" s="34"/>
      <c r="BH450" s="31" t="s">
        <v>4</v>
      </c>
      <c r="BI450" s="31"/>
      <c r="BJ450" s="31"/>
      <c r="BK450" s="31"/>
      <c r="BL450" s="31"/>
      <c r="BM450" s="31"/>
      <c r="BN450" s="31"/>
      <c r="BO450" s="31" t="s">
        <v>810</v>
      </c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 t="s">
        <v>810</v>
      </c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</row>
    <row r="451" spans="1:133" x14ac:dyDescent="0.35">
      <c r="A451" s="12" t="s">
        <v>382</v>
      </c>
      <c r="B451" s="3"/>
      <c r="C451" s="12"/>
      <c r="D451" s="12">
        <v>69250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23">
        <f t="shared" si="35"/>
        <v>69250</v>
      </c>
      <c r="W451" s="12"/>
      <c r="X451" s="23">
        <f t="shared" si="36"/>
        <v>69250</v>
      </c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 t="s">
        <v>793</v>
      </c>
      <c r="AL451" s="31"/>
      <c r="AM451" s="31"/>
      <c r="AN451" s="31"/>
      <c r="AO451" s="31"/>
      <c r="AP451" s="31"/>
      <c r="AQ451" s="31" t="s">
        <v>793</v>
      </c>
      <c r="AR451" s="31"/>
      <c r="AS451" s="31" t="s">
        <v>793</v>
      </c>
      <c r="AT451" s="31"/>
      <c r="AU451" s="31"/>
      <c r="AV451" s="31" t="s">
        <v>793</v>
      </c>
      <c r="AW451" s="31"/>
      <c r="AX451" s="31"/>
      <c r="AY451" s="31"/>
      <c r="AZ451" s="31"/>
      <c r="BA451" s="31"/>
      <c r="BB451" s="31"/>
      <c r="BC451" s="31"/>
      <c r="BD451" s="31"/>
      <c r="BE451" s="31" t="s">
        <v>794</v>
      </c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</row>
    <row r="452" spans="1:133" x14ac:dyDescent="0.35">
      <c r="A452" s="12" t="s">
        <v>383</v>
      </c>
      <c r="B452" s="3" t="s">
        <v>873</v>
      </c>
      <c r="C452" s="12"/>
      <c r="D452" s="8">
        <v>443528.4</v>
      </c>
      <c r="E452" s="12"/>
      <c r="F452" s="2">
        <f>5400+25450.02</f>
        <v>30850.02</v>
      </c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23">
        <f t="shared" si="35"/>
        <v>474378.42000000004</v>
      </c>
      <c r="W452" s="12"/>
      <c r="X452" s="23">
        <f t="shared" si="36"/>
        <v>474378.42000000004</v>
      </c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4" t="s">
        <v>790</v>
      </c>
      <c r="AL452" s="34"/>
      <c r="AM452" s="31" t="s">
        <v>4</v>
      </c>
      <c r="AN452" s="31"/>
      <c r="AO452" s="31"/>
      <c r="AP452" s="31"/>
      <c r="AQ452" s="34" t="s">
        <v>854</v>
      </c>
      <c r="AR452" s="34"/>
      <c r="AS452" s="34"/>
      <c r="AT452" s="34"/>
      <c r="AU452" s="31"/>
      <c r="AV452" s="31"/>
      <c r="AW452" s="31"/>
      <c r="AX452" s="31"/>
      <c r="AY452" s="31"/>
      <c r="AZ452" s="31"/>
      <c r="BA452" s="31"/>
      <c r="BB452" s="31"/>
      <c r="BC452" s="34" t="s">
        <v>785</v>
      </c>
      <c r="BD452" s="34"/>
      <c r="BE452" s="34"/>
      <c r="BF452" s="31" t="s">
        <v>4</v>
      </c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</row>
    <row r="453" spans="1:133" x14ac:dyDescent="0.35">
      <c r="A453" s="12" t="s">
        <v>384</v>
      </c>
      <c r="B453" s="3"/>
      <c r="C453" s="12"/>
      <c r="D453" s="12">
        <v>23000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23">
        <f t="shared" si="35"/>
        <v>23000</v>
      </c>
      <c r="W453" s="12"/>
      <c r="X453" s="23">
        <f t="shared" si="36"/>
        <v>23000</v>
      </c>
      <c r="Y453" s="31"/>
      <c r="Z453" s="31"/>
      <c r="AA453" s="31"/>
      <c r="AB453" s="31"/>
      <c r="AC453" s="31"/>
      <c r="AD453" s="31"/>
      <c r="AE453" s="34" t="s">
        <v>790</v>
      </c>
      <c r="AF453" s="34"/>
      <c r="AG453" s="34"/>
      <c r="AH453" s="34"/>
      <c r="AI453" s="34"/>
      <c r="AJ453" s="34"/>
      <c r="AK453" s="34"/>
      <c r="AL453" s="34"/>
      <c r="AM453" s="31" t="s">
        <v>4</v>
      </c>
      <c r="AN453" s="31"/>
      <c r="AO453" s="31"/>
      <c r="AP453" s="31"/>
      <c r="AQ453" s="31" t="s">
        <v>794</v>
      </c>
      <c r="AR453" s="31"/>
      <c r="AS453" s="31" t="s">
        <v>794</v>
      </c>
      <c r="AT453" s="31"/>
      <c r="AU453" s="31"/>
      <c r="AV453" s="34" t="s">
        <v>794</v>
      </c>
      <c r="AW453" s="34" t="s">
        <v>892</v>
      </c>
      <c r="AX453" s="34"/>
      <c r="AY453" s="34"/>
      <c r="AZ453" s="34"/>
      <c r="BA453" s="31" t="s">
        <v>4</v>
      </c>
      <c r="BB453" s="31"/>
      <c r="BC453" s="31" t="s">
        <v>793</v>
      </c>
      <c r="BD453" s="31"/>
      <c r="BE453" s="31" t="s">
        <v>794</v>
      </c>
      <c r="BF453" s="31"/>
      <c r="BG453" s="31"/>
      <c r="BH453" s="31"/>
      <c r="BI453" s="31"/>
      <c r="BJ453" s="34" t="s">
        <v>984</v>
      </c>
      <c r="BK453" s="34"/>
      <c r="BL453" s="34"/>
      <c r="BM453" s="34"/>
      <c r="BN453" s="34"/>
      <c r="BO453" s="34"/>
      <c r="BP453" s="34"/>
      <c r="BQ453" s="34"/>
      <c r="BR453" s="31" t="s">
        <v>4</v>
      </c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4" t="s">
        <v>781</v>
      </c>
      <c r="CH453" s="46">
        <v>12</v>
      </c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46"/>
    </row>
    <row r="454" spans="1:133" x14ac:dyDescent="0.35">
      <c r="A454" s="12" t="s">
        <v>385</v>
      </c>
      <c r="B454" s="3"/>
      <c r="C454" s="12"/>
      <c r="D454" s="12">
        <v>32150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23">
        <f t="shared" si="35"/>
        <v>32150</v>
      </c>
      <c r="W454" s="12"/>
      <c r="X454" s="23">
        <f t="shared" si="36"/>
        <v>32150</v>
      </c>
      <c r="Y454" s="31"/>
      <c r="Z454" s="31"/>
      <c r="AA454" s="31"/>
      <c r="AB454" s="31"/>
      <c r="AC454" s="31"/>
      <c r="AD454" s="31"/>
      <c r="AE454" s="31"/>
      <c r="AF454" s="31" t="s">
        <v>794</v>
      </c>
      <c r="AG454" s="31"/>
      <c r="AH454" s="31" t="s">
        <v>794</v>
      </c>
      <c r="AI454" s="31"/>
      <c r="AJ454" s="31"/>
      <c r="AK454" s="31" t="s">
        <v>794</v>
      </c>
      <c r="AL454" s="31"/>
      <c r="AM454" s="31"/>
      <c r="AN454" s="31"/>
      <c r="AO454" s="31"/>
      <c r="AP454" s="31"/>
      <c r="AQ454" s="31" t="s">
        <v>794</v>
      </c>
      <c r="AR454" s="31"/>
      <c r="AS454" s="31" t="s">
        <v>794</v>
      </c>
      <c r="AT454" s="31"/>
      <c r="AU454" s="31"/>
      <c r="AV454" s="31" t="s">
        <v>794</v>
      </c>
      <c r="AW454" s="31"/>
      <c r="AX454" s="31"/>
      <c r="AY454" s="31" t="s">
        <v>794</v>
      </c>
      <c r="AZ454" s="31"/>
      <c r="BA454" s="31"/>
      <c r="BB454" s="31"/>
      <c r="BC454" s="31" t="s">
        <v>794</v>
      </c>
      <c r="BD454" s="31"/>
      <c r="BE454" s="31" t="s">
        <v>794</v>
      </c>
      <c r="BF454" s="31"/>
      <c r="BG454" s="31"/>
      <c r="BH454" s="31"/>
      <c r="BI454" s="31"/>
      <c r="BJ454" s="31"/>
      <c r="BK454" s="31"/>
      <c r="BL454" s="31"/>
      <c r="BM454" s="31"/>
      <c r="BN454" s="31"/>
      <c r="BO454" s="31" t="s">
        <v>794</v>
      </c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 t="s">
        <v>793</v>
      </c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</row>
    <row r="455" spans="1:133" x14ac:dyDescent="0.35">
      <c r="A455" s="12" t="s">
        <v>386</v>
      </c>
      <c r="B455" s="3"/>
      <c r="C455" s="12"/>
      <c r="D455" s="12">
        <v>65745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23">
        <f t="shared" si="35"/>
        <v>65745</v>
      </c>
      <c r="W455" s="12"/>
      <c r="X455" s="23">
        <f t="shared" si="36"/>
        <v>65745</v>
      </c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31"/>
      <c r="AJ455" s="31"/>
      <c r="AK455" s="34" t="s">
        <v>845</v>
      </c>
      <c r="AL455" s="34"/>
      <c r="AM455" s="34"/>
      <c r="AN455" s="34"/>
      <c r="AO455" s="34"/>
      <c r="AP455" s="31" t="s">
        <v>4</v>
      </c>
      <c r="AQ455" s="34" t="s">
        <v>879</v>
      </c>
      <c r="AR455" s="34"/>
      <c r="AS455" s="34"/>
      <c r="AT455" s="34"/>
      <c r="AU455" s="34"/>
      <c r="AV455" s="34"/>
      <c r="AW455" s="31"/>
      <c r="AX455" s="31"/>
      <c r="AY455" s="31"/>
      <c r="AZ455" s="31"/>
      <c r="BA455" s="31"/>
      <c r="BB455" s="31"/>
      <c r="BC455" s="31"/>
      <c r="BD455" s="31"/>
      <c r="BE455" s="31" t="s">
        <v>794</v>
      </c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</row>
    <row r="456" spans="1:133" ht="18.5" x14ac:dyDescent="0.45">
      <c r="A456" s="77" t="s">
        <v>387</v>
      </c>
      <c r="B456" s="78" t="s">
        <v>1000</v>
      </c>
      <c r="C456" s="77"/>
      <c r="D456" s="77">
        <v>64540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23">
        <f t="shared" si="35"/>
        <v>64540</v>
      </c>
      <c r="W456" s="12"/>
      <c r="X456" s="23">
        <f t="shared" si="36"/>
        <v>64540</v>
      </c>
      <c r="Y456" s="31"/>
      <c r="Z456" s="31"/>
      <c r="AA456" s="31"/>
      <c r="AB456" s="31"/>
      <c r="AC456" s="31" t="s">
        <v>810</v>
      </c>
      <c r="AD456" s="31"/>
      <c r="AE456" s="31"/>
      <c r="AF456" s="31" t="s">
        <v>810</v>
      </c>
      <c r="AG456" s="31"/>
      <c r="AH456" s="31" t="s">
        <v>810</v>
      </c>
      <c r="AI456" s="31"/>
      <c r="AJ456" s="31"/>
      <c r="AK456" s="31" t="s">
        <v>810</v>
      </c>
      <c r="AL456" s="31"/>
      <c r="AM456" s="31"/>
      <c r="AN456" s="31"/>
      <c r="AO456" s="31"/>
      <c r="AP456" s="31"/>
      <c r="AQ456" s="31" t="s">
        <v>810</v>
      </c>
      <c r="AR456" s="31"/>
      <c r="AS456" s="31"/>
      <c r="AT456" s="31"/>
      <c r="AU456" s="31"/>
      <c r="AV456" s="31"/>
      <c r="AW456" s="31"/>
      <c r="AX456" s="31"/>
      <c r="AY456" s="31" t="s">
        <v>810</v>
      </c>
      <c r="AZ456" s="31"/>
      <c r="BA456" s="31"/>
      <c r="BB456" s="31"/>
      <c r="BC456" s="31" t="s">
        <v>810</v>
      </c>
      <c r="BD456" s="31"/>
      <c r="BE456" s="31" t="s">
        <v>791</v>
      </c>
      <c r="BF456" s="31"/>
      <c r="BG456" s="31"/>
      <c r="BH456" s="31"/>
      <c r="BI456" s="31"/>
      <c r="BJ456" s="31"/>
      <c r="BK456" s="31"/>
      <c r="BL456" s="31"/>
      <c r="BM456" s="31"/>
      <c r="BN456" s="31"/>
      <c r="BO456" s="31" t="s">
        <v>810</v>
      </c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 t="s">
        <v>810</v>
      </c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</row>
    <row r="457" spans="1:133" x14ac:dyDescent="0.35">
      <c r="A457" s="12" t="s">
        <v>388</v>
      </c>
      <c r="B457" s="3"/>
      <c r="C457" s="12"/>
      <c r="D457" s="12">
        <v>109865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23">
        <f t="shared" si="35"/>
        <v>109865</v>
      </c>
      <c r="W457" s="12"/>
      <c r="X457" s="23">
        <f t="shared" si="36"/>
        <v>109865</v>
      </c>
      <c r="Y457" s="31"/>
      <c r="Z457" s="31"/>
      <c r="AA457" s="31"/>
      <c r="AB457" s="31"/>
      <c r="AC457" s="31" t="s">
        <v>793</v>
      </c>
      <c r="AD457" s="31"/>
      <c r="AE457" s="31"/>
      <c r="AF457" s="31" t="s">
        <v>793</v>
      </c>
      <c r="AG457" s="31"/>
      <c r="AH457" s="34" t="s">
        <v>839</v>
      </c>
      <c r="AI457" s="34"/>
      <c r="AJ457" s="34"/>
      <c r="AK457" s="34"/>
      <c r="AL457" s="34"/>
      <c r="AM457" s="34"/>
      <c r="AN457" s="34"/>
      <c r="AO457" s="34"/>
      <c r="AP457" s="34"/>
      <c r="AQ457" s="34"/>
      <c r="AR457" s="31" t="s">
        <v>4</v>
      </c>
      <c r="AS457" s="31" t="s">
        <v>793</v>
      </c>
      <c r="AT457" s="31"/>
      <c r="AU457" s="31"/>
      <c r="AV457" s="31" t="s">
        <v>793</v>
      </c>
      <c r="AW457" s="31"/>
      <c r="AX457" s="31"/>
      <c r="AY457" s="31"/>
      <c r="AZ457" s="31"/>
      <c r="BA457" s="31"/>
      <c r="BB457" s="31"/>
      <c r="BC457" s="31" t="s">
        <v>793</v>
      </c>
      <c r="BD457" s="31"/>
      <c r="BE457" s="31" t="s">
        <v>794</v>
      </c>
      <c r="BF457" s="31"/>
      <c r="BG457" s="31"/>
      <c r="BH457" s="31"/>
      <c r="BI457" s="31"/>
      <c r="BJ457" s="31"/>
      <c r="BK457" s="31"/>
      <c r="BL457" s="31"/>
      <c r="BM457" s="31"/>
      <c r="BN457" s="31"/>
      <c r="BO457" s="31" t="s">
        <v>793</v>
      </c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 t="s">
        <v>793</v>
      </c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</row>
    <row r="458" spans="1:133" x14ac:dyDescent="0.35">
      <c r="A458" s="12" t="s">
        <v>389</v>
      </c>
      <c r="B458" s="3"/>
      <c r="C458" s="12"/>
      <c r="D458" s="12">
        <v>10400.460000000006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23">
        <f t="shared" si="35"/>
        <v>10400.460000000006</v>
      </c>
      <c r="W458" s="12"/>
      <c r="X458" s="23">
        <f t="shared" si="36"/>
        <v>10400.460000000006</v>
      </c>
      <c r="Y458" s="1" t="s">
        <v>788</v>
      </c>
      <c r="Z458" s="34"/>
      <c r="AA458" s="34"/>
      <c r="AB458" s="34"/>
      <c r="AC458" s="34"/>
      <c r="AD458" s="34"/>
      <c r="AE458" s="31" t="s">
        <v>4</v>
      </c>
      <c r="AF458" s="31" t="s">
        <v>793</v>
      </c>
      <c r="AG458" s="31"/>
      <c r="AH458" s="31" t="s">
        <v>793</v>
      </c>
      <c r="AI458" s="31"/>
      <c r="AJ458" s="31"/>
      <c r="AK458" s="31" t="s">
        <v>793</v>
      </c>
      <c r="AL458" s="31"/>
      <c r="AM458" s="31"/>
      <c r="AN458" s="31"/>
      <c r="AO458" s="31"/>
      <c r="AP458" s="31"/>
      <c r="AQ458" s="34" t="s">
        <v>793</v>
      </c>
      <c r="AR458" s="34" t="s">
        <v>854</v>
      </c>
      <c r="AS458" s="34"/>
      <c r="AT458" s="31" t="s">
        <v>4</v>
      </c>
      <c r="AU458" s="31"/>
      <c r="AV458" s="31" t="s">
        <v>793</v>
      </c>
      <c r="AW458" s="31"/>
      <c r="AX458" s="31"/>
      <c r="AY458" s="31"/>
      <c r="AZ458" s="31"/>
      <c r="BA458" s="31"/>
      <c r="BB458" s="31"/>
      <c r="BC458" s="31" t="s">
        <v>793</v>
      </c>
      <c r="BD458" s="31"/>
      <c r="BE458" s="31" t="s">
        <v>794</v>
      </c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</row>
    <row r="459" spans="1:133" ht="18.5" x14ac:dyDescent="0.45">
      <c r="A459" s="77" t="s">
        <v>390</v>
      </c>
      <c r="B459" s="78"/>
      <c r="C459" s="77"/>
      <c r="D459" s="77">
        <v>82250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23">
        <f t="shared" ref="V459:V476" si="37">SUM(D459:U459)</f>
        <v>82250</v>
      </c>
      <c r="W459" s="12">
        <f>AE459+5000</f>
        <v>10000</v>
      </c>
      <c r="X459" s="23">
        <f t="shared" ref="X459:X476" si="38">V459-W459</f>
        <v>72250</v>
      </c>
      <c r="Y459" s="31"/>
      <c r="Z459" s="31"/>
      <c r="AA459" s="31"/>
      <c r="AB459" s="31"/>
      <c r="AC459" s="1" t="s">
        <v>811</v>
      </c>
      <c r="AD459" s="34" t="s">
        <v>820</v>
      </c>
      <c r="AE459" s="1">
        <v>5000</v>
      </c>
      <c r="AF459" s="34"/>
      <c r="AG459" s="34"/>
      <c r="AH459" s="34"/>
      <c r="AI459" s="34"/>
      <c r="AJ459" s="34"/>
      <c r="AK459" s="34" t="s">
        <v>790</v>
      </c>
      <c r="AL459" s="34"/>
      <c r="AM459" s="34" t="s">
        <v>4</v>
      </c>
      <c r="AN459" s="34"/>
      <c r="AO459" s="31" t="s">
        <v>4</v>
      </c>
      <c r="AP459" s="34" t="s">
        <v>870</v>
      </c>
      <c r="AQ459" s="34"/>
      <c r="AR459" s="34"/>
      <c r="AS459" s="34" t="s">
        <v>854</v>
      </c>
      <c r="AT459" s="34" t="s">
        <v>879</v>
      </c>
      <c r="AU459" s="34"/>
      <c r="AV459" s="34"/>
      <c r="AW459" s="31" t="s">
        <v>4</v>
      </c>
      <c r="AX459" s="31" t="s">
        <v>4</v>
      </c>
      <c r="AY459" s="31" t="s">
        <v>905</v>
      </c>
      <c r="AZ459" s="31"/>
      <c r="BA459" s="31"/>
      <c r="BB459" s="31"/>
      <c r="BC459" s="34" t="s">
        <v>782</v>
      </c>
      <c r="BD459" s="34" t="s">
        <v>968</v>
      </c>
      <c r="BE459" s="34" t="s">
        <v>168</v>
      </c>
      <c r="BF459" s="34"/>
      <c r="BG459" s="34"/>
      <c r="BH459" s="31"/>
      <c r="BI459" s="31"/>
      <c r="BJ459" s="31"/>
      <c r="BK459" s="52">
        <v>0.75</v>
      </c>
      <c r="BL459" s="52">
        <v>0.75</v>
      </c>
      <c r="BM459" s="31"/>
      <c r="BN459" s="31"/>
      <c r="BO459" s="31"/>
      <c r="BP459" s="31"/>
      <c r="BQ459" s="52">
        <v>0.75</v>
      </c>
      <c r="BR459" s="31"/>
      <c r="BS459" s="31"/>
      <c r="BT459" s="31"/>
      <c r="BU459" s="31"/>
      <c r="BV459" s="31"/>
      <c r="BW459" s="31"/>
      <c r="BX459" s="52">
        <v>0.54166666666666663</v>
      </c>
      <c r="BY459" s="31"/>
      <c r="BZ459" s="62">
        <v>5000</v>
      </c>
      <c r="CA459" s="31"/>
      <c r="CB459" s="31"/>
      <c r="CC459" s="31"/>
      <c r="CD459" s="31"/>
      <c r="CE459" s="31"/>
      <c r="CF459" s="31"/>
      <c r="CG459" s="34" t="s">
        <v>782</v>
      </c>
      <c r="CH459" s="46">
        <v>2</v>
      </c>
      <c r="CI459" s="46"/>
      <c r="CJ459" s="46" t="s">
        <v>168</v>
      </c>
      <c r="CK459" s="46"/>
      <c r="CL459" s="46"/>
      <c r="CM459" s="31" t="s">
        <v>4</v>
      </c>
    </row>
    <row r="460" spans="1:133" x14ac:dyDescent="0.35">
      <c r="A460" s="12" t="s">
        <v>391</v>
      </c>
      <c r="B460" s="3"/>
      <c r="C460" s="12"/>
      <c r="D460" s="12">
        <v>10575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23">
        <f t="shared" si="37"/>
        <v>10575</v>
      </c>
      <c r="W460" s="12"/>
      <c r="X460" s="23">
        <f t="shared" si="38"/>
        <v>10575</v>
      </c>
      <c r="Y460" s="31"/>
      <c r="Z460" s="31"/>
      <c r="AA460" s="31"/>
      <c r="AB460" s="31"/>
      <c r="AC460" s="31" t="s">
        <v>794</v>
      </c>
      <c r="AD460" s="34"/>
      <c r="AE460" s="31"/>
      <c r="AF460" s="31" t="s">
        <v>794</v>
      </c>
      <c r="AG460" s="31"/>
      <c r="AH460" s="31" t="s">
        <v>794</v>
      </c>
      <c r="AI460" s="31"/>
      <c r="AJ460" s="31"/>
      <c r="AK460" s="31" t="s">
        <v>794</v>
      </c>
      <c r="AL460" s="31"/>
      <c r="AM460" s="31"/>
      <c r="AN460" s="31"/>
      <c r="AO460" s="31"/>
      <c r="AP460" s="31"/>
      <c r="AQ460" s="31" t="s">
        <v>794</v>
      </c>
      <c r="AR460" s="31"/>
      <c r="AS460" s="31" t="s">
        <v>794</v>
      </c>
      <c r="AT460" s="31"/>
      <c r="AU460" s="31"/>
      <c r="AV460" s="31" t="s">
        <v>794</v>
      </c>
      <c r="AW460" s="31"/>
      <c r="AX460" s="31"/>
      <c r="AY460" s="31" t="s">
        <v>794</v>
      </c>
      <c r="AZ460" s="31"/>
      <c r="BA460" s="31"/>
      <c r="BB460" s="31"/>
      <c r="BC460" s="31" t="s">
        <v>794</v>
      </c>
      <c r="BD460" s="31"/>
      <c r="BE460" s="31" t="s">
        <v>794</v>
      </c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</row>
    <row r="461" spans="1:133" x14ac:dyDescent="0.35">
      <c r="A461" s="12" t="s">
        <v>392</v>
      </c>
      <c r="B461" s="3"/>
      <c r="C461" s="12"/>
      <c r="D461" s="12">
        <v>105000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23">
        <f t="shared" si="37"/>
        <v>105000</v>
      </c>
      <c r="W461" s="12"/>
      <c r="X461" s="23">
        <f t="shared" si="38"/>
        <v>105000</v>
      </c>
      <c r="Y461" s="31"/>
      <c r="Z461" s="31"/>
      <c r="AA461" s="31"/>
      <c r="AB461" s="31"/>
      <c r="AC461" s="34" t="s">
        <v>784</v>
      </c>
      <c r="AD461" s="34"/>
      <c r="AE461" s="34"/>
      <c r="AF461" s="31" t="s">
        <v>793</v>
      </c>
      <c r="AG461" s="31"/>
      <c r="AH461" s="31" t="s">
        <v>793</v>
      </c>
      <c r="AI461" s="34" t="s">
        <v>838</v>
      </c>
      <c r="AJ461" s="34"/>
      <c r="AK461" s="34" t="s">
        <v>845</v>
      </c>
      <c r="AL461" s="34"/>
      <c r="AM461" s="34"/>
      <c r="AN461" s="34"/>
      <c r="AO461" s="34"/>
      <c r="AP461" s="34" t="s">
        <v>870</v>
      </c>
      <c r="AQ461" s="34"/>
      <c r="AR461" s="34"/>
      <c r="AS461" s="31" t="s">
        <v>793</v>
      </c>
      <c r="AT461" s="31"/>
      <c r="AU461" s="31"/>
      <c r="AV461" s="34" t="s">
        <v>884</v>
      </c>
      <c r="AW461" s="34"/>
      <c r="AX461" s="34"/>
      <c r="AY461" s="31" t="s">
        <v>793</v>
      </c>
      <c r="AZ461" s="31"/>
      <c r="BA461" s="31" t="s">
        <v>788</v>
      </c>
      <c r="BB461" s="31"/>
      <c r="BC461" s="31"/>
      <c r="BD461" s="34">
        <v>7</v>
      </c>
      <c r="BE461" s="34"/>
      <c r="BF461" s="34"/>
      <c r="BG461" s="34"/>
      <c r="BH461" s="34"/>
      <c r="BI461" s="34"/>
      <c r="BJ461" s="31" t="s">
        <v>4</v>
      </c>
      <c r="BK461" s="34" t="s">
        <v>838</v>
      </c>
      <c r="BL461" s="34"/>
      <c r="BM461" s="34"/>
      <c r="BN461" s="34"/>
      <c r="BO461" s="34"/>
      <c r="BP461" s="31" t="s">
        <v>4</v>
      </c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 t="s">
        <v>793</v>
      </c>
      <c r="CB461" s="31"/>
      <c r="CC461" s="31"/>
      <c r="CD461" s="31"/>
      <c r="CE461" s="31"/>
      <c r="CF461" s="31"/>
      <c r="CG461" s="34" t="s">
        <v>784</v>
      </c>
      <c r="CH461" s="46">
        <v>8</v>
      </c>
      <c r="CI461" s="46"/>
      <c r="CJ461" s="46"/>
      <c r="CK461" s="46"/>
      <c r="CL461" s="46"/>
      <c r="CM461" s="46"/>
      <c r="CN461" s="46"/>
      <c r="CO461" s="46"/>
      <c r="CP461" s="46"/>
    </row>
    <row r="462" spans="1:133" x14ac:dyDescent="0.35">
      <c r="A462" s="12" t="s">
        <v>393</v>
      </c>
      <c r="B462" s="3"/>
      <c r="C462" s="12"/>
      <c r="D462" s="12">
        <v>12550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23">
        <f t="shared" si="37"/>
        <v>12550</v>
      </c>
      <c r="W462" s="12">
        <f>AO462</f>
        <v>3000</v>
      </c>
      <c r="X462" s="23">
        <f t="shared" si="38"/>
        <v>9550</v>
      </c>
      <c r="Y462" s="31"/>
      <c r="Z462" s="31"/>
      <c r="AA462" s="31"/>
      <c r="AB462" s="31"/>
      <c r="AC462" s="31" t="s">
        <v>793</v>
      </c>
      <c r="AD462" s="34"/>
      <c r="AE462" s="31"/>
      <c r="AF462" s="31" t="s">
        <v>793</v>
      </c>
      <c r="AG462" s="31"/>
      <c r="AH462" s="31" t="s">
        <v>793</v>
      </c>
      <c r="AI462" s="31"/>
      <c r="AJ462" s="31"/>
      <c r="AK462" s="31" t="s">
        <v>794</v>
      </c>
      <c r="AL462" s="31"/>
      <c r="AM462" s="31"/>
      <c r="AN462" s="31"/>
      <c r="AO462" s="62">
        <v>3000</v>
      </c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>
        <v>2</v>
      </c>
      <c r="BE462" s="34" t="s">
        <v>974</v>
      </c>
      <c r="BF462" s="34"/>
      <c r="BG462" s="34"/>
      <c r="BH462" s="34"/>
      <c r="BI462" s="31" t="s">
        <v>4</v>
      </c>
      <c r="BJ462" s="34" t="s">
        <v>823</v>
      </c>
      <c r="BK462" s="34"/>
      <c r="BL462" s="31" t="s">
        <v>4</v>
      </c>
      <c r="BM462" s="31"/>
      <c r="BN462" s="31"/>
      <c r="BO462" s="34" t="s">
        <v>845</v>
      </c>
      <c r="BP462" s="34"/>
      <c r="BQ462" s="34"/>
      <c r="BR462" s="34"/>
      <c r="BS462" s="34"/>
      <c r="BT462" s="34"/>
      <c r="BU462" s="31" t="s">
        <v>4</v>
      </c>
      <c r="BV462" s="31"/>
      <c r="BW462" s="31"/>
      <c r="BX462" s="31"/>
      <c r="BY462" s="31"/>
      <c r="BZ462" s="31"/>
      <c r="CA462" s="34" t="s">
        <v>884</v>
      </c>
      <c r="CB462" s="34"/>
      <c r="CC462" s="34"/>
      <c r="CD462" s="31" t="s">
        <v>4</v>
      </c>
      <c r="CE462" s="31"/>
      <c r="CF462" s="31"/>
      <c r="CG462" s="31"/>
      <c r="CH462" s="31"/>
      <c r="CI462" s="31"/>
      <c r="CJ462" s="46" t="s">
        <v>168</v>
      </c>
      <c r="CK462" s="46"/>
      <c r="CL462" s="46"/>
      <c r="CM462" s="31" t="s">
        <v>4</v>
      </c>
    </row>
    <row r="463" spans="1:133" x14ac:dyDescent="0.35">
      <c r="A463" s="12" t="s">
        <v>394</v>
      </c>
      <c r="B463" s="3" t="s">
        <v>876</v>
      </c>
      <c r="C463" s="12"/>
      <c r="D463" s="12">
        <v>519700</v>
      </c>
      <c r="E463" s="12"/>
      <c r="F463" s="12"/>
      <c r="G463" s="2">
        <v>12222</v>
      </c>
      <c r="H463" s="2">
        <v>23144.03</v>
      </c>
      <c r="I463" s="12"/>
      <c r="J463" s="2">
        <f>11572</f>
        <v>11572</v>
      </c>
      <c r="K463" s="2">
        <v>11572.01</v>
      </c>
      <c r="L463" s="2">
        <f>23394.03+17358</f>
        <v>40752.03</v>
      </c>
      <c r="M463" s="12"/>
      <c r="N463" s="8">
        <v>11572.01</v>
      </c>
      <c r="O463" s="8">
        <v>23694</v>
      </c>
      <c r="P463" s="12"/>
      <c r="Q463" s="2">
        <v>17703</v>
      </c>
      <c r="R463" s="12"/>
      <c r="S463" s="12">
        <v>18233</v>
      </c>
      <c r="T463" s="12">
        <f>13017</f>
        <v>13017</v>
      </c>
      <c r="U463" s="12">
        <f>5786+17042</f>
        <v>22828</v>
      </c>
      <c r="V463" s="23">
        <f t="shared" si="37"/>
        <v>726009.08000000007</v>
      </c>
      <c r="W463" s="12">
        <f>AI463+32000+13000+8000+10000+10000+20000+15000+12000+10000+10000+25000+10000</f>
        <v>185000</v>
      </c>
      <c r="X463" s="23">
        <f t="shared" si="38"/>
        <v>541009.08000000007</v>
      </c>
      <c r="Y463" s="31"/>
      <c r="Z463" s="31"/>
      <c r="AA463" s="31"/>
      <c r="AB463" s="31"/>
      <c r="AC463" s="31"/>
      <c r="AD463" s="34"/>
      <c r="AE463" s="31"/>
      <c r="AF463" s="34" t="s">
        <v>805</v>
      </c>
      <c r="AG463" s="34"/>
      <c r="AH463" s="31" t="s">
        <v>4</v>
      </c>
      <c r="AI463" s="1">
        <v>10000</v>
      </c>
      <c r="AJ463" s="31"/>
      <c r="AK463" s="34" t="s">
        <v>790</v>
      </c>
      <c r="AL463" s="62">
        <v>32000</v>
      </c>
      <c r="AM463" s="31" t="s">
        <v>4</v>
      </c>
      <c r="AN463" s="31"/>
      <c r="AO463" s="62">
        <v>13000</v>
      </c>
      <c r="AP463" s="62">
        <v>13000</v>
      </c>
      <c r="AQ463" s="66">
        <v>8000</v>
      </c>
      <c r="AR463" s="31"/>
      <c r="AS463" s="31"/>
      <c r="AT463" s="31"/>
      <c r="AU463" s="31"/>
      <c r="AV463" s="31"/>
      <c r="AW463" s="31"/>
      <c r="AX463" s="31"/>
      <c r="AY463" s="62">
        <v>10000</v>
      </c>
      <c r="AZ463" s="34"/>
      <c r="BA463" s="34"/>
      <c r="BB463" s="34"/>
      <c r="BC463" s="34"/>
      <c r="BD463" s="34">
        <v>2</v>
      </c>
      <c r="BE463" s="34" t="s">
        <v>326</v>
      </c>
      <c r="BF463" s="62">
        <v>10000</v>
      </c>
      <c r="BG463" s="1">
        <v>20000</v>
      </c>
      <c r="BH463" s="34"/>
      <c r="BI463" s="31" t="s">
        <v>4</v>
      </c>
      <c r="BJ463" s="31"/>
      <c r="BK463" s="31"/>
      <c r="BL463" s="1">
        <f>15000+12000</f>
        <v>27000</v>
      </c>
      <c r="BM463" s="34"/>
      <c r="BN463" s="31"/>
      <c r="BO463" s="31"/>
      <c r="BP463" s="31"/>
      <c r="BQ463" s="31"/>
      <c r="BR463" s="31"/>
      <c r="BS463" s="31"/>
      <c r="BT463" s="31"/>
      <c r="BU463" s="62">
        <v>10000</v>
      </c>
      <c r="BV463" s="31"/>
      <c r="BW463" s="31"/>
      <c r="BX463" s="31"/>
      <c r="BY463" s="31"/>
      <c r="BZ463" s="31"/>
      <c r="CA463" s="62">
        <v>10000</v>
      </c>
      <c r="CB463" s="62">
        <v>25000</v>
      </c>
      <c r="CC463" s="31"/>
      <c r="CD463" s="31"/>
      <c r="CE463" s="31"/>
      <c r="CF463" s="31"/>
      <c r="CG463" s="31"/>
      <c r="CH463" s="31"/>
      <c r="CI463" s="31"/>
      <c r="CJ463" s="1">
        <v>10000</v>
      </c>
      <c r="CK463" s="31"/>
      <c r="CL463" s="31"/>
    </row>
    <row r="464" spans="1:133" s="62" customFormat="1" x14ac:dyDescent="0.35">
      <c r="A464" s="12" t="s">
        <v>321</v>
      </c>
      <c r="B464" s="18"/>
      <c r="C464" s="12"/>
      <c r="D464" s="12">
        <v>0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>
        <v>24800</v>
      </c>
      <c r="U464" s="12"/>
      <c r="V464" s="12">
        <f t="shared" si="37"/>
        <v>24800</v>
      </c>
      <c r="W464" s="12"/>
      <c r="X464" s="12">
        <f t="shared" si="38"/>
        <v>24800</v>
      </c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46">
        <v>5</v>
      </c>
      <c r="CI464" s="46"/>
      <c r="CJ464" s="46"/>
      <c r="CK464" s="46"/>
      <c r="CL464" s="46"/>
      <c r="CM464" s="46"/>
      <c r="CN464" s="35"/>
      <c r="CO464" s="35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35"/>
      <c r="DJ464" s="35"/>
      <c r="DK464" s="35"/>
      <c r="DL464" s="35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</row>
    <row r="465" spans="1:133" s="62" customFormat="1" x14ac:dyDescent="0.35">
      <c r="A465" s="12" t="s">
        <v>396</v>
      </c>
      <c r="B465" s="3"/>
      <c r="C465" s="12"/>
      <c r="D465" s="8">
        <f>56000.01+79345.04</f>
        <v>135345.04999999999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23">
        <f t="shared" si="37"/>
        <v>135345.04999999999</v>
      </c>
      <c r="W465" s="12"/>
      <c r="X465" s="23">
        <f t="shared" si="38"/>
        <v>135345.04999999999</v>
      </c>
      <c r="Y465" s="31"/>
      <c r="Z465" s="31"/>
      <c r="AA465" s="31"/>
      <c r="AB465" s="31"/>
      <c r="AC465" s="31"/>
      <c r="AD465" s="34"/>
      <c r="AE465" s="31"/>
      <c r="AF465" s="31"/>
      <c r="AG465" s="31"/>
      <c r="AH465" s="31"/>
      <c r="AI465" s="31"/>
      <c r="AJ465" s="31"/>
      <c r="AK465" s="34" t="s">
        <v>854</v>
      </c>
      <c r="AL465" s="34"/>
      <c r="AM465" s="34"/>
      <c r="AN465" s="34"/>
      <c r="AO465" s="34"/>
      <c r="AP465" s="34"/>
      <c r="AQ465" s="34"/>
      <c r="AR465" s="34"/>
      <c r="AS465" s="34"/>
      <c r="AT465" s="31" t="s">
        <v>4</v>
      </c>
      <c r="AU465" s="31"/>
      <c r="AV465" s="34" t="s">
        <v>892</v>
      </c>
      <c r="AW465" s="34"/>
      <c r="AX465" s="34"/>
      <c r="AY465" s="34" t="s">
        <v>906</v>
      </c>
      <c r="AZ465" s="31" t="s">
        <v>4</v>
      </c>
      <c r="BA465" s="31"/>
      <c r="BB465" s="31"/>
      <c r="BC465" s="31" t="s">
        <v>805</v>
      </c>
      <c r="BD465" s="34"/>
      <c r="BE465" s="34"/>
      <c r="BF465" s="34"/>
      <c r="BG465" s="34"/>
      <c r="BH465" s="34"/>
      <c r="BI465" s="34"/>
      <c r="BJ465" s="34"/>
      <c r="BK465" s="34"/>
      <c r="BL465" s="34"/>
      <c r="BM465" s="31" t="s">
        <v>4</v>
      </c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 t="s">
        <v>793</v>
      </c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5"/>
      <c r="CN465" s="35"/>
      <c r="CO465" s="35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35"/>
      <c r="DJ465" s="35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</row>
    <row r="466" spans="1:133" s="62" customFormat="1" x14ac:dyDescent="0.35">
      <c r="A466" s="23" t="s">
        <v>322</v>
      </c>
      <c r="B466" s="29" t="s">
        <v>851</v>
      </c>
      <c r="C466" s="23"/>
      <c r="D466" s="23"/>
      <c r="E466" s="23"/>
      <c r="F466" s="23"/>
      <c r="G466" s="23"/>
      <c r="H466" s="23"/>
      <c r="I466" s="23"/>
      <c r="J466" s="23">
        <v>39500</v>
      </c>
      <c r="K466" s="23"/>
      <c r="L466" s="23"/>
      <c r="M466" s="23"/>
      <c r="N466" s="23"/>
      <c r="O466" s="23"/>
      <c r="P466" s="23"/>
      <c r="Q466" s="23"/>
      <c r="R466" s="12"/>
      <c r="S466" s="12">
        <v>25300</v>
      </c>
      <c r="T466" s="12"/>
      <c r="U466" s="12"/>
      <c r="V466" s="12">
        <f t="shared" si="37"/>
        <v>64800</v>
      </c>
      <c r="W466" s="12">
        <f>AZ466</f>
        <v>39500</v>
      </c>
      <c r="X466" s="12">
        <f t="shared" si="38"/>
        <v>25300</v>
      </c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 t="s">
        <v>809</v>
      </c>
      <c r="AW466" s="34"/>
      <c r="AX466" s="34"/>
      <c r="AY466" s="34"/>
      <c r="AZ466" s="34">
        <v>39500</v>
      </c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46" t="s">
        <v>785</v>
      </c>
      <c r="CI466" s="46"/>
      <c r="CJ466" s="46"/>
      <c r="CK466" s="46"/>
      <c r="CL466" s="46"/>
      <c r="CM466" s="35"/>
      <c r="CN466" s="35"/>
      <c r="CO466" s="35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35"/>
      <c r="DJ466" s="35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</row>
    <row r="467" spans="1:133" x14ac:dyDescent="0.35">
      <c r="A467" s="12" t="s">
        <v>397</v>
      </c>
      <c r="B467" s="3"/>
      <c r="C467" s="12"/>
      <c r="D467" s="12">
        <v>73108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23">
        <f t="shared" si="37"/>
        <v>73108</v>
      </c>
      <c r="W467" s="12"/>
      <c r="X467" s="23">
        <f t="shared" si="38"/>
        <v>73108</v>
      </c>
      <c r="Y467" s="31"/>
      <c r="Z467" s="31"/>
      <c r="AA467" s="31"/>
      <c r="AB467" s="31"/>
      <c r="AC467" s="31" t="s">
        <v>793</v>
      </c>
      <c r="AD467" s="34"/>
      <c r="AE467" s="31"/>
      <c r="AF467" s="31" t="s">
        <v>793</v>
      </c>
      <c r="AG467" s="31"/>
      <c r="AH467" s="31" t="s">
        <v>793</v>
      </c>
      <c r="AI467" s="31"/>
      <c r="AJ467" s="31"/>
      <c r="AK467" s="31" t="s">
        <v>793</v>
      </c>
      <c r="AL467" s="31"/>
      <c r="AM467" s="31"/>
      <c r="AN467" s="31"/>
      <c r="AO467" s="31"/>
      <c r="AP467" s="31"/>
      <c r="AQ467" s="31" t="s">
        <v>793</v>
      </c>
      <c r="AR467" s="31"/>
      <c r="AS467" s="31" t="s">
        <v>793</v>
      </c>
      <c r="AT467" s="31"/>
      <c r="AU467" s="31"/>
      <c r="AV467" s="31" t="s">
        <v>793</v>
      </c>
      <c r="AW467" s="31"/>
      <c r="AX467" s="31"/>
      <c r="AY467" s="31" t="s">
        <v>793</v>
      </c>
      <c r="AZ467" s="31"/>
      <c r="BA467" s="31"/>
      <c r="BB467" s="31"/>
      <c r="BC467" s="31" t="s">
        <v>793</v>
      </c>
      <c r="BD467" s="31"/>
      <c r="BE467" s="34">
        <v>7</v>
      </c>
      <c r="BF467" s="34"/>
      <c r="BG467" s="34"/>
      <c r="BH467" s="34"/>
      <c r="BI467" s="34"/>
      <c r="BJ467" s="31" t="s">
        <v>4</v>
      </c>
      <c r="BK467" s="31"/>
      <c r="BL467" s="31"/>
      <c r="BM467" s="31"/>
      <c r="BN467" s="31"/>
      <c r="BO467" s="31" t="s">
        <v>793</v>
      </c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 t="s">
        <v>793</v>
      </c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</row>
    <row r="468" spans="1:133" x14ac:dyDescent="0.35">
      <c r="A468" s="12" t="s">
        <v>398</v>
      </c>
      <c r="B468" s="3"/>
      <c r="C468" s="12"/>
      <c r="D468" s="12">
        <v>14060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23">
        <f t="shared" si="37"/>
        <v>14060</v>
      </c>
      <c r="W468" s="12"/>
      <c r="X468" s="23">
        <f t="shared" si="38"/>
        <v>14060</v>
      </c>
      <c r="Y468" s="31"/>
      <c r="Z468" s="31"/>
      <c r="AA468" s="31"/>
      <c r="AB468" s="31"/>
      <c r="AC468" s="31" t="s">
        <v>797</v>
      </c>
      <c r="AD468" s="34"/>
      <c r="AE468" s="31"/>
      <c r="AF468" s="31" t="s">
        <v>797</v>
      </c>
      <c r="AG468" s="31"/>
      <c r="AH468" s="31" t="s">
        <v>797</v>
      </c>
      <c r="AI468" s="31"/>
      <c r="AJ468" s="31"/>
      <c r="AK468" s="31" t="s">
        <v>797</v>
      </c>
      <c r="AL468" s="31"/>
      <c r="AM468" s="31"/>
      <c r="AN468" s="31"/>
      <c r="AO468" s="31"/>
      <c r="AP468" s="31"/>
      <c r="AQ468" s="31" t="s">
        <v>797</v>
      </c>
      <c r="AR468" s="31"/>
      <c r="AS468" s="31" t="s">
        <v>797</v>
      </c>
      <c r="AT468" s="31"/>
      <c r="AU468" s="31"/>
      <c r="AV468" s="31" t="s">
        <v>797</v>
      </c>
      <c r="AW468" s="31"/>
      <c r="AX468" s="31"/>
      <c r="AY468" s="31" t="s">
        <v>797</v>
      </c>
      <c r="AZ468" s="31"/>
      <c r="BA468" s="31"/>
      <c r="BB468" s="31"/>
      <c r="BC468" s="31" t="s">
        <v>957</v>
      </c>
      <c r="BD468" s="31"/>
      <c r="BE468" s="31" t="s">
        <v>794</v>
      </c>
      <c r="BF468" s="31"/>
      <c r="BG468" s="31"/>
      <c r="BH468" s="31"/>
      <c r="BI468" s="31"/>
      <c r="BJ468" s="31"/>
      <c r="BK468" s="31"/>
      <c r="BL468" s="31"/>
      <c r="BM468" s="31"/>
      <c r="BN468" s="31"/>
      <c r="BO468" s="31" t="s">
        <v>797</v>
      </c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 t="s">
        <v>797</v>
      </c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</row>
    <row r="469" spans="1:133" ht="18.5" x14ac:dyDescent="0.45">
      <c r="A469" s="77" t="s">
        <v>399</v>
      </c>
      <c r="B469" s="78" t="s">
        <v>1000</v>
      </c>
      <c r="C469" s="77"/>
      <c r="D469" s="77">
        <v>42000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23">
        <f t="shared" si="37"/>
        <v>42000</v>
      </c>
      <c r="W469" s="12"/>
      <c r="X469" s="23">
        <f t="shared" si="38"/>
        <v>42000</v>
      </c>
      <c r="Y469" s="8" t="s">
        <v>785</v>
      </c>
      <c r="Z469" s="12"/>
      <c r="AA469" s="14" t="s">
        <v>4</v>
      </c>
      <c r="AB469" s="12" t="s">
        <v>326</v>
      </c>
      <c r="AC469" s="12"/>
      <c r="AD469" s="34" t="s">
        <v>818</v>
      </c>
      <c r="AE469" s="12"/>
      <c r="AF469" s="31" t="s">
        <v>793</v>
      </c>
      <c r="AG469" s="14"/>
      <c r="AH469" s="14" t="s">
        <v>809</v>
      </c>
      <c r="AI469" s="31"/>
      <c r="AJ469" s="31"/>
      <c r="AK469" s="34" t="s">
        <v>845</v>
      </c>
      <c r="AL469" s="34"/>
      <c r="AM469" s="34"/>
      <c r="AN469" s="34"/>
      <c r="AO469" s="34"/>
      <c r="AP469" s="34" t="s">
        <v>839</v>
      </c>
      <c r="AQ469" s="34"/>
      <c r="AR469" s="34"/>
      <c r="AS469" s="31" t="s">
        <v>793</v>
      </c>
      <c r="AT469" s="31"/>
      <c r="AU469" s="31"/>
      <c r="AV469" s="31" t="s">
        <v>793</v>
      </c>
      <c r="AW469" s="31"/>
      <c r="AX469" s="31"/>
      <c r="AY469" s="31" t="s">
        <v>793</v>
      </c>
      <c r="AZ469" s="31"/>
      <c r="BA469" s="31"/>
      <c r="BB469" s="31"/>
      <c r="BC469" s="31" t="s">
        <v>793</v>
      </c>
      <c r="BD469" s="34" t="s">
        <v>326</v>
      </c>
      <c r="BE469" s="34"/>
      <c r="BF469" s="34"/>
      <c r="BG469" s="34"/>
      <c r="BH469" s="34"/>
      <c r="BI469" s="31" t="s">
        <v>4</v>
      </c>
      <c r="BJ469" s="31"/>
      <c r="BK469" s="31"/>
      <c r="BL469" s="31"/>
      <c r="BM469" s="31"/>
      <c r="BN469" s="31"/>
      <c r="BO469" s="31" t="s">
        <v>793</v>
      </c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4" t="s">
        <v>896</v>
      </c>
      <c r="CB469" s="34"/>
      <c r="CC469" s="34"/>
      <c r="CD469" s="34"/>
      <c r="CE469" s="31" t="s">
        <v>4</v>
      </c>
      <c r="CF469" s="31"/>
      <c r="CG469" s="31" t="s">
        <v>900</v>
      </c>
      <c r="CH469" s="31" t="s">
        <v>4</v>
      </c>
      <c r="CI469" s="34"/>
      <c r="CJ469" s="46" t="s">
        <v>168</v>
      </c>
      <c r="CK469" s="46"/>
      <c r="CL469" s="46"/>
      <c r="CM469" s="31" t="s">
        <v>4</v>
      </c>
    </row>
    <row r="470" spans="1:133" x14ac:dyDescent="0.35">
      <c r="A470" s="12" t="s">
        <v>962</v>
      </c>
      <c r="B470" s="3" t="s">
        <v>967</v>
      </c>
      <c r="C470" s="12"/>
      <c r="D470" s="12"/>
      <c r="E470" s="12"/>
      <c r="F470" s="12"/>
      <c r="G470" s="12"/>
      <c r="H470" s="12"/>
      <c r="I470" s="12"/>
      <c r="J470" s="12"/>
      <c r="K470" s="2">
        <f>79000.02+25000.01</f>
        <v>104000.03</v>
      </c>
      <c r="L470" s="2">
        <v>65000</v>
      </c>
      <c r="M470" s="12"/>
      <c r="N470" s="12"/>
      <c r="O470" s="12"/>
      <c r="P470" s="12"/>
      <c r="Q470" s="12"/>
      <c r="R470" s="12"/>
      <c r="S470" s="12"/>
      <c r="T470" s="12"/>
      <c r="U470" s="12"/>
      <c r="V470" s="23">
        <f t="shared" si="37"/>
        <v>169000.03</v>
      </c>
      <c r="W470" s="12">
        <f>26250.18+56128.9</f>
        <v>82379.08</v>
      </c>
      <c r="X470" s="23">
        <f t="shared" si="38"/>
        <v>86620.95</v>
      </c>
      <c r="Y470" s="1">
        <v>26250.18</v>
      </c>
      <c r="Z470" s="31"/>
      <c r="AA470" s="1">
        <v>56128.91</v>
      </c>
      <c r="AB470" s="31"/>
      <c r="AC470" s="31"/>
      <c r="AD470" s="34"/>
      <c r="AE470" s="31"/>
      <c r="AF470" s="34"/>
      <c r="AG470" s="34"/>
      <c r="AH470" s="31"/>
      <c r="AI470" s="1"/>
      <c r="AJ470" s="31"/>
      <c r="AK470" s="34"/>
      <c r="AL470" s="62"/>
      <c r="AM470" s="31"/>
      <c r="AN470" s="31"/>
      <c r="AO470" s="62"/>
      <c r="AP470" s="62"/>
      <c r="AQ470" s="66"/>
      <c r="AR470" s="31"/>
      <c r="AS470" s="31"/>
      <c r="AT470" s="31"/>
      <c r="AU470" s="31"/>
      <c r="AV470" s="31"/>
      <c r="AW470" s="31"/>
      <c r="AX470" s="31"/>
      <c r="AY470" s="1"/>
      <c r="AZ470" s="34"/>
      <c r="BA470" s="34"/>
      <c r="BB470" s="34"/>
      <c r="BC470" s="34"/>
      <c r="BD470" s="34"/>
      <c r="BE470" s="34"/>
      <c r="BF470" s="34"/>
      <c r="BG470" s="34"/>
      <c r="BH470" s="31" t="s">
        <v>4</v>
      </c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</row>
    <row r="471" spans="1:133" ht="18.5" x14ac:dyDescent="0.45">
      <c r="A471" s="77" t="s">
        <v>400</v>
      </c>
      <c r="B471" s="78" t="s">
        <v>1028</v>
      </c>
      <c r="C471" s="77"/>
      <c r="D471" s="77">
        <v>54000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23">
        <f t="shared" si="37"/>
        <v>54000</v>
      </c>
      <c r="W471" s="12"/>
      <c r="X471" s="23">
        <f t="shared" si="38"/>
        <v>54000</v>
      </c>
      <c r="Y471" s="14"/>
      <c r="Z471" s="14"/>
      <c r="AA471" s="14"/>
      <c r="AB471" s="14"/>
      <c r="AC471" s="14" t="s">
        <v>793</v>
      </c>
      <c r="AD471" s="14"/>
      <c r="AE471" s="14"/>
      <c r="AF471" s="14" t="s">
        <v>793</v>
      </c>
      <c r="AG471" s="14"/>
      <c r="AH471" s="14" t="s">
        <v>793</v>
      </c>
      <c r="AI471" s="31"/>
      <c r="AJ471" s="31"/>
      <c r="AK471" s="31" t="s">
        <v>793</v>
      </c>
      <c r="AL471" s="31"/>
      <c r="AM471" s="31"/>
      <c r="AN471" s="31"/>
      <c r="AO471" s="31"/>
      <c r="AP471" s="31"/>
      <c r="AQ471" s="31" t="s">
        <v>793</v>
      </c>
      <c r="AR471" s="31"/>
      <c r="AS471" s="31"/>
      <c r="AT471" s="31"/>
      <c r="AU471" s="31"/>
      <c r="AV471" s="31" t="s">
        <v>793</v>
      </c>
      <c r="AW471" s="31"/>
      <c r="AX471" s="31"/>
      <c r="AY471" s="31" t="s">
        <v>793</v>
      </c>
      <c r="AZ471" s="31"/>
      <c r="BA471" s="31"/>
      <c r="BB471" s="31"/>
      <c r="BC471" s="31" t="s">
        <v>794</v>
      </c>
      <c r="BD471" s="31"/>
      <c r="BE471" s="31" t="s">
        <v>794</v>
      </c>
      <c r="BF471" s="31"/>
      <c r="BG471" s="31"/>
      <c r="BH471" s="31"/>
      <c r="BI471" s="31"/>
      <c r="BJ471" s="31"/>
      <c r="BK471" s="31"/>
      <c r="BL471" s="31"/>
      <c r="BM471" s="31"/>
      <c r="BN471" s="31"/>
      <c r="BO471" s="31" t="s">
        <v>793</v>
      </c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 t="s">
        <v>793</v>
      </c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</row>
    <row r="472" spans="1:133" x14ac:dyDescent="0.35">
      <c r="A472" s="12" t="s">
        <v>299</v>
      </c>
      <c r="B472" s="3"/>
      <c r="C472" s="12"/>
      <c r="D472" s="12"/>
      <c r="E472" s="12"/>
      <c r="F472" s="12"/>
      <c r="G472" s="12"/>
      <c r="H472" s="12"/>
      <c r="I472" s="12"/>
      <c r="J472" s="12"/>
      <c r="K472" s="2">
        <v>22500.01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23">
        <f t="shared" si="37"/>
        <v>22500.01</v>
      </c>
      <c r="W472" s="12"/>
      <c r="X472" s="23">
        <f t="shared" si="38"/>
        <v>22500.01</v>
      </c>
      <c r="Y472" s="8"/>
      <c r="Z472" s="12"/>
      <c r="AA472" s="12"/>
      <c r="AB472" s="12"/>
      <c r="AC472" s="12"/>
      <c r="AD472" s="31"/>
      <c r="AE472" s="14"/>
      <c r="AF472" s="14"/>
      <c r="AG472" s="14"/>
      <c r="AH472" s="14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4"/>
      <c r="BF472" s="34"/>
      <c r="BG472" s="34"/>
      <c r="BH472" s="34"/>
      <c r="BI472" s="31"/>
      <c r="BJ472" s="31"/>
      <c r="BK472" s="31"/>
      <c r="BL472" s="31"/>
      <c r="BM472" s="31"/>
      <c r="BN472" s="31"/>
      <c r="BO472" s="31" t="s">
        <v>793</v>
      </c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 t="s">
        <v>793</v>
      </c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</row>
    <row r="473" spans="1:133" ht="18.5" x14ac:dyDescent="0.45">
      <c r="A473" s="77" t="s">
        <v>401</v>
      </c>
      <c r="B473" s="78" t="s">
        <v>1013</v>
      </c>
      <c r="C473" s="77"/>
      <c r="D473" s="77">
        <v>1540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23">
        <f t="shared" si="37"/>
        <v>1540</v>
      </c>
      <c r="W473" s="12"/>
      <c r="X473" s="23">
        <f t="shared" si="38"/>
        <v>1540</v>
      </c>
      <c r="Y473" s="14"/>
      <c r="Z473" s="14"/>
      <c r="AA473" s="14"/>
      <c r="AB473" s="14"/>
      <c r="AC473" s="14" t="s">
        <v>793</v>
      </c>
      <c r="AD473" s="14"/>
      <c r="AE473" s="14"/>
      <c r="AF473" s="14"/>
      <c r="AG473" s="14"/>
      <c r="AH473" s="14" t="s">
        <v>793</v>
      </c>
      <c r="AI473" s="31"/>
      <c r="AJ473" s="31"/>
      <c r="AK473" s="34" t="s">
        <v>839</v>
      </c>
      <c r="AL473" s="34"/>
      <c r="AM473" s="34"/>
      <c r="AN473" s="34"/>
      <c r="AO473" s="34"/>
      <c r="AP473" s="34"/>
      <c r="AQ473" s="34"/>
      <c r="AR473" s="34" t="s">
        <v>884</v>
      </c>
      <c r="AS473" s="34"/>
      <c r="AT473" s="34"/>
      <c r="AU473" s="34"/>
      <c r="AV473" s="34"/>
      <c r="AW473" s="34"/>
      <c r="AX473" s="34"/>
      <c r="AY473" s="31" t="s">
        <v>793</v>
      </c>
      <c r="AZ473" s="31"/>
      <c r="BA473" s="31" t="s">
        <v>168</v>
      </c>
      <c r="BB473" s="31"/>
      <c r="BC473" s="31"/>
      <c r="BD473" s="34">
        <v>5</v>
      </c>
      <c r="BE473" s="34"/>
      <c r="BF473" s="34"/>
      <c r="BG473" s="34"/>
      <c r="BH473" s="31" t="s">
        <v>4</v>
      </c>
      <c r="BI473" s="31"/>
      <c r="BJ473" s="34" t="s">
        <v>825</v>
      </c>
      <c r="BK473" s="34"/>
      <c r="BL473" s="34"/>
      <c r="BM473" s="31" t="s">
        <v>4</v>
      </c>
      <c r="BN473" s="31"/>
      <c r="BO473" s="34" t="s">
        <v>846</v>
      </c>
      <c r="BP473" s="34"/>
      <c r="BQ473" s="34"/>
      <c r="BR473" s="34"/>
      <c r="BS473" s="34"/>
      <c r="BT473" s="31" t="s">
        <v>4</v>
      </c>
      <c r="BU473" s="31"/>
      <c r="BV473" s="31"/>
      <c r="BW473" s="31"/>
      <c r="BX473" s="31"/>
      <c r="BY473" s="31"/>
      <c r="BZ473" s="31"/>
      <c r="CA473" s="34" t="s">
        <v>896</v>
      </c>
      <c r="CB473" s="34"/>
      <c r="CC473" s="34"/>
      <c r="CD473" s="34"/>
      <c r="CE473" s="31" t="s">
        <v>4</v>
      </c>
      <c r="CF473" s="31"/>
      <c r="CG473" s="34" t="s">
        <v>782</v>
      </c>
      <c r="CH473" s="46" t="s">
        <v>782</v>
      </c>
      <c r="CI473" s="46"/>
      <c r="CJ473" s="46" t="s">
        <v>783</v>
      </c>
      <c r="CK473" s="46"/>
      <c r="CL473" s="31" t="s">
        <v>4</v>
      </c>
    </row>
    <row r="474" spans="1:133" ht="18.5" x14ac:dyDescent="0.45">
      <c r="A474" s="77" t="s">
        <v>403</v>
      </c>
      <c r="B474" s="78" t="s">
        <v>1000</v>
      </c>
      <c r="C474" s="77"/>
      <c r="D474" s="77">
        <v>127612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23">
        <f t="shared" si="37"/>
        <v>127612</v>
      </c>
      <c r="W474" s="12">
        <f>AD474+5000+3000+1000+5000</f>
        <v>16000</v>
      </c>
      <c r="X474" s="23">
        <f t="shared" si="38"/>
        <v>111612</v>
      </c>
      <c r="Y474" s="31"/>
      <c r="Z474" s="31"/>
      <c r="AA474" s="31"/>
      <c r="AB474" s="31" t="s">
        <v>168</v>
      </c>
      <c r="AC474" s="31" t="s">
        <v>806</v>
      </c>
      <c r="AD474" s="1">
        <v>2000</v>
      </c>
      <c r="AE474" s="31" t="s">
        <v>819</v>
      </c>
      <c r="AF474" s="1">
        <v>5000</v>
      </c>
      <c r="AG474" s="34"/>
      <c r="AH474" s="34"/>
      <c r="AI474" s="34"/>
      <c r="AJ474" s="31" t="s">
        <v>4</v>
      </c>
      <c r="AK474" s="34" t="s">
        <v>790</v>
      </c>
      <c r="AL474" s="34"/>
      <c r="AM474" s="34" t="s">
        <v>4</v>
      </c>
      <c r="AN474" s="34"/>
      <c r="AO474" s="34"/>
      <c r="AP474" s="31" t="s">
        <v>4</v>
      </c>
      <c r="AQ474" s="34" t="s">
        <v>854</v>
      </c>
      <c r="AR474" s="34"/>
      <c r="AS474" s="34"/>
      <c r="AT474" s="34"/>
      <c r="AU474" s="31"/>
      <c r="AV474" s="62">
        <v>3000</v>
      </c>
      <c r="AW474" s="34" t="s">
        <v>878</v>
      </c>
      <c r="AX474" s="34"/>
      <c r="AY474" s="34"/>
      <c r="AZ474" s="34"/>
      <c r="BA474" s="34"/>
      <c r="BB474" s="34"/>
      <c r="BC474" s="31" t="s">
        <v>4</v>
      </c>
      <c r="BD474" s="34" t="s">
        <v>783</v>
      </c>
      <c r="BE474" s="31" t="s">
        <v>809</v>
      </c>
      <c r="BF474" s="31"/>
      <c r="BG474" s="31"/>
      <c r="BH474" s="31"/>
      <c r="BI474" s="31"/>
      <c r="BJ474" s="31"/>
      <c r="BK474" s="31"/>
      <c r="BL474" s="91">
        <v>1000</v>
      </c>
      <c r="BM474" s="31" t="s">
        <v>4</v>
      </c>
      <c r="BN474" s="31"/>
      <c r="BO474" s="31" t="s">
        <v>797</v>
      </c>
      <c r="BP474" s="31"/>
      <c r="BQ474" s="62">
        <v>5000</v>
      </c>
      <c r="BR474" s="34"/>
      <c r="BS474" s="34"/>
      <c r="BT474" s="34"/>
      <c r="BU474" s="34"/>
      <c r="BV474" s="31" t="s">
        <v>4</v>
      </c>
      <c r="BW474" s="31"/>
      <c r="BX474" s="31"/>
      <c r="BY474" s="31"/>
      <c r="BZ474" s="31"/>
      <c r="CA474" s="31" t="s">
        <v>793</v>
      </c>
      <c r="CB474" s="31"/>
      <c r="CC474" s="31"/>
      <c r="CD474" s="31"/>
      <c r="CE474" s="31"/>
      <c r="CF474" s="31"/>
      <c r="CG474" s="31"/>
      <c r="CH474" s="46" t="s">
        <v>782</v>
      </c>
      <c r="CI474" s="46"/>
      <c r="CJ474" s="46" t="s">
        <v>783</v>
      </c>
      <c r="CK474" s="46"/>
      <c r="CL474" s="31" t="s">
        <v>4</v>
      </c>
    </row>
    <row r="475" spans="1:133" ht="18.5" x14ac:dyDescent="0.45">
      <c r="A475" s="77" t="s">
        <v>404</v>
      </c>
      <c r="B475" s="78" t="s">
        <v>1013</v>
      </c>
      <c r="C475" s="77"/>
      <c r="D475" s="77">
        <v>43232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23">
        <f t="shared" si="37"/>
        <v>43232</v>
      </c>
      <c r="W475" s="12"/>
      <c r="X475" s="23">
        <f t="shared" si="38"/>
        <v>43232</v>
      </c>
      <c r="Y475" s="1" t="s">
        <v>168</v>
      </c>
      <c r="Z475" s="34"/>
      <c r="AA475" s="34"/>
      <c r="AB475" s="34"/>
      <c r="AC475" s="34" t="s">
        <v>784</v>
      </c>
      <c r="AD475" s="34"/>
      <c r="AE475" s="34"/>
      <c r="AF475" s="34" t="s">
        <v>825</v>
      </c>
      <c r="AG475" s="34"/>
      <c r="AH475" s="34"/>
      <c r="AI475" s="52">
        <v>0.70833333333333337</v>
      </c>
      <c r="AJ475" s="31"/>
      <c r="AK475" s="31" t="s">
        <v>809</v>
      </c>
      <c r="AL475" s="31"/>
      <c r="AM475" s="31"/>
      <c r="AN475" s="31"/>
      <c r="AO475" s="31" t="s">
        <v>845</v>
      </c>
      <c r="AP475" s="34" t="s">
        <v>4</v>
      </c>
      <c r="AQ475" s="34" t="s">
        <v>809</v>
      </c>
      <c r="AR475" s="34" t="s">
        <v>870</v>
      </c>
      <c r="AS475" s="31" t="s">
        <v>809</v>
      </c>
      <c r="AT475" s="31"/>
      <c r="AU475" s="31"/>
      <c r="AV475" s="34" t="s">
        <v>879</v>
      </c>
      <c r="AW475" s="34"/>
      <c r="AX475" s="65">
        <v>0.70833333333333337</v>
      </c>
      <c r="AY475" s="31"/>
      <c r="AZ475" s="31"/>
      <c r="BA475" s="31"/>
      <c r="BB475" s="31"/>
      <c r="BC475" s="34" t="s">
        <v>782</v>
      </c>
      <c r="BD475" s="34"/>
      <c r="BE475" s="31">
        <v>4</v>
      </c>
      <c r="BF475" s="31"/>
      <c r="BG475" s="31"/>
      <c r="BH475" s="31"/>
      <c r="BI475" s="31"/>
      <c r="BJ475" s="34" t="s">
        <v>784</v>
      </c>
      <c r="BK475" s="34" t="s">
        <v>987</v>
      </c>
      <c r="BL475" s="34" t="s">
        <v>781</v>
      </c>
      <c r="BM475" s="34"/>
      <c r="BN475" s="34"/>
      <c r="BO475" s="34" t="s">
        <v>790</v>
      </c>
      <c r="BP475" s="34"/>
      <c r="BQ475" s="34"/>
      <c r="BR475" s="31" t="s">
        <v>4</v>
      </c>
      <c r="BS475" s="31"/>
      <c r="BT475" s="31"/>
      <c r="BU475" s="31"/>
      <c r="BV475" s="31"/>
      <c r="BW475" s="31"/>
      <c r="BX475" s="31"/>
      <c r="BY475" s="31"/>
      <c r="BZ475" s="31"/>
      <c r="CA475" s="34"/>
      <c r="CB475" s="34"/>
      <c r="CC475" s="34"/>
      <c r="CD475" s="34"/>
      <c r="CE475" s="34"/>
      <c r="CF475" s="34"/>
      <c r="CG475" s="34" t="s">
        <v>785</v>
      </c>
      <c r="CH475" s="46" t="s">
        <v>785</v>
      </c>
      <c r="CI475" s="46"/>
      <c r="CJ475" s="46" t="s">
        <v>326</v>
      </c>
      <c r="CK475" s="46"/>
      <c r="CL475" s="46"/>
      <c r="CM475" s="46"/>
    </row>
    <row r="476" spans="1:133" ht="18.5" x14ac:dyDescent="0.45">
      <c r="A476" s="77" t="s">
        <v>405</v>
      </c>
      <c r="B476" s="78" t="s">
        <v>1000</v>
      </c>
      <c r="C476" s="77"/>
      <c r="D476" s="77">
        <v>12000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23">
        <f t="shared" si="37"/>
        <v>12000</v>
      </c>
      <c r="W476" s="12"/>
      <c r="X476" s="23">
        <f t="shared" si="38"/>
        <v>12000</v>
      </c>
      <c r="Y476" s="31"/>
      <c r="Z476" s="31"/>
      <c r="AA476" s="31"/>
      <c r="AB476" s="31"/>
      <c r="AC476" s="31" t="s">
        <v>806</v>
      </c>
      <c r="AD476" s="31"/>
      <c r="AE476" s="31"/>
      <c r="AF476" s="31" t="s">
        <v>806</v>
      </c>
      <c r="AG476" s="31"/>
      <c r="AH476" s="34"/>
      <c r="AI476" s="34"/>
      <c r="AJ476" s="34"/>
      <c r="AK476" s="34"/>
      <c r="AL476" s="31" t="s">
        <v>4</v>
      </c>
      <c r="AM476" s="31"/>
      <c r="AN476" s="31"/>
      <c r="AO476" s="31"/>
      <c r="AP476" s="31"/>
      <c r="AQ476" s="34"/>
      <c r="AR476" s="34" t="s">
        <v>806</v>
      </c>
      <c r="AS476" s="31"/>
      <c r="AT476" s="31"/>
      <c r="AU476" s="31"/>
      <c r="AV476" s="31" t="s">
        <v>809</v>
      </c>
      <c r="AW476" s="31"/>
      <c r="AX476" s="31"/>
      <c r="AY476" s="31"/>
      <c r="AZ476" s="31"/>
      <c r="BA476" s="31"/>
      <c r="BB476" s="31"/>
      <c r="BC476" s="31"/>
      <c r="BD476" s="31"/>
      <c r="BE476" s="31" t="s">
        <v>794</v>
      </c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 t="s">
        <v>790</v>
      </c>
      <c r="BR476" s="31" t="s">
        <v>4</v>
      </c>
      <c r="BS476" s="31"/>
      <c r="BT476" s="31"/>
      <c r="BU476" s="31"/>
      <c r="BV476" s="31"/>
      <c r="BW476" s="31"/>
      <c r="BX476" s="31"/>
      <c r="BY476" s="31"/>
      <c r="BZ476" s="31"/>
      <c r="CA476" s="34" t="s">
        <v>886</v>
      </c>
      <c r="CB476" s="34"/>
      <c r="CC476" s="31" t="s">
        <v>4</v>
      </c>
      <c r="CD476" s="31"/>
      <c r="CE476" s="31"/>
      <c r="CF476" s="31"/>
      <c r="CG476" s="31"/>
      <c r="CH476" s="31"/>
      <c r="CI476" s="31"/>
      <c r="CJ476" s="31"/>
      <c r="CK476" s="31"/>
      <c r="CL476" s="31"/>
    </row>
    <row r="477" spans="1:133" x14ac:dyDescent="0.35">
      <c r="A477" s="8" t="s">
        <v>352</v>
      </c>
      <c r="B477" s="24"/>
      <c r="C477" s="8"/>
      <c r="D477" s="8">
        <v>-6640</v>
      </c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23">
        <f t="shared" ref="V477:V522" si="39">SUM(D477:U477)</f>
        <v>-6640</v>
      </c>
      <c r="W477" s="8"/>
      <c r="X477" s="23">
        <f t="shared" ref="X477:X480" si="40">V477-W477</f>
        <v>-6640</v>
      </c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</row>
    <row r="478" spans="1:133" x14ac:dyDescent="0.35">
      <c r="A478" s="8" t="s">
        <v>406</v>
      </c>
      <c r="B478" s="24"/>
      <c r="C478" s="8"/>
      <c r="D478" s="8">
        <v>-17630</v>
      </c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23">
        <f t="shared" si="39"/>
        <v>-17630</v>
      </c>
      <c r="W478" s="8"/>
      <c r="X478" s="23">
        <f t="shared" si="40"/>
        <v>-17630</v>
      </c>
    </row>
    <row r="479" spans="1:133" x14ac:dyDescent="0.35">
      <c r="A479" s="8" t="s">
        <v>407</v>
      </c>
      <c r="B479" s="24"/>
      <c r="C479" s="8"/>
      <c r="D479" s="8">
        <v>57440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23">
        <f t="shared" si="39"/>
        <v>57440</v>
      </c>
      <c r="W479" s="8"/>
      <c r="X479" s="23">
        <f t="shared" si="40"/>
        <v>57440</v>
      </c>
    </row>
    <row r="480" spans="1:133" x14ac:dyDescent="0.35">
      <c r="A480" s="2" t="s">
        <v>408</v>
      </c>
      <c r="B480" s="3"/>
      <c r="D480" s="6">
        <v>12352</v>
      </c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23">
        <f t="shared" si="39"/>
        <v>12352</v>
      </c>
      <c r="W480" s="6"/>
      <c r="X480" s="23">
        <f t="shared" si="40"/>
        <v>12352</v>
      </c>
      <c r="Y480" s="31"/>
      <c r="Z480" s="31"/>
      <c r="AA480" s="31"/>
      <c r="AB480" s="31"/>
      <c r="AC480" s="31" t="s">
        <v>793</v>
      </c>
      <c r="AD480" s="31"/>
      <c r="AE480" s="31"/>
      <c r="AF480" s="31"/>
      <c r="AG480" s="31"/>
      <c r="AH480" s="31"/>
      <c r="AI480" s="31"/>
      <c r="AJ480" s="31"/>
      <c r="AK480" s="31"/>
      <c r="AL480" s="31"/>
    </row>
    <row r="481" spans="1:48" x14ac:dyDescent="0.35">
      <c r="A481" s="2" t="s">
        <v>409</v>
      </c>
      <c r="B481" s="3"/>
      <c r="D481" s="6">
        <v>3484</v>
      </c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23">
        <f t="shared" si="39"/>
        <v>3484</v>
      </c>
      <c r="W481" s="6"/>
      <c r="X481" s="23">
        <f t="shared" ref="X481:X544" si="41">V481-W481</f>
        <v>3484</v>
      </c>
      <c r="Y481" s="31"/>
      <c r="Z481" s="31"/>
      <c r="AA481" s="31"/>
      <c r="AB481" s="31"/>
      <c r="AC481" s="31" t="s">
        <v>794</v>
      </c>
      <c r="AD481" s="31"/>
      <c r="AE481" s="31"/>
      <c r="AF481" s="31"/>
      <c r="AG481" s="31"/>
      <c r="AH481" s="31"/>
      <c r="AI481" s="31"/>
      <c r="AJ481" s="31"/>
      <c r="AK481" s="31"/>
      <c r="AL481" s="31"/>
    </row>
    <row r="482" spans="1:48" x14ac:dyDescent="0.35">
      <c r="A482" s="2" t="s">
        <v>410</v>
      </c>
      <c r="B482" s="3"/>
      <c r="D482" s="6">
        <v>3776</v>
      </c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23">
        <f t="shared" si="39"/>
        <v>3776</v>
      </c>
      <c r="W482" s="6"/>
      <c r="X482" s="23">
        <f t="shared" si="41"/>
        <v>3776</v>
      </c>
      <c r="Y482" s="31"/>
      <c r="Z482" s="31"/>
      <c r="AA482" s="31"/>
      <c r="AB482" s="31"/>
      <c r="AC482" s="31" t="s">
        <v>793</v>
      </c>
      <c r="AD482" s="31"/>
      <c r="AE482" s="31"/>
      <c r="AF482" s="31"/>
      <c r="AG482" s="31"/>
      <c r="AH482" s="31"/>
      <c r="AI482" s="31"/>
      <c r="AJ482" s="31"/>
      <c r="AK482" s="31"/>
      <c r="AL482" s="31"/>
    </row>
    <row r="483" spans="1:48" x14ac:dyDescent="0.35">
      <c r="A483" s="2" t="s">
        <v>411</v>
      </c>
      <c r="B483" s="3"/>
      <c r="D483" s="6">
        <v>4038</v>
      </c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23">
        <f t="shared" si="39"/>
        <v>4038</v>
      </c>
      <c r="W483" s="6"/>
      <c r="X483" s="23">
        <f t="shared" si="41"/>
        <v>4038</v>
      </c>
      <c r="Y483" s="31"/>
      <c r="Z483" s="31"/>
      <c r="AA483" s="31"/>
      <c r="AB483" s="31"/>
      <c r="AC483" s="31" t="s">
        <v>794</v>
      </c>
      <c r="AD483" s="31"/>
      <c r="AE483" s="31"/>
      <c r="AF483" s="31"/>
      <c r="AG483" s="31"/>
      <c r="AH483" s="31"/>
      <c r="AI483" s="31"/>
      <c r="AJ483" s="31"/>
      <c r="AK483" s="31"/>
      <c r="AL483" s="31"/>
    </row>
    <row r="484" spans="1:48" x14ac:dyDescent="0.35">
      <c r="A484" s="2" t="s">
        <v>413</v>
      </c>
      <c r="B484" s="3"/>
      <c r="D484" s="6">
        <v>32975</v>
      </c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23">
        <f t="shared" si="39"/>
        <v>32975</v>
      </c>
      <c r="W484" s="6"/>
      <c r="X484" s="23">
        <f t="shared" si="41"/>
        <v>32975</v>
      </c>
      <c r="Y484" s="31"/>
      <c r="Z484" s="31"/>
      <c r="AA484" s="31"/>
      <c r="AB484" s="31"/>
      <c r="AC484" s="31" t="s">
        <v>794</v>
      </c>
      <c r="AD484" s="31"/>
      <c r="AE484" s="31"/>
      <c r="AF484" s="31"/>
      <c r="AG484" s="31"/>
      <c r="AH484" s="31"/>
      <c r="AI484" s="31"/>
      <c r="AJ484" s="31"/>
      <c r="AK484" s="31" t="s">
        <v>793</v>
      </c>
      <c r="AL484" s="31"/>
      <c r="AV484" s="21" t="s">
        <v>793</v>
      </c>
    </row>
    <row r="485" spans="1:48" x14ac:dyDescent="0.35">
      <c r="A485" s="2" t="s">
        <v>414</v>
      </c>
      <c r="B485" s="3"/>
      <c r="D485" s="6">
        <v>13900</v>
      </c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23">
        <f t="shared" si="39"/>
        <v>13900</v>
      </c>
      <c r="W485" s="6"/>
      <c r="X485" s="23">
        <f t="shared" si="41"/>
        <v>13900</v>
      </c>
      <c r="Y485" s="31"/>
      <c r="Z485" s="31"/>
      <c r="AA485" s="31"/>
      <c r="AB485" s="31"/>
      <c r="AC485" s="31" t="s">
        <v>793</v>
      </c>
      <c r="AD485" s="31"/>
      <c r="AE485" s="31"/>
      <c r="AF485" s="31"/>
      <c r="AG485" s="31"/>
      <c r="AH485" s="31"/>
      <c r="AI485" s="31"/>
      <c r="AJ485" s="31"/>
      <c r="AK485" s="31" t="s">
        <v>793</v>
      </c>
      <c r="AL485" s="31"/>
      <c r="AV485" s="21" t="s">
        <v>793</v>
      </c>
    </row>
    <row r="486" spans="1:48" x14ac:dyDescent="0.35">
      <c r="A486" s="2" t="s">
        <v>415</v>
      </c>
      <c r="B486" s="3"/>
      <c r="C486" s="2"/>
      <c r="D486" s="6">
        <v>19565</v>
      </c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23">
        <f t="shared" si="39"/>
        <v>19565</v>
      </c>
      <c r="W486" s="6"/>
      <c r="X486" s="23">
        <f t="shared" si="41"/>
        <v>19565</v>
      </c>
      <c r="Y486" s="31"/>
      <c r="Z486" s="31"/>
      <c r="AA486" s="31"/>
      <c r="AB486" s="31"/>
      <c r="AC486" s="31" t="s">
        <v>794</v>
      </c>
      <c r="AD486" s="31"/>
      <c r="AE486" s="31"/>
      <c r="AF486" s="31"/>
      <c r="AG486" s="31"/>
      <c r="AH486" s="31"/>
      <c r="AI486" s="31"/>
      <c r="AJ486" s="31"/>
      <c r="AK486" s="31" t="s">
        <v>794</v>
      </c>
      <c r="AL486" s="31"/>
      <c r="AV486" s="21" t="s">
        <v>794</v>
      </c>
    </row>
    <row r="487" spans="1:48" x14ac:dyDescent="0.35">
      <c r="A487" s="2" t="s">
        <v>416</v>
      </c>
      <c r="B487" s="3"/>
      <c r="D487" s="6">
        <v>780</v>
      </c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23">
        <f t="shared" si="39"/>
        <v>780</v>
      </c>
      <c r="W487" s="6"/>
      <c r="X487" s="23">
        <f t="shared" si="41"/>
        <v>780</v>
      </c>
      <c r="Y487" s="31"/>
      <c r="Z487" s="31"/>
      <c r="AA487" s="31"/>
      <c r="AB487" s="31"/>
      <c r="AC487" s="31" t="s">
        <v>794</v>
      </c>
      <c r="AD487" s="31"/>
      <c r="AE487" s="31"/>
      <c r="AF487" s="31"/>
      <c r="AG487" s="31"/>
      <c r="AH487" s="31"/>
      <c r="AI487" s="31"/>
      <c r="AJ487" s="31"/>
      <c r="AK487" s="31" t="s">
        <v>794</v>
      </c>
      <c r="AL487" s="31"/>
      <c r="AV487" s="21" t="s">
        <v>794</v>
      </c>
    </row>
    <row r="488" spans="1:48" x14ac:dyDescent="0.35">
      <c r="A488" s="2" t="s">
        <v>417</v>
      </c>
      <c r="B488" s="3"/>
      <c r="D488" s="6">
        <v>3000</v>
      </c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23">
        <f t="shared" si="39"/>
        <v>3000</v>
      </c>
      <c r="W488" s="6"/>
      <c r="X488" s="23">
        <f t="shared" si="41"/>
        <v>3000</v>
      </c>
      <c r="Y488" s="31"/>
      <c r="Z488" s="31"/>
      <c r="AA488" s="31"/>
      <c r="AB488" s="31"/>
      <c r="AC488" s="31" t="s">
        <v>794</v>
      </c>
      <c r="AD488" s="31"/>
      <c r="AE488" s="31"/>
      <c r="AF488" s="31"/>
      <c r="AG488" s="31"/>
      <c r="AH488" s="31"/>
      <c r="AI488" s="31"/>
      <c r="AJ488" s="31"/>
      <c r="AK488" s="31" t="s">
        <v>794</v>
      </c>
      <c r="AL488" s="31"/>
      <c r="AV488" s="21" t="s">
        <v>794</v>
      </c>
    </row>
    <row r="489" spans="1:48" x14ac:dyDescent="0.35">
      <c r="A489" s="2" t="s">
        <v>418</v>
      </c>
      <c r="B489" s="3"/>
      <c r="D489" s="6">
        <v>20450</v>
      </c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23">
        <f t="shared" si="39"/>
        <v>20450</v>
      </c>
      <c r="W489" s="6"/>
      <c r="X489" s="23">
        <f t="shared" si="41"/>
        <v>20450</v>
      </c>
      <c r="Y489" s="31"/>
      <c r="Z489" s="31"/>
      <c r="AA489" s="31"/>
      <c r="AB489" s="31"/>
      <c r="AC489" s="31" t="s">
        <v>794</v>
      </c>
      <c r="AD489" s="31"/>
      <c r="AE489" s="31"/>
      <c r="AF489" s="31"/>
      <c r="AG489" s="31"/>
      <c r="AH489" s="31"/>
      <c r="AI489" s="31"/>
      <c r="AJ489" s="31"/>
      <c r="AK489" s="31" t="s">
        <v>793</v>
      </c>
      <c r="AL489" s="31"/>
      <c r="AV489" s="21" t="s">
        <v>794</v>
      </c>
    </row>
    <row r="490" spans="1:48" x14ac:dyDescent="0.35">
      <c r="A490" s="2" t="s">
        <v>419</v>
      </c>
      <c r="B490" s="3"/>
      <c r="D490" s="6">
        <v>26825</v>
      </c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23">
        <f t="shared" si="39"/>
        <v>26825</v>
      </c>
      <c r="W490" s="6"/>
      <c r="X490" s="23">
        <f t="shared" si="41"/>
        <v>26825</v>
      </c>
      <c r="Y490" s="31"/>
      <c r="Z490" s="31"/>
      <c r="AA490" s="31"/>
      <c r="AB490" s="31"/>
      <c r="AC490" s="31" t="s">
        <v>793</v>
      </c>
      <c r="AD490" s="31"/>
      <c r="AE490" s="31"/>
      <c r="AF490" s="31"/>
      <c r="AG490" s="31"/>
      <c r="AH490" s="31"/>
      <c r="AI490" s="31"/>
      <c r="AJ490" s="31"/>
      <c r="AK490" s="31" t="s">
        <v>793</v>
      </c>
      <c r="AL490" s="31"/>
      <c r="AV490" s="21" t="s">
        <v>793</v>
      </c>
    </row>
    <row r="491" spans="1:48" x14ac:dyDescent="0.35">
      <c r="A491" s="2" t="s">
        <v>420</v>
      </c>
      <c r="B491" s="3"/>
      <c r="D491" s="6">
        <v>10810</v>
      </c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23">
        <f t="shared" si="39"/>
        <v>10810</v>
      </c>
      <c r="W491" s="6"/>
      <c r="X491" s="23">
        <f t="shared" si="41"/>
        <v>10810</v>
      </c>
      <c r="Y491" s="31"/>
      <c r="Z491" s="31"/>
      <c r="AA491" s="31"/>
      <c r="AB491" s="31"/>
      <c r="AC491" s="31" t="s">
        <v>794</v>
      </c>
      <c r="AD491" s="31"/>
      <c r="AE491" s="31"/>
      <c r="AF491" s="31"/>
      <c r="AG491" s="31"/>
      <c r="AH491" s="31"/>
      <c r="AI491" s="31"/>
      <c r="AJ491" s="31"/>
      <c r="AK491" s="31" t="s">
        <v>793</v>
      </c>
      <c r="AL491" s="31"/>
      <c r="AV491" s="21" t="s">
        <v>793</v>
      </c>
    </row>
    <row r="492" spans="1:48" x14ac:dyDescent="0.35">
      <c r="A492" s="2" t="s">
        <v>421</v>
      </c>
      <c r="B492" s="3"/>
      <c r="D492" s="6">
        <v>21300</v>
      </c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23">
        <f t="shared" si="39"/>
        <v>21300</v>
      </c>
      <c r="W492" s="6"/>
      <c r="X492" s="23">
        <f t="shared" si="41"/>
        <v>21300</v>
      </c>
      <c r="Y492" s="31"/>
      <c r="Z492" s="31"/>
      <c r="AA492" s="31"/>
      <c r="AB492" s="31"/>
      <c r="AC492" s="31" t="s">
        <v>794</v>
      </c>
      <c r="AD492" s="31"/>
      <c r="AE492" s="31"/>
      <c r="AF492" s="31"/>
      <c r="AG492" s="31"/>
      <c r="AH492" s="31"/>
      <c r="AI492" s="31"/>
      <c r="AJ492" s="31"/>
      <c r="AK492" s="31" t="s">
        <v>794</v>
      </c>
      <c r="AL492" s="31"/>
      <c r="AV492" s="21" t="s">
        <v>794</v>
      </c>
    </row>
    <row r="493" spans="1:48" x14ac:dyDescent="0.35">
      <c r="A493" s="2" t="s">
        <v>422</v>
      </c>
      <c r="B493" s="3"/>
      <c r="C493" s="2"/>
      <c r="D493" s="6">
        <v>26700</v>
      </c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23">
        <f t="shared" si="39"/>
        <v>26700</v>
      </c>
      <c r="W493" s="6"/>
      <c r="X493" s="23">
        <f t="shared" si="41"/>
        <v>26700</v>
      </c>
      <c r="Y493" s="31"/>
      <c r="Z493" s="31"/>
      <c r="AA493" s="31"/>
      <c r="AB493" s="31"/>
      <c r="AC493" s="31" t="s">
        <v>794</v>
      </c>
      <c r="AD493" s="31"/>
      <c r="AE493" s="31"/>
      <c r="AF493" s="31"/>
      <c r="AG493" s="31"/>
      <c r="AH493" s="31"/>
      <c r="AI493" s="31"/>
      <c r="AJ493" s="31"/>
      <c r="AK493" s="31" t="s">
        <v>794</v>
      </c>
      <c r="AL493" s="31"/>
      <c r="AV493" s="21" t="s">
        <v>793</v>
      </c>
    </row>
    <row r="494" spans="1:48" x14ac:dyDescent="0.35">
      <c r="A494" s="2" t="s">
        <v>423</v>
      </c>
      <c r="B494" s="3"/>
      <c r="D494" s="6">
        <v>22900</v>
      </c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23">
        <f t="shared" si="39"/>
        <v>22900</v>
      </c>
      <c r="W494" s="6"/>
      <c r="X494" s="23">
        <f t="shared" si="41"/>
        <v>22900</v>
      </c>
      <c r="Y494" s="31"/>
      <c r="Z494" s="31"/>
      <c r="AA494" s="31"/>
      <c r="AB494" s="31"/>
      <c r="AC494" s="31" t="s">
        <v>794</v>
      </c>
      <c r="AD494" s="31"/>
      <c r="AE494" s="31"/>
      <c r="AF494" s="31"/>
      <c r="AG494" s="31"/>
      <c r="AH494" s="31"/>
      <c r="AI494" s="31"/>
      <c r="AJ494" s="31"/>
      <c r="AK494" s="31" t="s">
        <v>794</v>
      </c>
      <c r="AL494" s="31"/>
      <c r="AV494" s="21" t="s">
        <v>793</v>
      </c>
    </row>
    <row r="495" spans="1:48" x14ac:dyDescent="0.35">
      <c r="A495" s="2" t="s">
        <v>424</v>
      </c>
      <c r="B495" s="3"/>
      <c r="D495" s="6">
        <v>12350</v>
      </c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23">
        <f t="shared" si="39"/>
        <v>12350</v>
      </c>
      <c r="W495" s="6"/>
      <c r="X495" s="23">
        <f t="shared" si="41"/>
        <v>12350</v>
      </c>
      <c r="Y495" s="31"/>
      <c r="Z495" s="31"/>
      <c r="AA495" s="31"/>
      <c r="AB495" s="31"/>
      <c r="AC495" s="31" t="s">
        <v>794</v>
      </c>
      <c r="AD495" s="31"/>
      <c r="AE495" s="31"/>
      <c r="AF495" s="31"/>
      <c r="AG495" s="31"/>
      <c r="AH495" s="31"/>
      <c r="AI495" s="31"/>
      <c r="AJ495" s="31"/>
      <c r="AK495" s="31" t="s">
        <v>794</v>
      </c>
      <c r="AL495" s="31"/>
      <c r="AV495" s="21" t="s">
        <v>794</v>
      </c>
    </row>
    <row r="496" spans="1:48" x14ac:dyDescent="0.35">
      <c r="A496" s="2" t="s">
        <v>426</v>
      </c>
      <c r="B496" s="3"/>
      <c r="D496" s="6">
        <v>7120</v>
      </c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23">
        <f t="shared" si="39"/>
        <v>7120</v>
      </c>
      <c r="W496" s="6"/>
      <c r="X496" s="23">
        <f t="shared" si="41"/>
        <v>7120</v>
      </c>
      <c r="Y496" s="31"/>
      <c r="Z496" s="31"/>
      <c r="AA496" s="31"/>
      <c r="AB496" s="31"/>
      <c r="AC496" s="31" t="s">
        <v>794</v>
      </c>
      <c r="AD496" s="31"/>
      <c r="AE496" s="31"/>
      <c r="AF496" s="31"/>
      <c r="AG496" s="31"/>
      <c r="AH496" s="31"/>
      <c r="AI496" s="31"/>
      <c r="AJ496" s="31"/>
      <c r="AK496" s="31" t="s">
        <v>793</v>
      </c>
      <c r="AL496" s="31"/>
      <c r="AV496" s="21" t="s">
        <v>794</v>
      </c>
    </row>
    <row r="497" spans="1:48" x14ac:dyDescent="0.35">
      <c r="A497" s="2" t="s">
        <v>427</v>
      </c>
      <c r="B497" s="3"/>
      <c r="D497" s="6">
        <v>79000</v>
      </c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23">
        <f t="shared" si="39"/>
        <v>79000</v>
      </c>
      <c r="W497" s="6"/>
      <c r="X497" s="23">
        <f t="shared" si="41"/>
        <v>79000</v>
      </c>
      <c r="Y497" s="31"/>
      <c r="Z497" s="31"/>
      <c r="AA497" s="31"/>
      <c r="AB497" s="31"/>
      <c r="AC497" s="31" t="s">
        <v>794</v>
      </c>
      <c r="AD497" s="31"/>
      <c r="AE497" s="31"/>
      <c r="AF497" s="31"/>
      <c r="AG497" s="31"/>
      <c r="AH497" s="31"/>
      <c r="AI497" s="31"/>
      <c r="AJ497" s="31"/>
      <c r="AK497" s="31" t="s">
        <v>794</v>
      </c>
      <c r="AL497" s="31"/>
      <c r="AV497" s="21" t="s">
        <v>794</v>
      </c>
    </row>
    <row r="498" spans="1:48" x14ac:dyDescent="0.35">
      <c r="A498" s="2" t="s">
        <v>428</v>
      </c>
      <c r="B498" s="3"/>
      <c r="D498" s="6">
        <v>68860</v>
      </c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23">
        <f t="shared" si="39"/>
        <v>68860</v>
      </c>
      <c r="W498" s="6"/>
      <c r="X498" s="23">
        <f t="shared" si="41"/>
        <v>68860</v>
      </c>
      <c r="Y498" s="31"/>
      <c r="Z498" s="31"/>
      <c r="AA498" s="31"/>
      <c r="AB498" s="31"/>
      <c r="AC498" s="31" t="s">
        <v>793</v>
      </c>
      <c r="AD498" s="31"/>
      <c r="AE498" s="31"/>
      <c r="AF498" s="31"/>
      <c r="AG498" s="31"/>
      <c r="AH498" s="31"/>
      <c r="AI498" s="31"/>
      <c r="AJ498" s="31"/>
      <c r="AK498" s="31" t="s">
        <v>794</v>
      </c>
      <c r="AL498" s="31"/>
    </row>
    <row r="499" spans="1:48" x14ac:dyDescent="0.35">
      <c r="A499" s="2" t="s">
        <v>429</v>
      </c>
      <c r="B499" s="3"/>
      <c r="D499" s="6">
        <v>4584</v>
      </c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23">
        <f t="shared" si="39"/>
        <v>4584</v>
      </c>
      <c r="W499" s="6"/>
      <c r="X499" s="23">
        <f t="shared" si="41"/>
        <v>4584</v>
      </c>
      <c r="Y499" s="31"/>
      <c r="Z499" s="31"/>
      <c r="AA499" s="31"/>
      <c r="AB499" s="31"/>
      <c r="AC499" s="31" t="s">
        <v>812</v>
      </c>
      <c r="AD499" s="31"/>
      <c r="AE499" s="31"/>
      <c r="AF499" s="31"/>
      <c r="AG499" s="31"/>
      <c r="AH499" s="31"/>
      <c r="AI499" s="31"/>
      <c r="AJ499" s="31"/>
      <c r="AK499" s="31" t="s">
        <v>812</v>
      </c>
      <c r="AL499" s="31"/>
    </row>
    <row r="500" spans="1:48" x14ac:dyDescent="0.35">
      <c r="A500" s="2" t="s">
        <v>430</v>
      </c>
      <c r="B500" s="3"/>
      <c r="D500" s="6">
        <v>6687</v>
      </c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23">
        <f t="shared" si="39"/>
        <v>6687</v>
      </c>
      <c r="W500" s="6"/>
      <c r="X500" s="23">
        <f t="shared" si="41"/>
        <v>6687</v>
      </c>
      <c r="Y500" s="31"/>
      <c r="Z500" s="31"/>
      <c r="AA500" s="31"/>
      <c r="AB500" s="31"/>
      <c r="AC500" s="31" t="s">
        <v>793</v>
      </c>
      <c r="AD500" s="31"/>
      <c r="AE500" s="31"/>
      <c r="AF500" s="31"/>
      <c r="AG500" s="31"/>
      <c r="AH500" s="31"/>
      <c r="AI500" s="31"/>
      <c r="AJ500" s="31"/>
      <c r="AK500" s="31" t="s">
        <v>794</v>
      </c>
      <c r="AL500" s="31"/>
    </row>
    <row r="501" spans="1:48" x14ac:dyDescent="0.35">
      <c r="A501" s="2" t="s">
        <v>432</v>
      </c>
      <c r="B501" s="3"/>
      <c r="D501" s="6">
        <v>1500</v>
      </c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23">
        <f t="shared" si="39"/>
        <v>1500</v>
      </c>
      <c r="W501" s="6"/>
      <c r="X501" s="23">
        <f t="shared" si="41"/>
        <v>1500</v>
      </c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 t="s">
        <v>793</v>
      </c>
      <c r="AL501" s="31"/>
    </row>
    <row r="502" spans="1:48" x14ac:dyDescent="0.35">
      <c r="A502" s="2" t="s">
        <v>433</v>
      </c>
      <c r="B502" s="3"/>
      <c r="D502" s="6">
        <v>5800</v>
      </c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23">
        <f t="shared" si="39"/>
        <v>5800</v>
      </c>
      <c r="W502" s="6"/>
      <c r="X502" s="23">
        <f t="shared" si="41"/>
        <v>5800</v>
      </c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 t="s">
        <v>857</v>
      </c>
      <c r="AL502" s="31"/>
    </row>
    <row r="503" spans="1:48" x14ac:dyDescent="0.35">
      <c r="A503" s="2" t="s">
        <v>434</v>
      </c>
      <c r="B503" s="3"/>
      <c r="D503" s="6">
        <v>42705</v>
      </c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23">
        <f t="shared" si="39"/>
        <v>42705</v>
      </c>
      <c r="W503" s="6"/>
      <c r="X503" s="23">
        <f t="shared" si="41"/>
        <v>42705</v>
      </c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 t="s">
        <v>793</v>
      </c>
      <c r="AL503" s="31"/>
    </row>
    <row r="504" spans="1:48" x14ac:dyDescent="0.35">
      <c r="A504" s="13" t="s">
        <v>435</v>
      </c>
      <c r="B504" s="3"/>
      <c r="C504" s="13"/>
      <c r="D504" s="6">
        <v>37755</v>
      </c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23">
        <f t="shared" si="39"/>
        <v>37755</v>
      </c>
      <c r="W504" s="6"/>
      <c r="X504" s="23">
        <f t="shared" si="41"/>
        <v>37755</v>
      </c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</row>
    <row r="505" spans="1:48" x14ac:dyDescent="0.35">
      <c r="A505" s="2" t="s">
        <v>436</v>
      </c>
      <c r="B505" s="3"/>
      <c r="D505" s="6">
        <v>28125</v>
      </c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23">
        <f t="shared" si="39"/>
        <v>28125</v>
      </c>
      <c r="W505" s="6"/>
      <c r="X505" s="23">
        <f t="shared" si="41"/>
        <v>28125</v>
      </c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</row>
    <row r="506" spans="1:48" x14ac:dyDescent="0.35">
      <c r="A506" s="13" t="s">
        <v>437</v>
      </c>
      <c r="B506" s="3"/>
      <c r="C506" s="13"/>
      <c r="D506" s="6">
        <v>7350</v>
      </c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23">
        <f t="shared" si="39"/>
        <v>7350</v>
      </c>
      <c r="W506" s="6"/>
      <c r="X506" s="23">
        <f t="shared" si="41"/>
        <v>7350</v>
      </c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</row>
    <row r="507" spans="1:48" x14ac:dyDescent="0.35">
      <c r="A507" s="2" t="s">
        <v>439</v>
      </c>
      <c r="B507" s="3"/>
      <c r="D507" s="6">
        <v>13070</v>
      </c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23">
        <f t="shared" si="39"/>
        <v>13070</v>
      </c>
      <c r="W507" s="6"/>
      <c r="X507" s="23">
        <f t="shared" si="41"/>
        <v>13070</v>
      </c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</row>
    <row r="508" spans="1:48" x14ac:dyDescent="0.35">
      <c r="A508" s="13" t="s">
        <v>440</v>
      </c>
      <c r="B508" s="3"/>
      <c r="C508" s="13"/>
      <c r="D508" s="6">
        <v>5700</v>
      </c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23">
        <f t="shared" si="39"/>
        <v>5700</v>
      </c>
      <c r="W508" s="6"/>
      <c r="X508" s="23">
        <f t="shared" si="41"/>
        <v>5700</v>
      </c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</row>
    <row r="509" spans="1:48" x14ac:dyDescent="0.35">
      <c r="A509" s="2" t="s">
        <v>442</v>
      </c>
      <c r="B509" s="3"/>
      <c r="D509" s="6">
        <v>26860</v>
      </c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23">
        <f t="shared" si="39"/>
        <v>26860</v>
      </c>
      <c r="W509" s="6"/>
      <c r="X509" s="23">
        <f t="shared" si="41"/>
        <v>26860</v>
      </c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</row>
    <row r="510" spans="1:48" x14ac:dyDescent="0.35">
      <c r="A510" s="2" t="s">
        <v>443</v>
      </c>
      <c r="B510" s="3"/>
      <c r="D510" s="6">
        <v>29000</v>
      </c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23">
        <f t="shared" si="39"/>
        <v>29000</v>
      </c>
      <c r="W510" s="6"/>
      <c r="X510" s="23">
        <f t="shared" si="41"/>
        <v>29000</v>
      </c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</row>
    <row r="511" spans="1:48" x14ac:dyDescent="0.35">
      <c r="A511" s="2" t="s">
        <v>444</v>
      </c>
      <c r="B511" s="3"/>
      <c r="D511" s="6">
        <v>4350</v>
      </c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23">
        <f t="shared" si="39"/>
        <v>4350</v>
      </c>
      <c r="W511" s="6"/>
      <c r="X511" s="23">
        <f t="shared" si="41"/>
        <v>4350</v>
      </c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</row>
    <row r="512" spans="1:48" x14ac:dyDescent="0.35">
      <c r="A512" s="2" t="s">
        <v>445</v>
      </c>
      <c r="B512" s="3"/>
      <c r="D512" s="6">
        <v>16000</v>
      </c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23">
        <f t="shared" si="39"/>
        <v>16000</v>
      </c>
      <c r="W512" s="6"/>
      <c r="X512" s="23">
        <f t="shared" si="41"/>
        <v>16000</v>
      </c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</row>
    <row r="513" spans="1:38" x14ac:dyDescent="0.35">
      <c r="A513" s="2" t="s">
        <v>446</v>
      </c>
      <c r="B513" s="3"/>
      <c r="D513" s="6">
        <v>5660</v>
      </c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23">
        <f t="shared" si="39"/>
        <v>5660</v>
      </c>
      <c r="W513" s="6"/>
      <c r="X513" s="23">
        <f t="shared" si="41"/>
        <v>5660</v>
      </c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</row>
    <row r="514" spans="1:38" x14ac:dyDescent="0.35">
      <c r="A514" s="2" t="s">
        <v>447</v>
      </c>
      <c r="B514" s="3"/>
      <c r="D514" s="6">
        <v>31000</v>
      </c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23">
        <f t="shared" si="39"/>
        <v>31000</v>
      </c>
      <c r="W514" s="6"/>
      <c r="X514" s="23">
        <f t="shared" si="41"/>
        <v>31000</v>
      </c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</row>
    <row r="515" spans="1:38" x14ac:dyDescent="0.35">
      <c r="A515" s="2" t="s">
        <v>448</v>
      </c>
      <c r="B515" s="3"/>
      <c r="D515" s="6">
        <v>46800</v>
      </c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23">
        <f t="shared" si="39"/>
        <v>46800</v>
      </c>
      <c r="W515" s="6"/>
      <c r="X515" s="23">
        <f t="shared" si="41"/>
        <v>46800</v>
      </c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</row>
    <row r="516" spans="1:38" x14ac:dyDescent="0.35">
      <c r="A516" s="2" t="s">
        <v>449</v>
      </c>
      <c r="B516" s="3"/>
      <c r="D516" s="6">
        <v>25163</v>
      </c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23">
        <f t="shared" si="39"/>
        <v>25163</v>
      </c>
      <c r="W516" s="6"/>
      <c r="X516" s="23">
        <f t="shared" si="41"/>
        <v>25163</v>
      </c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</row>
    <row r="517" spans="1:38" x14ac:dyDescent="0.35">
      <c r="A517" s="2" t="s">
        <v>450</v>
      </c>
      <c r="B517" s="3"/>
      <c r="D517" s="6">
        <v>11050</v>
      </c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23">
        <f t="shared" si="39"/>
        <v>11050</v>
      </c>
      <c r="W517" s="6"/>
      <c r="X517" s="23">
        <f t="shared" si="41"/>
        <v>11050</v>
      </c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</row>
    <row r="518" spans="1:38" x14ac:dyDescent="0.35">
      <c r="A518" s="2" t="s">
        <v>451</v>
      </c>
      <c r="B518" s="3"/>
      <c r="D518" s="6">
        <v>60070</v>
      </c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23">
        <f t="shared" si="39"/>
        <v>60070</v>
      </c>
      <c r="W518" s="6"/>
      <c r="X518" s="23">
        <f t="shared" si="41"/>
        <v>60070</v>
      </c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</row>
    <row r="519" spans="1:38" x14ac:dyDescent="0.35">
      <c r="A519" s="2" t="s">
        <v>452</v>
      </c>
      <c r="B519" s="3"/>
      <c r="D519" s="6">
        <v>56100</v>
      </c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23">
        <f t="shared" si="39"/>
        <v>56100</v>
      </c>
      <c r="W519" s="6"/>
      <c r="X519" s="23">
        <f t="shared" si="41"/>
        <v>56100</v>
      </c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</row>
    <row r="520" spans="1:38" x14ac:dyDescent="0.35">
      <c r="A520" s="2" t="s">
        <v>453</v>
      </c>
      <c r="B520" s="3"/>
      <c r="D520" s="6">
        <v>14325</v>
      </c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23">
        <f t="shared" si="39"/>
        <v>14325</v>
      </c>
      <c r="W520" s="6"/>
      <c r="X520" s="23">
        <f t="shared" si="41"/>
        <v>14325</v>
      </c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</row>
    <row r="521" spans="1:38" x14ac:dyDescent="0.35">
      <c r="A521" s="14" t="s">
        <v>454</v>
      </c>
      <c r="B521" s="3"/>
      <c r="D521" s="6">
        <v>26850</v>
      </c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23">
        <f t="shared" si="39"/>
        <v>26850</v>
      </c>
      <c r="W521" s="6"/>
      <c r="X521" s="23">
        <f t="shared" si="41"/>
        <v>26850</v>
      </c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</row>
    <row r="522" spans="1:38" x14ac:dyDescent="0.35">
      <c r="A522" s="14" t="s">
        <v>455</v>
      </c>
      <c r="B522" s="3"/>
      <c r="D522" s="6">
        <v>8400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23">
        <f t="shared" si="39"/>
        <v>8400</v>
      </c>
      <c r="W522" s="6"/>
      <c r="X522" s="23">
        <f t="shared" si="41"/>
        <v>8400</v>
      </c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</row>
    <row r="523" spans="1:38" x14ac:dyDescent="0.35">
      <c r="A523" s="2" t="s">
        <v>456</v>
      </c>
      <c r="B523" s="3"/>
      <c r="D523" s="6">
        <v>35000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23">
        <f t="shared" ref="V523:V586" si="42">SUM(D523:U523)</f>
        <v>35000</v>
      </c>
      <c r="W523" s="6"/>
      <c r="X523" s="23">
        <f t="shared" si="41"/>
        <v>35000</v>
      </c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</row>
    <row r="524" spans="1:38" x14ac:dyDescent="0.35">
      <c r="A524" s="2" t="s">
        <v>457</v>
      </c>
      <c r="B524" s="3"/>
      <c r="D524" s="6">
        <v>20000</v>
      </c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23">
        <f t="shared" si="42"/>
        <v>20000</v>
      </c>
      <c r="W524" s="6"/>
      <c r="X524" s="23">
        <f t="shared" si="41"/>
        <v>20000</v>
      </c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</row>
    <row r="525" spans="1:38" x14ac:dyDescent="0.35">
      <c r="A525" s="2" t="s">
        <v>458</v>
      </c>
      <c r="B525" s="3"/>
      <c r="D525" s="6">
        <v>7050</v>
      </c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23">
        <f t="shared" si="42"/>
        <v>7050</v>
      </c>
      <c r="W525" s="6"/>
      <c r="X525" s="23">
        <f t="shared" si="41"/>
        <v>7050</v>
      </c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</row>
    <row r="526" spans="1:38" x14ac:dyDescent="0.35">
      <c r="A526" s="2" t="s">
        <v>459</v>
      </c>
      <c r="B526" s="3"/>
      <c r="D526" s="6">
        <v>40000</v>
      </c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23">
        <f t="shared" si="42"/>
        <v>40000</v>
      </c>
      <c r="W526" s="6"/>
      <c r="X526" s="23">
        <f t="shared" si="41"/>
        <v>40000</v>
      </c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</row>
    <row r="527" spans="1:38" x14ac:dyDescent="0.35">
      <c r="A527" s="2" t="s">
        <v>460</v>
      </c>
      <c r="B527" s="3"/>
      <c r="D527" s="6">
        <v>34985</v>
      </c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23">
        <f t="shared" si="42"/>
        <v>34985</v>
      </c>
      <c r="W527" s="6"/>
      <c r="X527" s="23">
        <f t="shared" si="41"/>
        <v>34985</v>
      </c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</row>
    <row r="528" spans="1:38" x14ac:dyDescent="0.35">
      <c r="A528" s="2" t="s">
        <v>461</v>
      </c>
      <c r="B528" s="3"/>
      <c r="D528" s="6">
        <v>95250</v>
      </c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23">
        <f t="shared" si="42"/>
        <v>95250</v>
      </c>
      <c r="W528" s="6"/>
      <c r="X528" s="23">
        <f t="shared" si="41"/>
        <v>95250</v>
      </c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</row>
    <row r="529" spans="1:38" x14ac:dyDescent="0.35">
      <c r="A529" s="2" t="s">
        <v>462</v>
      </c>
      <c r="B529" s="3"/>
      <c r="D529" s="6">
        <v>9360</v>
      </c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23">
        <f t="shared" si="42"/>
        <v>9360</v>
      </c>
      <c r="W529" s="6"/>
      <c r="X529" s="23">
        <f t="shared" si="41"/>
        <v>9360</v>
      </c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</row>
    <row r="530" spans="1:38" x14ac:dyDescent="0.35">
      <c r="A530" s="2" t="s">
        <v>463</v>
      </c>
      <c r="B530" s="3"/>
      <c r="D530" s="6">
        <v>4355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23">
        <f t="shared" si="42"/>
        <v>4355</v>
      </c>
      <c r="W530" s="6"/>
      <c r="X530" s="23">
        <f t="shared" si="41"/>
        <v>4355</v>
      </c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</row>
    <row r="531" spans="1:38" x14ac:dyDescent="0.35">
      <c r="A531" s="2" t="s">
        <v>464</v>
      </c>
      <c r="B531" s="3"/>
      <c r="D531" s="6">
        <v>25575</v>
      </c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23">
        <f t="shared" si="42"/>
        <v>25575</v>
      </c>
      <c r="W531" s="6"/>
      <c r="X531" s="23">
        <f t="shared" si="41"/>
        <v>25575</v>
      </c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</row>
    <row r="532" spans="1:38" x14ac:dyDescent="0.35">
      <c r="A532" s="2" t="s">
        <v>465</v>
      </c>
      <c r="B532" s="3"/>
      <c r="D532" s="6">
        <v>4200</v>
      </c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23">
        <f t="shared" si="42"/>
        <v>4200</v>
      </c>
      <c r="W532" s="6"/>
      <c r="X532" s="23">
        <f t="shared" si="41"/>
        <v>4200</v>
      </c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</row>
    <row r="533" spans="1:38" x14ac:dyDescent="0.35">
      <c r="A533" s="2" t="s">
        <v>466</v>
      </c>
      <c r="B533" s="3"/>
      <c r="D533" s="6">
        <v>14300</v>
      </c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23">
        <f t="shared" si="42"/>
        <v>14300</v>
      </c>
      <c r="W533" s="6"/>
      <c r="X533" s="23">
        <f t="shared" si="41"/>
        <v>14300</v>
      </c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</row>
    <row r="534" spans="1:38" x14ac:dyDescent="0.35">
      <c r="A534" s="2" t="s">
        <v>467</v>
      </c>
      <c r="B534" s="3"/>
      <c r="D534" s="6">
        <v>36700</v>
      </c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23">
        <f t="shared" si="42"/>
        <v>36700</v>
      </c>
      <c r="W534" s="6"/>
      <c r="X534" s="23">
        <f t="shared" si="41"/>
        <v>36700</v>
      </c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</row>
    <row r="535" spans="1:38" x14ac:dyDescent="0.35">
      <c r="A535" s="2" t="s">
        <v>468</v>
      </c>
      <c r="B535" s="3"/>
      <c r="D535" s="6">
        <v>7600</v>
      </c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23">
        <f t="shared" si="42"/>
        <v>7600</v>
      </c>
      <c r="W535" s="6"/>
      <c r="X535" s="23">
        <f t="shared" si="41"/>
        <v>7600</v>
      </c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</row>
    <row r="536" spans="1:38" x14ac:dyDescent="0.35">
      <c r="A536" s="2" t="s">
        <v>469</v>
      </c>
      <c r="B536" s="3"/>
      <c r="D536" s="6">
        <v>22395</v>
      </c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23">
        <f t="shared" si="42"/>
        <v>22395</v>
      </c>
      <c r="W536" s="6"/>
      <c r="X536" s="23">
        <f t="shared" si="41"/>
        <v>22395</v>
      </c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</row>
    <row r="537" spans="1:38" x14ac:dyDescent="0.35">
      <c r="A537" s="2" t="s">
        <v>470</v>
      </c>
      <c r="B537" s="3"/>
      <c r="D537" s="6">
        <v>12200</v>
      </c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23">
        <f t="shared" si="42"/>
        <v>12200</v>
      </c>
      <c r="W537" s="6"/>
      <c r="X537" s="23">
        <f t="shared" si="41"/>
        <v>12200</v>
      </c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</row>
    <row r="538" spans="1:38" x14ac:dyDescent="0.35">
      <c r="A538" s="2" t="s">
        <v>471</v>
      </c>
      <c r="B538" s="3"/>
      <c r="D538" s="6">
        <v>13500</v>
      </c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23">
        <f t="shared" si="42"/>
        <v>13500</v>
      </c>
      <c r="W538" s="6"/>
      <c r="X538" s="23">
        <f t="shared" si="41"/>
        <v>13500</v>
      </c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</row>
    <row r="539" spans="1:38" x14ac:dyDescent="0.35">
      <c r="A539" s="2" t="s">
        <v>472</v>
      </c>
      <c r="B539" s="3"/>
      <c r="D539" s="6">
        <v>24300</v>
      </c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23">
        <f t="shared" si="42"/>
        <v>24300</v>
      </c>
      <c r="W539" s="6"/>
      <c r="X539" s="23">
        <f t="shared" si="41"/>
        <v>24300</v>
      </c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</row>
    <row r="540" spans="1:38" x14ac:dyDescent="0.35">
      <c r="A540" s="2" t="s">
        <v>473</v>
      </c>
      <c r="B540" s="3"/>
      <c r="D540" s="6">
        <v>35020</v>
      </c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3">
        <f t="shared" si="42"/>
        <v>35020</v>
      </c>
      <c r="W540" s="6"/>
      <c r="X540" s="23">
        <f t="shared" si="41"/>
        <v>35020</v>
      </c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</row>
    <row r="541" spans="1:38" x14ac:dyDescent="0.35">
      <c r="A541" s="2" t="s">
        <v>474</v>
      </c>
      <c r="B541" s="3"/>
      <c r="D541" s="6">
        <v>12815</v>
      </c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3">
        <f t="shared" si="42"/>
        <v>12815</v>
      </c>
      <c r="W541" s="6"/>
      <c r="X541" s="23">
        <f t="shared" si="41"/>
        <v>12815</v>
      </c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</row>
    <row r="542" spans="1:38" x14ac:dyDescent="0.35">
      <c r="A542" s="2" t="s">
        <v>475</v>
      </c>
      <c r="B542" s="3"/>
      <c r="D542" s="6">
        <v>11965</v>
      </c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3">
        <f t="shared" si="42"/>
        <v>11965</v>
      </c>
      <c r="W542" s="6"/>
      <c r="X542" s="23">
        <f t="shared" si="41"/>
        <v>11965</v>
      </c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</row>
    <row r="543" spans="1:38" x14ac:dyDescent="0.35">
      <c r="A543" s="2" t="s">
        <v>476</v>
      </c>
      <c r="B543" s="3"/>
      <c r="D543" s="6">
        <v>55097.84</v>
      </c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3">
        <f t="shared" si="42"/>
        <v>55097.84</v>
      </c>
      <c r="W543" s="6"/>
      <c r="X543" s="23">
        <f t="shared" si="41"/>
        <v>55097.84</v>
      </c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</row>
    <row r="544" spans="1:38" x14ac:dyDescent="0.35">
      <c r="A544" s="2" t="s">
        <v>477</v>
      </c>
      <c r="B544" s="3"/>
      <c r="D544" s="6">
        <v>7005</v>
      </c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3">
        <f t="shared" si="42"/>
        <v>7005</v>
      </c>
      <c r="W544" s="6"/>
      <c r="X544" s="23">
        <f t="shared" si="41"/>
        <v>7005</v>
      </c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</row>
    <row r="545" spans="1:38" x14ac:dyDescent="0.35">
      <c r="A545" s="2" t="s">
        <v>479</v>
      </c>
      <c r="B545" s="3"/>
      <c r="C545" s="2"/>
      <c r="D545" s="6">
        <v>2675</v>
      </c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3">
        <f t="shared" si="42"/>
        <v>2675</v>
      </c>
      <c r="W545" s="6"/>
      <c r="X545" s="23">
        <f t="shared" ref="X545:X608" si="43">V545-W545</f>
        <v>2675</v>
      </c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</row>
    <row r="546" spans="1:38" x14ac:dyDescent="0.35">
      <c r="A546" s="2" t="s">
        <v>480</v>
      </c>
      <c r="B546" s="3"/>
      <c r="D546" s="6">
        <v>1100</v>
      </c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3">
        <f t="shared" si="42"/>
        <v>1100</v>
      </c>
      <c r="W546" s="6"/>
      <c r="X546" s="23">
        <f t="shared" si="43"/>
        <v>1100</v>
      </c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</row>
    <row r="547" spans="1:38" x14ac:dyDescent="0.35">
      <c r="A547" s="2" t="s">
        <v>481</v>
      </c>
      <c r="B547" s="3"/>
      <c r="D547" s="6">
        <v>15590</v>
      </c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3">
        <f t="shared" si="42"/>
        <v>15590</v>
      </c>
      <c r="W547" s="6"/>
      <c r="X547" s="23">
        <f t="shared" si="43"/>
        <v>15590</v>
      </c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 t="s">
        <v>793</v>
      </c>
      <c r="AL547" s="31"/>
    </row>
    <row r="548" spans="1:38" x14ac:dyDescent="0.35">
      <c r="A548" s="2" t="s">
        <v>482</v>
      </c>
      <c r="B548" s="3"/>
      <c r="D548" s="6">
        <v>31200</v>
      </c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23">
        <f t="shared" si="42"/>
        <v>31200</v>
      </c>
      <c r="W548" s="6"/>
      <c r="X548" s="23">
        <f t="shared" si="43"/>
        <v>31200</v>
      </c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</row>
    <row r="549" spans="1:38" x14ac:dyDescent="0.35">
      <c r="A549" s="2" t="s">
        <v>483</v>
      </c>
      <c r="B549" s="3"/>
      <c r="D549" s="6">
        <v>36660</v>
      </c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23">
        <f t="shared" si="42"/>
        <v>36660</v>
      </c>
      <c r="W549" s="6"/>
      <c r="X549" s="23">
        <f t="shared" si="43"/>
        <v>36660</v>
      </c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</row>
    <row r="550" spans="1:38" x14ac:dyDescent="0.35">
      <c r="A550" s="2" t="s">
        <v>484</v>
      </c>
      <c r="B550" s="3"/>
      <c r="C550" s="2"/>
      <c r="D550" s="6">
        <v>850</v>
      </c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23">
        <f t="shared" si="42"/>
        <v>850</v>
      </c>
      <c r="W550" s="6"/>
      <c r="X550" s="23">
        <f t="shared" si="43"/>
        <v>850</v>
      </c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</row>
    <row r="551" spans="1:38" x14ac:dyDescent="0.35">
      <c r="A551" s="2" t="s">
        <v>485</v>
      </c>
      <c r="B551" s="3"/>
      <c r="D551" s="6">
        <v>6500</v>
      </c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23">
        <f t="shared" si="42"/>
        <v>6500</v>
      </c>
      <c r="W551" s="6"/>
      <c r="X551" s="23">
        <f t="shared" si="43"/>
        <v>6500</v>
      </c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</row>
    <row r="552" spans="1:38" x14ac:dyDescent="0.35">
      <c r="A552" s="2" t="s">
        <v>486</v>
      </c>
      <c r="B552" s="3"/>
      <c r="D552" s="6">
        <v>2200</v>
      </c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3">
        <f t="shared" si="42"/>
        <v>2200</v>
      </c>
      <c r="W552" s="6"/>
      <c r="X552" s="23">
        <f t="shared" si="43"/>
        <v>2200</v>
      </c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 t="s">
        <v>794</v>
      </c>
      <c r="AL552" s="31"/>
    </row>
    <row r="553" spans="1:38" x14ac:dyDescent="0.35">
      <c r="A553" s="2" t="s">
        <v>488</v>
      </c>
      <c r="B553" s="3"/>
      <c r="D553" s="6">
        <v>4500</v>
      </c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23">
        <f t="shared" si="42"/>
        <v>4500</v>
      </c>
      <c r="W553" s="6"/>
      <c r="X553" s="23">
        <f t="shared" si="43"/>
        <v>4500</v>
      </c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</row>
    <row r="554" spans="1:38" x14ac:dyDescent="0.35">
      <c r="A554" s="2" t="s">
        <v>489</v>
      </c>
      <c r="B554" s="3"/>
      <c r="D554" s="6">
        <v>59450</v>
      </c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3">
        <f t="shared" si="42"/>
        <v>59450</v>
      </c>
      <c r="W554" s="6"/>
      <c r="X554" s="23">
        <f t="shared" si="43"/>
        <v>59450</v>
      </c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 t="s">
        <v>794</v>
      </c>
      <c r="AL554" s="31"/>
    </row>
    <row r="555" spans="1:38" x14ac:dyDescent="0.35">
      <c r="A555" s="2" t="s">
        <v>490</v>
      </c>
      <c r="B555" s="3"/>
      <c r="C555" s="6"/>
      <c r="D555" s="6">
        <v>43000</v>
      </c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23">
        <f t="shared" si="42"/>
        <v>43000</v>
      </c>
      <c r="W555" s="6"/>
      <c r="X555" s="23">
        <f t="shared" si="43"/>
        <v>43000</v>
      </c>
      <c r="Y555" s="14"/>
      <c r="Z555" s="14"/>
      <c r="AA555" s="14"/>
      <c r="AB555" s="14"/>
      <c r="AC555" s="14"/>
      <c r="AD555" s="14"/>
      <c r="AE555" s="14"/>
      <c r="AF555" s="14"/>
      <c r="AG555" s="14"/>
      <c r="AH555" s="31"/>
      <c r="AI555" s="31"/>
      <c r="AJ555" s="31"/>
      <c r="AK555" s="31"/>
      <c r="AL555" s="31"/>
    </row>
    <row r="556" spans="1:38" x14ac:dyDescent="0.35">
      <c r="A556" s="2" t="s">
        <v>491</v>
      </c>
      <c r="B556" s="3"/>
      <c r="D556" s="6">
        <v>13275</v>
      </c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3">
        <f t="shared" si="42"/>
        <v>13275</v>
      </c>
      <c r="W556" s="6"/>
      <c r="X556" s="23">
        <f t="shared" si="43"/>
        <v>13275</v>
      </c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 t="s">
        <v>794</v>
      </c>
      <c r="AL556" s="31"/>
    </row>
    <row r="557" spans="1:38" x14ac:dyDescent="0.35">
      <c r="A557" s="2" t="s">
        <v>492</v>
      </c>
      <c r="B557" s="3"/>
      <c r="D557" s="6">
        <v>8500</v>
      </c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3">
        <f t="shared" si="42"/>
        <v>8500</v>
      </c>
      <c r="W557" s="6"/>
      <c r="X557" s="23">
        <f t="shared" si="43"/>
        <v>8500</v>
      </c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 t="s">
        <v>812</v>
      </c>
      <c r="AL557" s="31"/>
    </row>
    <row r="558" spans="1:38" x14ac:dyDescent="0.35">
      <c r="A558" s="2" t="s">
        <v>493</v>
      </c>
      <c r="B558" s="3"/>
      <c r="D558" s="6">
        <v>2500</v>
      </c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3">
        <f t="shared" si="42"/>
        <v>2500</v>
      </c>
      <c r="W558" s="6"/>
      <c r="X558" s="23">
        <f t="shared" si="43"/>
        <v>2500</v>
      </c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 t="s">
        <v>794</v>
      </c>
      <c r="AL558" s="31"/>
    </row>
    <row r="559" spans="1:38" x14ac:dyDescent="0.35">
      <c r="A559" s="2" t="s">
        <v>494</v>
      </c>
      <c r="B559" s="3"/>
      <c r="D559" s="6">
        <v>12795</v>
      </c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3">
        <f t="shared" si="42"/>
        <v>12795</v>
      </c>
      <c r="W559" s="6"/>
      <c r="X559" s="23">
        <f t="shared" si="43"/>
        <v>12795</v>
      </c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 t="s">
        <v>793</v>
      </c>
      <c r="AL559" s="31"/>
    </row>
    <row r="560" spans="1:38" x14ac:dyDescent="0.35">
      <c r="A560" s="2" t="s">
        <v>495</v>
      </c>
      <c r="B560" s="3"/>
      <c r="D560" s="6">
        <v>25000</v>
      </c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3">
        <f t="shared" si="42"/>
        <v>25000</v>
      </c>
      <c r="W560" s="6"/>
      <c r="X560" s="23">
        <f t="shared" si="43"/>
        <v>25000</v>
      </c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 t="s">
        <v>793</v>
      </c>
      <c r="AL560" s="31"/>
    </row>
    <row r="561" spans="1:38" x14ac:dyDescent="0.35">
      <c r="A561" s="2" t="s">
        <v>496</v>
      </c>
      <c r="B561" s="3"/>
      <c r="D561" s="6">
        <v>3740</v>
      </c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3">
        <f t="shared" si="42"/>
        <v>3740</v>
      </c>
      <c r="W561" s="6"/>
      <c r="X561" s="23">
        <f t="shared" si="43"/>
        <v>3740</v>
      </c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 t="s">
        <v>794</v>
      </c>
      <c r="AL561" s="31"/>
    </row>
    <row r="562" spans="1:38" x14ac:dyDescent="0.35">
      <c r="A562" s="2" t="s">
        <v>497</v>
      </c>
      <c r="B562" s="3"/>
      <c r="D562" s="6">
        <v>50000</v>
      </c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3">
        <f t="shared" si="42"/>
        <v>50000</v>
      </c>
      <c r="W562" s="6"/>
      <c r="X562" s="23">
        <f t="shared" si="43"/>
        <v>50000</v>
      </c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 t="s">
        <v>794</v>
      </c>
      <c r="AL562" s="31"/>
    </row>
    <row r="563" spans="1:38" x14ac:dyDescent="0.35">
      <c r="A563" s="2" t="s">
        <v>498</v>
      </c>
      <c r="B563" s="3"/>
      <c r="C563" s="6"/>
      <c r="D563" s="6">
        <v>5850</v>
      </c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3">
        <f t="shared" si="42"/>
        <v>5850</v>
      </c>
      <c r="W563" s="6"/>
      <c r="X563" s="23">
        <f t="shared" si="43"/>
        <v>5850</v>
      </c>
      <c r="Y563" s="14"/>
      <c r="Z563" s="14"/>
      <c r="AA563" s="14"/>
      <c r="AB563" s="14"/>
      <c r="AC563" s="14"/>
      <c r="AD563" s="14"/>
      <c r="AE563" s="14"/>
      <c r="AF563" s="14"/>
      <c r="AG563" s="14"/>
      <c r="AH563" s="31"/>
      <c r="AI563" s="31"/>
      <c r="AJ563" s="31"/>
      <c r="AK563" s="31"/>
      <c r="AL563" s="31"/>
    </row>
    <row r="564" spans="1:38" x14ac:dyDescent="0.35">
      <c r="A564" s="15" t="s">
        <v>499</v>
      </c>
      <c r="B564" s="3"/>
      <c r="C564" s="15"/>
      <c r="D564" s="15">
        <v>4750</v>
      </c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23">
        <f t="shared" si="42"/>
        <v>4750</v>
      </c>
      <c r="W564" s="15"/>
      <c r="X564" s="23">
        <f t="shared" si="43"/>
        <v>4750</v>
      </c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</row>
    <row r="565" spans="1:38" x14ac:dyDescent="0.35">
      <c r="A565" s="2" t="s">
        <v>500</v>
      </c>
      <c r="B565" s="3"/>
      <c r="D565" s="6">
        <v>14010</v>
      </c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3">
        <f t="shared" si="42"/>
        <v>14010</v>
      </c>
      <c r="W565" s="6"/>
      <c r="X565" s="23">
        <f t="shared" si="43"/>
        <v>14010</v>
      </c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</row>
    <row r="566" spans="1:38" x14ac:dyDescent="0.35">
      <c r="A566" s="2" t="s">
        <v>501</v>
      </c>
      <c r="B566" s="3"/>
      <c r="D566" s="6">
        <v>96820</v>
      </c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3">
        <f t="shared" si="42"/>
        <v>96820</v>
      </c>
      <c r="W566" s="6"/>
      <c r="X566" s="23">
        <f t="shared" si="43"/>
        <v>96820</v>
      </c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</row>
    <row r="567" spans="1:38" x14ac:dyDescent="0.35">
      <c r="A567" s="2" t="s">
        <v>502</v>
      </c>
      <c r="B567" s="3"/>
      <c r="D567" s="6">
        <v>6050</v>
      </c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3">
        <f t="shared" si="42"/>
        <v>6050</v>
      </c>
      <c r="W567" s="6"/>
      <c r="X567" s="23">
        <f t="shared" si="43"/>
        <v>6050</v>
      </c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</row>
    <row r="568" spans="1:38" x14ac:dyDescent="0.35">
      <c r="A568" s="2" t="s">
        <v>503</v>
      </c>
      <c r="B568" s="3"/>
      <c r="D568" s="6">
        <v>5380</v>
      </c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23">
        <f t="shared" si="42"/>
        <v>5380</v>
      </c>
      <c r="W568" s="6"/>
      <c r="X568" s="23">
        <f t="shared" si="43"/>
        <v>5380</v>
      </c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</row>
    <row r="569" spans="1:38" x14ac:dyDescent="0.35">
      <c r="A569" s="2" t="s">
        <v>504</v>
      </c>
      <c r="B569" s="3"/>
      <c r="D569" s="6">
        <v>43175</v>
      </c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23">
        <f t="shared" si="42"/>
        <v>43175</v>
      </c>
      <c r="W569" s="6"/>
      <c r="X569" s="23">
        <f t="shared" si="43"/>
        <v>43175</v>
      </c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</row>
    <row r="570" spans="1:38" x14ac:dyDescent="0.35">
      <c r="A570" s="2" t="s">
        <v>505</v>
      </c>
      <c r="B570" s="3"/>
      <c r="D570" s="6">
        <v>7820</v>
      </c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">
        <f t="shared" si="42"/>
        <v>7820</v>
      </c>
      <c r="W570" s="6"/>
      <c r="X570" s="23">
        <f t="shared" si="43"/>
        <v>7820</v>
      </c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</row>
    <row r="571" spans="1:38" x14ac:dyDescent="0.35">
      <c r="A571" s="2" t="s">
        <v>506</v>
      </c>
      <c r="B571" s="3"/>
      <c r="D571" s="6">
        <v>36890</v>
      </c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3">
        <f t="shared" si="42"/>
        <v>36890</v>
      </c>
      <c r="W571" s="6"/>
      <c r="X571" s="23">
        <f t="shared" si="43"/>
        <v>36890</v>
      </c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</row>
    <row r="572" spans="1:38" x14ac:dyDescent="0.35">
      <c r="A572" s="2" t="s">
        <v>507</v>
      </c>
      <c r="B572" s="3"/>
      <c r="D572" s="6">
        <v>57400</v>
      </c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23">
        <f t="shared" si="42"/>
        <v>57400</v>
      </c>
      <c r="W572" s="6"/>
      <c r="X572" s="23">
        <f t="shared" si="43"/>
        <v>57400</v>
      </c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</row>
    <row r="573" spans="1:38" x14ac:dyDescent="0.35">
      <c r="A573" s="2" t="s">
        <v>509</v>
      </c>
      <c r="B573" s="3"/>
      <c r="C573" s="2"/>
      <c r="D573" s="6">
        <v>26000</v>
      </c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3">
        <f t="shared" si="42"/>
        <v>26000</v>
      </c>
      <c r="W573" s="6"/>
      <c r="X573" s="23">
        <f t="shared" si="43"/>
        <v>26000</v>
      </c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</row>
    <row r="574" spans="1:38" x14ac:dyDescent="0.35">
      <c r="A574" s="2" t="s">
        <v>510</v>
      </c>
      <c r="B574" s="3"/>
      <c r="C574" s="2"/>
      <c r="D574" s="6">
        <v>3995</v>
      </c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3">
        <f t="shared" si="42"/>
        <v>3995</v>
      </c>
      <c r="W574" s="6"/>
      <c r="X574" s="23">
        <f t="shared" si="43"/>
        <v>3995</v>
      </c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</row>
    <row r="575" spans="1:38" x14ac:dyDescent="0.35">
      <c r="A575" s="2" t="s">
        <v>511</v>
      </c>
      <c r="B575" s="3"/>
      <c r="D575" s="6">
        <v>4500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">
        <f t="shared" si="42"/>
        <v>4500</v>
      </c>
      <c r="W575" s="6"/>
      <c r="X575" s="23">
        <f t="shared" si="43"/>
        <v>4500</v>
      </c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</row>
    <row r="576" spans="1:38" x14ac:dyDescent="0.35">
      <c r="A576" s="2" t="s">
        <v>512</v>
      </c>
      <c r="B576" s="3"/>
      <c r="D576" s="6">
        <v>5000</v>
      </c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">
        <f t="shared" si="42"/>
        <v>5000</v>
      </c>
      <c r="W576" s="6"/>
      <c r="X576" s="23">
        <f t="shared" si="43"/>
        <v>5000</v>
      </c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</row>
    <row r="577" spans="1:38" x14ac:dyDescent="0.35">
      <c r="A577" s="2" t="s">
        <v>513</v>
      </c>
      <c r="B577" s="3"/>
      <c r="D577" s="6">
        <v>19180</v>
      </c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23">
        <f t="shared" si="42"/>
        <v>19180</v>
      </c>
      <c r="W577" s="6"/>
      <c r="X577" s="23">
        <f t="shared" si="43"/>
        <v>19180</v>
      </c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</row>
    <row r="578" spans="1:38" x14ac:dyDescent="0.35">
      <c r="A578" s="2" t="s">
        <v>514</v>
      </c>
      <c r="B578" s="3"/>
      <c r="D578" s="6">
        <v>10430</v>
      </c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3">
        <f t="shared" si="42"/>
        <v>10430</v>
      </c>
      <c r="W578" s="6"/>
      <c r="X578" s="23">
        <f t="shared" si="43"/>
        <v>10430</v>
      </c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</row>
    <row r="579" spans="1:38" x14ac:dyDescent="0.35">
      <c r="A579" s="2" t="s">
        <v>516</v>
      </c>
      <c r="B579" s="3"/>
      <c r="D579" s="6">
        <v>13330</v>
      </c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23">
        <f t="shared" si="42"/>
        <v>13330</v>
      </c>
      <c r="W579" s="6"/>
      <c r="X579" s="23">
        <f t="shared" si="43"/>
        <v>13330</v>
      </c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</row>
    <row r="580" spans="1:38" x14ac:dyDescent="0.35">
      <c r="A580" s="2" t="s">
        <v>517</v>
      </c>
      <c r="B580" s="3"/>
      <c r="D580" s="6">
        <v>18200</v>
      </c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23">
        <f t="shared" si="42"/>
        <v>18200</v>
      </c>
      <c r="W580" s="6"/>
      <c r="X580" s="23">
        <f t="shared" si="43"/>
        <v>18200</v>
      </c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</row>
    <row r="581" spans="1:38" x14ac:dyDescent="0.35">
      <c r="A581" s="2" t="s">
        <v>518</v>
      </c>
      <c r="B581" s="3"/>
      <c r="D581" s="6">
        <v>23620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23">
        <f t="shared" si="42"/>
        <v>23620</v>
      </c>
      <c r="W581" s="6"/>
      <c r="X581" s="23">
        <f t="shared" si="43"/>
        <v>23620</v>
      </c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</row>
    <row r="582" spans="1:38" x14ac:dyDescent="0.35">
      <c r="A582" s="2" t="s">
        <v>519</v>
      </c>
      <c r="B582" s="3"/>
      <c r="D582" s="6">
        <v>38105</v>
      </c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23">
        <f t="shared" si="42"/>
        <v>38105</v>
      </c>
      <c r="W582" s="6"/>
      <c r="X582" s="23">
        <f t="shared" si="43"/>
        <v>38105</v>
      </c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</row>
    <row r="583" spans="1:38" x14ac:dyDescent="0.35">
      <c r="A583" s="2" t="s">
        <v>520</v>
      </c>
      <c r="B583" s="3"/>
      <c r="D583" s="6">
        <v>16914</v>
      </c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23">
        <f t="shared" si="42"/>
        <v>16914</v>
      </c>
      <c r="W583" s="6"/>
      <c r="X583" s="23">
        <f t="shared" si="43"/>
        <v>16914</v>
      </c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</row>
    <row r="584" spans="1:38" x14ac:dyDescent="0.35">
      <c r="A584" s="2" t="s">
        <v>521</v>
      </c>
      <c r="B584" s="3"/>
      <c r="D584" s="6">
        <v>50205</v>
      </c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23">
        <f t="shared" si="42"/>
        <v>50205</v>
      </c>
      <c r="W584" s="6"/>
      <c r="X584" s="23">
        <f t="shared" si="43"/>
        <v>50205</v>
      </c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</row>
    <row r="585" spans="1:38" x14ac:dyDescent="0.35">
      <c r="A585" s="2" t="s">
        <v>522</v>
      </c>
      <c r="B585" s="3"/>
      <c r="D585" s="6">
        <v>12000</v>
      </c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23">
        <f t="shared" si="42"/>
        <v>12000</v>
      </c>
      <c r="W585" s="6"/>
      <c r="X585" s="23">
        <f t="shared" si="43"/>
        <v>12000</v>
      </c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</row>
    <row r="586" spans="1:38" x14ac:dyDescent="0.35">
      <c r="A586" s="2" t="s">
        <v>523</v>
      </c>
      <c r="B586" s="3"/>
      <c r="D586" s="6">
        <v>52070</v>
      </c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23">
        <f t="shared" si="42"/>
        <v>52070</v>
      </c>
      <c r="W586" s="6"/>
      <c r="X586" s="23">
        <f t="shared" si="43"/>
        <v>52070</v>
      </c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</row>
    <row r="587" spans="1:38" x14ac:dyDescent="0.35">
      <c r="A587" s="2" t="s">
        <v>524</v>
      </c>
      <c r="B587" s="3"/>
      <c r="D587" s="6">
        <v>97030</v>
      </c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23">
        <f t="shared" ref="V587:V650" si="44">SUM(D587:U587)</f>
        <v>97030</v>
      </c>
      <c r="W587" s="6"/>
      <c r="X587" s="23">
        <f t="shared" si="43"/>
        <v>97030</v>
      </c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</row>
    <row r="588" spans="1:38" x14ac:dyDescent="0.35">
      <c r="A588" s="2" t="s">
        <v>525</v>
      </c>
      <c r="B588" s="3"/>
      <c r="C588" s="2"/>
      <c r="D588" s="6">
        <v>10600</v>
      </c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23">
        <f t="shared" si="44"/>
        <v>10600</v>
      </c>
      <c r="W588" s="6"/>
      <c r="X588" s="23">
        <f t="shared" si="43"/>
        <v>10600</v>
      </c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</row>
    <row r="589" spans="1:38" x14ac:dyDescent="0.35">
      <c r="A589" s="2" t="s">
        <v>526</v>
      </c>
      <c r="B589" s="3"/>
      <c r="C589" s="2"/>
      <c r="D589" s="6">
        <v>0</v>
      </c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23">
        <f t="shared" si="44"/>
        <v>0</v>
      </c>
      <c r="W589" s="6"/>
      <c r="X589" s="23">
        <f t="shared" si="43"/>
        <v>0</v>
      </c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</row>
    <row r="590" spans="1:38" x14ac:dyDescent="0.35">
      <c r="A590" s="2" t="s">
        <v>527</v>
      </c>
      <c r="B590" s="3"/>
      <c r="D590" s="6">
        <v>21370</v>
      </c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23">
        <f t="shared" si="44"/>
        <v>21370</v>
      </c>
      <c r="W590" s="6"/>
      <c r="X590" s="23">
        <f t="shared" si="43"/>
        <v>21370</v>
      </c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</row>
    <row r="591" spans="1:38" x14ac:dyDescent="0.35">
      <c r="A591" s="2" t="s">
        <v>528</v>
      </c>
      <c r="B591" s="3"/>
      <c r="D591" s="6">
        <v>1200</v>
      </c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23">
        <f t="shared" si="44"/>
        <v>1200</v>
      </c>
      <c r="W591" s="6"/>
      <c r="X591" s="23">
        <f t="shared" si="43"/>
        <v>1200</v>
      </c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</row>
    <row r="592" spans="1:38" x14ac:dyDescent="0.35">
      <c r="A592" s="2" t="s">
        <v>529</v>
      </c>
      <c r="B592" s="3"/>
      <c r="D592" s="6">
        <v>8850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23">
        <f t="shared" si="44"/>
        <v>8850</v>
      </c>
      <c r="W592" s="6"/>
      <c r="X592" s="23">
        <f t="shared" si="43"/>
        <v>8850</v>
      </c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</row>
    <row r="593" spans="1:38" x14ac:dyDescent="0.35">
      <c r="A593" s="2" t="s">
        <v>531</v>
      </c>
      <c r="B593" s="3"/>
      <c r="D593" s="6">
        <v>149525</v>
      </c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23">
        <f t="shared" si="44"/>
        <v>149525</v>
      </c>
      <c r="W593" s="6"/>
      <c r="X593" s="23">
        <f t="shared" si="43"/>
        <v>149525</v>
      </c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</row>
    <row r="594" spans="1:38" x14ac:dyDescent="0.35">
      <c r="A594" s="2" t="s">
        <v>532</v>
      </c>
      <c r="B594" s="3"/>
      <c r="D594" s="6">
        <v>77945</v>
      </c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23">
        <f t="shared" si="44"/>
        <v>77945</v>
      </c>
      <c r="W594" s="6"/>
      <c r="X594" s="23">
        <f t="shared" si="43"/>
        <v>77945</v>
      </c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</row>
    <row r="595" spans="1:38" x14ac:dyDescent="0.35">
      <c r="A595" s="2" t="s">
        <v>533</v>
      </c>
      <c r="B595" s="3"/>
      <c r="D595" s="6">
        <v>38295</v>
      </c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23">
        <f t="shared" si="44"/>
        <v>38295</v>
      </c>
      <c r="W595" s="6"/>
      <c r="X595" s="23">
        <f t="shared" si="43"/>
        <v>38295</v>
      </c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</row>
    <row r="596" spans="1:38" x14ac:dyDescent="0.35">
      <c r="A596" s="2" t="s">
        <v>534</v>
      </c>
      <c r="B596" s="3"/>
      <c r="C596" s="6"/>
      <c r="D596" s="6">
        <v>13089</v>
      </c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23">
        <f t="shared" si="44"/>
        <v>13089</v>
      </c>
      <c r="W596" s="6"/>
      <c r="X596" s="23">
        <f t="shared" si="43"/>
        <v>13089</v>
      </c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31"/>
      <c r="AJ596" s="31"/>
      <c r="AK596" s="31"/>
      <c r="AL596" s="31"/>
    </row>
    <row r="597" spans="1:38" x14ac:dyDescent="0.35">
      <c r="A597" s="2" t="s">
        <v>536</v>
      </c>
      <c r="B597" s="3"/>
      <c r="D597" s="6">
        <v>11025</v>
      </c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23">
        <f t="shared" si="44"/>
        <v>11025</v>
      </c>
      <c r="W597" s="6"/>
      <c r="X597" s="23">
        <f t="shared" si="43"/>
        <v>11025</v>
      </c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</row>
    <row r="598" spans="1:38" x14ac:dyDescent="0.35">
      <c r="A598" s="2" t="s">
        <v>537</v>
      </c>
      <c r="B598" s="3"/>
      <c r="D598" s="6">
        <v>10020</v>
      </c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23">
        <f t="shared" si="44"/>
        <v>10020</v>
      </c>
      <c r="W598" s="6"/>
      <c r="X598" s="23">
        <f t="shared" si="43"/>
        <v>10020</v>
      </c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</row>
    <row r="599" spans="1:38" x14ac:dyDescent="0.35">
      <c r="A599" s="2" t="s">
        <v>538</v>
      </c>
      <c r="B599" s="3"/>
      <c r="D599" s="6">
        <v>4415</v>
      </c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23">
        <f t="shared" si="44"/>
        <v>4415</v>
      </c>
      <c r="W599" s="6"/>
      <c r="X599" s="23">
        <f t="shared" si="43"/>
        <v>4415</v>
      </c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</row>
    <row r="600" spans="1:38" x14ac:dyDescent="0.35">
      <c r="A600" s="2" t="s">
        <v>539</v>
      </c>
      <c r="B600" s="3"/>
      <c r="D600" s="6">
        <v>14930</v>
      </c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23">
        <f t="shared" si="44"/>
        <v>14930</v>
      </c>
      <c r="W600" s="6"/>
      <c r="X600" s="23">
        <f t="shared" si="43"/>
        <v>14930</v>
      </c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</row>
    <row r="601" spans="1:38" x14ac:dyDescent="0.35">
      <c r="A601" s="2" t="s">
        <v>540</v>
      </c>
      <c r="B601" s="3"/>
      <c r="D601" s="6">
        <v>65620</v>
      </c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23">
        <f t="shared" si="44"/>
        <v>65620</v>
      </c>
      <c r="W601" s="6"/>
      <c r="X601" s="23">
        <f t="shared" si="43"/>
        <v>65620</v>
      </c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 t="s">
        <v>793</v>
      </c>
      <c r="AL601" s="31"/>
    </row>
    <row r="602" spans="1:38" x14ac:dyDescent="0.35">
      <c r="A602" s="2" t="s">
        <v>541</v>
      </c>
      <c r="B602" s="3"/>
      <c r="D602" s="6">
        <v>22000</v>
      </c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23">
        <f t="shared" si="44"/>
        <v>22000</v>
      </c>
      <c r="W602" s="6"/>
      <c r="X602" s="23">
        <f t="shared" si="43"/>
        <v>22000</v>
      </c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</row>
    <row r="603" spans="1:38" x14ac:dyDescent="0.35">
      <c r="A603" s="2" t="s">
        <v>542</v>
      </c>
      <c r="B603" s="3"/>
      <c r="D603" s="6">
        <v>4800</v>
      </c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23">
        <f t="shared" si="44"/>
        <v>4800</v>
      </c>
      <c r="W603" s="6"/>
      <c r="X603" s="23">
        <f t="shared" si="43"/>
        <v>4800</v>
      </c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</row>
    <row r="604" spans="1:38" x14ac:dyDescent="0.35">
      <c r="A604" s="2" t="s">
        <v>543</v>
      </c>
      <c r="B604" s="3"/>
      <c r="D604" s="6">
        <v>41000</v>
      </c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23">
        <f t="shared" si="44"/>
        <v>41000</v>
      </c>
      <c r="W604" s="6"/>
      <c r="X604" s="23">
        <f t="shared" si="43"/>
        <v>41000</v>
      </c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</row>
    <row r="605" spans="1:38" x14ac:dyDescent="0.35">
      <c r="A605" s="2" t="s">
        <v>544</v>
      </c>
      <c r="B605" s="3"/>
      <c r="D605" s="6">
        <v>12520</v>
      </c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23">
        <f t="shared" si="44"/>
        <v>12520</v>
      </c>
      <c r="W605" s="6"/>
      <c r="X605" s="23">
        <f t="shared" si="43"/>
        <v>12520</v>
      </c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 t="s">
        <v>794</v>
      </c>
      <c r="AL605" s="31"/>
    </row>
    <row r="606" spans="1:38" x14ac:dyDescent="0.35">
      <c r="A606" s="2" t="s">
        <v>545</v>
      </c>
      <c r="B606" s="3"/>
      <c r="D606" s="6">
        <v>17960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23">
        <f t="shared" si="44"/>
        <v>17960</v>
      </c>
      <c r="W606" s="6"/>
      <c r="X606" s="23">
        <f t="shared" si="43"/>
        <v>17960</v>
      </c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</row>
    <row r="607" spans="1:38" x14ac:dyDescent="0.35">
      <c r="A607" s="2" t="s">
        <v>546</v>
      </c>
      <c r="B607" s="3"/>
      <c r="D607" s="6">
        <v>32000</v>
      </c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23">
        <f t="shared" si="44"/>
        <v>32000</v>
      </c>
      <c r="W607" s="6"/>
      <c r="X607" s="23">
        <f t="shared" si="43"/>
        <v>32000</v>
      </c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</row>
    <row r="608" spans="1:38" x14ac:dyDescent="0.35">
      <c r="A608" s="2" t="s">
        <v>548</v>
      </c>
      <c r="B608" s="3"/>
      <c r="D608" s="6">
        <v>27000</v>
      </c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23">
        <f t="shared" si="44"/>
        <v>27000</v>
      </c>
      <c r="W608" s="6"/>
      <c r="X608" s="23">
        <f t="shared" si="43"/>
        <v>27000</v>
      </c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</row>
    <row r="609" spans="1:38" x14ac:dyDescent="0.35">
      <c r="A609" s="2" t="s">
        <v>549</v>
      </c>
      <c r="B609" s="3"/>
      <c r="D609" s="6">
        <v>58170</v>
      </c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23">
        <f t="shared" si="44"/>
        <v>58170</v>
      </c>
      <c r="W609" s="6"/>
      <c r="X609" s="23">
        <f t="shared" ref="X609:X672" si="45">V609-W609</f>
        <v>58170</v>
      </c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</row>
    <row r="610" spans="1:38" x14ac:dyDescent="0.35">
      <c r="A610" s="2" t="s">
        <v>551</v>
      </c>
      <c r="B610" s="3"/>
      <c r="D610" s="6">
        <v>18250</v>
      </c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23">
        <f t="shared" si="44"/>
        <v>18250</v>
      </c>
      <c r="W610" s="6"/>
      <c r="X610" s="23">
        <f t="shared" si="45"/>
        <v>18250</v>
      </c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 t="s">
        <v>794</v>
      </c>
      <c r="AL610" s="31"/>
    </row>
    <row r="611" spans="1:38" x14ac:dyDescent="0.35">
      <c r="A611" s="2" t="s">
        <v>552</v>
      </c>
      <c r="B611" s="3"/>
      <c r="D611" s="6">
        <v>81480</v>
      </c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23">
        <f t="shared" si="44"/>
        <v>81480</v>
      </c>
      <c r="W611" s="6"/>
      <c r="X611" s="23">
        <f t="shared" si="45"/>
        <v>81480</v>
      </c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 t="s">
        <v>803</v>
      </c>
      <c r="AL611" s="31"/>
    </row>
    <row r="612" spans="1:38" x14ac:dyDescent="0.35">
      <c r="A612" s="2" t="s">
        <v>553</v>
      </c>
      <c r="B612" s="3"/>
      <c r="D612" s="6">
        <v>3600</v>
      </c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23">
        <f t="shared" si="44"/>
        <v>3600</v>
      </c>
      <c r="W612" s="6"/>
      <c r="X612" s="23">
        <f t="shared" si="45"/>
        <v>3600</v>
      </c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 t="s">
        <v>794</v>
      </c>
      <c r="AL612" s="31"/>
    </row>
    <row r="613" spans="1:38" x14ac:dyDescent="0.35">
      <c r="A613" s="2" t="s">
        <v>554</v>
      </c>
      <c r="B613" s="3"/>
      <c r="D613" s="6">
        <v>26835</v>
      </c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23">
        <f t="shared" si="44"/>
        <v>26835</v>
      </c>
      <c r="W613" s="6"/>
      <c r="X613" s="23">
        <f t="shared" si="45"/>
        <v>26835</v>
      </c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 t="s">
        <v>793</v>
      </c>
      <c r="AL613" s="31"/>
    </row>
    <row r="614" spans="1:38" x14ac:dyDescent="0.35">
      <c r="A614" s="2" t="s">
        <v>555</v>
      </c>
      <c r="B614" s="3"/>
      <c r="D614" s="6">
        <v>10540</v>
      </c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23">
        <f t="shared" si="44"/>
        <v>10540</v>
      </c>
      <c r="W614" s="6"/>
      <c r="X614" s="23">
        <f t="shared" si="45"/>
        <v>10540</v>
      </c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 t="s">
        <v>794</v>
      </c>
      <c r="AL614" s="31"/>
    </row>
    <row r="615" spans="1:38" x14ac:dyDescent="0.35">
      <c r="A615" s="2" t="s">
        <v>556</v>
      </c>
      <c r="B615" s="3"/>
      <c r="D615" s="6">
        <v>66400</v>
      </c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23">
        <f t="shared" si="44"/>
        <v>66400</v>
      </c>
      <c r="W615" s="6"/>
      <c r="X615" s="23">
        <f t="shared" si="45"/>
        <v>66400</v>
      </c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 t="s">
        <v>858</v>
      </c>
      <c r="AL615" s="31"/>
    </row>
    <row r="616" spans="1:38" x14ac:dyDescent="0.35">
      <c r="A616" s="2" t="s">
        <v>557</v>
      </c>
      <c r="B616" s="3"/>
      <c r="D616" s="6">
        <v>4900</v>
      </c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23">
        <f t="shared" si="44"/>
        <v>4900</v>
      </c>
      <c r="W616" s="6"/>
      <c r="X616" s="23">
        <f t="shared" si="45"/>
        <v>4900</v>
      </c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 t="s">
        <v>794</v>
      </c>
      <c r="AL616" s="31"/>
    </row>
    <row r="617" spans="1:38" x14ac:dyDescent="0.35">
      <c r="A617" s="2" t="s">
        <v>558</v>
      </c>
      <c r="B617" s="3"/>
      <c r="D617" s="6">
        <v>14000</v>
      </c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23">
        <f t="shared" si="44"/>
        <v>14000</v>
      </c>
      <c r="W617" s="6"/>
      <c r="X617" s="23">
        <f t="shared" si="45"/>
        <v>14000</v>
      </c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 t="s">
        <v>794</v>
      </c>
      <c r="AL617" s="31"/>
    </row>
    <row r="618" spans="1:38" x14ac:dyDescent="0.35">
      <c r="A618" s="2" t="s">
        <v>559</v>
      </c>
      <c r="B618" s="3"/>
      <c r="D618" s="6">
        <v>6550</v>
      </c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23">
        <f t="shared" si="44"/>
        <v>6550</v>
      </c>
      <c r="W618" s="6"/>
      <c r="X618" s="23">
        <f t="shared" si="45"/>
        <v>6550</v>
      </c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</row>
    <row r="619" spans="1:38" x14ac:dyDescent="0.35">
      <c r="A619" s="2" t="s">
        <v>560</v>
      </c>
      <c r="B619" s="3"/>
      <c r="D619" s="6">
        <v>20630</v>
      </c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23">
        <f t="shared" si="44"/>
        <v>20630</v>
      </c>
      <c r="W619" s="6"/>
      <c r="X619" s="23">
        <f t="shared" si="45"/>
        <v>20630</v>
      </c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 t="s">
        <v>794</v>
      </c>
      <c r="AL619" s="31"/>
    </row>
    <row r="620" spans="1:38" x14ac:dyDescent="0.35">
      <c r="A620" s="2" t="s">
        <v>561</v>
      </c>
      <c r="B620" s="3"/>
      <c r="D620" s="6">
        <v>12650</v>
      </c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23">
        <f t="shared" si="44"/>
        <v>12650</v>
      </c>
      <c r="W620" s="6"/>
      <c r="X620" s="23">
        <f t="shared" si="45"/>
        <v>12650</v>
      </c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 t="s">
        <v>793</v>
      </c>
      <c r="AL620" s="31"/>
    </row>
    <row r="621" spans="1:38" x14ac:dyDescent="0.35">
      <c r="A621" s="2" t="s">
        <v>562</v>
      </c>
      <c r="B621" s="3"/>
      <c r="D621" s="6">
        <v>8100</v>
      </c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23">
        <f t="shared" si="44"/>
        <v>8100</v>
      </c>
      <c r="W621" s="6"/>
      <c r="X621" s="23">
        <f t="shared" si="45"/>
        <v>8100</v>
      </c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</row>
    <row r="622" spans="1:38" x14ac:dyDescent="0.35">
      <c r="A622" s="2" t="s">
        <v>563</v>
      </c>
      <c r="B622" s="3"/>
      <c r="D622" s="6">
        <v>89006</v>
      </c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23">
        <f t="shared" si="44"/>
        <v>89006</v>
      </c>
      <c r="W622" s="6"/>
      <c r="X622" s="23">
        <f t="shared" si="45"/>
        <v>89006</v>
      </c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 t="s">
        <v>794</v>
      </c>
      <c r="AL622" s="31"/>
    </row>
    <row r="623" spans="1:38" x14ac:dyDescent="0.35">
      <c r="A623" s="2" t="s">
        <v>564</v>
      </c>
      <c r="B623" s="3"/>
      <c r="D623" s="6">
        <v>5600</v>
      </c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23">
        <f t="shared" si="44"/>
        <v>5600</v>
      </c>
      <c r="W623" s="6"/>
      <c r="X623" s="23">
        <f t="shared" si="45"/>
        <v>5600</v>
      </c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 t="s">
        <v>794</v>
      </c>
      <c r="AL623" s="31"/>
    </row>
    <row r="624" spans="1:38" x14ac:dyDescent="0.35">
      <c r="A624" s="2" t="s">
        <v>565</v>
      </c>
      <c r="B624" s="3"/>
      <c r="D624" s="6">
        <v>6700</v>
      </c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23">
        <f t="shared" si="44"/>
        <v>6700</v>
      </c>
      <c r="W624" s="6"/>
      <c r="X624" s="23">
        <f t="shared" si="45"/>
        <v>6700</v>
      </c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 t="s">
        <v>794</v>
      </c>
      <c r="AL624" s="31"/>
    </row>
    <row r="625" spans="1:38" x14ac:dyDescent="0.35">
      <c r="A625" s="2" t="s">
        <v>566</v>
      </c>
      <c r="B625" s="3"/>
      <c r="D625" s="6">
        <v>7500</v>
      </c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23">
        <f t="shared" si="44"/>
        <v>7500</v>
      </c>
      <c r="W625" s="6"/>
      <c r="X625" s="23">
        <f t="shared" si="45"/>
        <v>7500</v>
      </c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 t="s">
        <v>793</v>
      </c>
      <c r="AL625" s="31"/>
    </row>
    <row r="626" spans="1:38" x14ac:dyDescent="0.35">
      <c r="A626" s="2" t="s">
        <v>567</v>
      </c>
      <c r="B626" s="3"/>
      <c r="D626" s="6">
        <v>12850</v>
      </c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23">
        <f t="shared" si="44"/>
        <v>12850</v>
      </c>
      <c r="W626" s="6"/>
      <c r="X626" s="23">
        <f t="shared" si="45"/>
        <v>12850</v>
      </c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 t="s">
        <v>794</v>
      </c>
      <c r="AL626" s="31"/>
    </row>
    <row r="627" spans="1:38" x14ac:dyDescent="0.35">
      <c r="A627" s="2" t="s">
        <v>568</v>
      </c>
      <c r="B627" s="3"/>
      <c r="D627" s="6">
        <v>8850</v>
      </c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23">
        <f t="shared" si="44"/>
        <v>8850</v>
      </c>
      <c r="W627" s="6"/>
      <c r="X627" s="23">
        <f t="shared" si="45"/>
        <v>8850</v>
      </c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 t="s">
        <v>794</v>
      </c>
      <c r="AL627" s="31"/>
    </row>
    <row r="628" spans="1:38" x14ac:dyDescent="0.35">
      <c r="A628" s="2" t="s">
        <v>569</v>
      </c>
      <c r="B628" s="3"/>
      <c r="D628" s="6">
        <v>13525</v>
      </c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23">
        <f t="shared" si="44"/>
        <v>13525</v>
      </c>
      <c r="W628" s="6"/>
      <c r="X628" s="23">
        <f t="shared" si="45"/>
        <v>13525</v>
      </c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 t="s">
        <v>793</v>
      </c>
      <c r="AL628" s="31"/>
    </row>
    <row r="629" spans="1:38" x14ac:dyDescent="0.35">
      <c r="A629" s="2" t="s">
        <v>570</v>
      </c>
      <c r="B629" s="3"/>
      <c r="D629" s="6">
        <v>30675</v>
      </c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23">
        <f t="shared" si="44"/>
        <v>30675</v>
      </c>
      <c r="W629" s="6"/>
      <c r="X629" s="23">
        <f t="shared" si="45"/>
        <v>30675</v>
      </c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 t="s">
        <v>793</v>
      </c>
      <c r="AL629" s="31"/>
    </row>
    <row r="630" spans="1:38" x14ac:dyDescent="0.35">
      <c r="A630" s="2" t="s">
        <v>571</v>
      </c>
      <c r="B630" s="3"/>
      <c r="D630" s="6">
        <v>60890</v>
      </c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23">
        <f t="shared" si="44"/>
        <v>60890</v>
      </c>
      <c r="W630" s="6"/>
      <c r="X630" s="23">
        <f t="shared" si="45"/>
        <v>60890</v>
      </c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 t="s">
        <v>793</v>
      </c>
      <c r="AL630" s="31"/>
    </row>
    <row r="631" spans="1:38" x14ac:dyDescent="0.35">
      <c r="A631" s="2" t="s">
        <v>572</v>
      </c>
      <c r="B631" s="3"/>
      <c r="D631" s="6">
        <v>4500</v>
      </c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23">
        <f t="shared" si="44"/>
        <v>4500</v>
      </c>
      <c r="W631" s="6"/>
      <c r="X631" s="23">
        <f t="shared" si="45"/>
        <v>4500</v>
      </c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 t="s">
        <v>794</v>
      </c>
      <c r="AL631" s="31"/>
    </row>
    <row r="632" spans="1:38" x14ac:dyDescent="0.35">
      <c r="A632" s="2" t="s">
        <v>573</v>
      </c>
      <c r="B632" s="3"/>
      <c r="D632" s="6">
        <v>16640</v>
      </c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23">
        <f t="shared" si="44"/>
        <v>16640</v>
      </c>
      <c r="W632" s="6"/>
      <c r="X632" s="23">
        <f t="shared" si="45"/>
        <v>16640</v>
      </c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 t="s">
        <v>794</v>
      </c>
      <c r="AL632" s="31"/>
    </row>
    <row r="633" spans="1:38" x14ac:dyDescent="0.35">
      <c r="A633" s="2" t="s">
        <v>574</v>
      </c>
      <c r="B633" s="3"/>
      <c r="D633" s="6">
        <v>62000</v>
      </c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23">
        <f t="shared" si="44"/>
        <v>62000</v>
      </c>
      <c r="W633" s="6"/>
      <c r="X633" s="23">
        <f t="shared" si="45"/>
        <v>62000</v>
      </c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 t="s">
        <v>793</v>
      </c>
      <c r="AL633" s="31"/>
    </row>
    <row r="634" spans="1:38" x14ac:dyDescent="0.35">
      <c r="A634" s="2" t="s">
        <v>575</v>
      </c>
      <c r="B634" s="3"/>
      <c r="D634" s="6">
        <v>31000</v>
      </c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23">
        <f t="shared" si="44"/>
        <v>31000</v>
      </c>
      <c r="W634" s="6"/>
      <c r="X634" s="23">
        <f t="shared" si="45"/>
        <v>31000</v>
      </c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 t="s">
        <v>793</v>
      </c>
      <c r="AL634" s="31"/>
    </row>
    <row r="635" spans="1:38" x14ac:dyDescent="0.35">
      <c r="A635" s="2" t="s">
        <v>576</v>
      </c>
      <c r="B635" s="3"/>
      <c r="C635" s="2"/>
      <c r="D635" s="6">
        <v>4680</v>
      </c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23">
        <f t="shared" si="44"/>
        <v>4680</v>
      </c>
      <c r="W635" s="6"/>
      <c r="X635" s="23">
        <f t="shared" si="45"/>
        <v>4680</v>
      </c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 t="s">
        <v>794</v>
      </c>
      <c r="AL635" s="31"/>
    </row>
    <row r="636" spans="1:38" x14ac:dyDescent="0.35">
      <c r="A636" s="2" t="s">
        <v>577</v>
      </c>
      <c r="B636" s="3"/>
      <c r="D636" s="6">
        <v>0</v>
      </c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23">
        <f t="shared" si="44"/>
        <v>0</v>
      </c>
      <c r="W636" s="6"/>
      <c r="X636" s="23">
        <f t="shared" si="45"/>
        <v>0</v>
      </c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</row>
    <row r="637" spans="1:38" x14ac:dyDescent="0.35">
      <c r="A637" s="2" t="s">
        <v>578</v>
      </c>
      <c r="B637" s="3"/>
      <c r="D637" s="6">
        <v>1500</v>
      </c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>
        <v>19437</v>
      </c>
      <c r="T637" s="6"/>
      <c r="U637" s="6"/>
      <c r="V637" s="23">
        <f t="shared" si="44"/>
        <v>20937</v>
      </c>
      <c r="W637" s="6"/>
      <c r="X637" s="23">
        <f t="shared" si="45"/>
        <v>20937</v>
      </c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</row>
    <row r="638" spans="1:38" x14ac:dyDescent="0.35">
      <c r="A638" s="2" t="s">
        <v>579</v>
      </c>
      <c r="B638" s="3"/>
      <c r="D638" s="6">
        <v>0</v>
      </c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23">
        <f t="shared" si="44"/>
        <v>0</v>
      </c>
      <c r="W638" s="6"/>
      <c r="X638" s="23">
        <f t="shared" si="45"/>
        <v>0</v>
      </c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</row>
    <row r="639" spans="1:38" x14ac:dyDescent="0.35">
      <c r="A639" s="2" t="s">
        <v>580</v>
      </c>
      <c r="B639" s="3"/>
      <c r="D639" s="6">
        <v>840</v>
      </c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23">
        <f t="shared" si="44"/>
        <v>840</v>
      </c>
      <c r="W639" s="6"/>
      <c r="X639" s="23">
        <f t="shared" si="45"/>
        <v>840</v>
      </c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 t="s">
        <v>826</v>
      </c>
      <c r="AL639" s="31"/>
    </row>
    <row r="640" spans="1:38" x14ac:dyDescent="0.35">
      <c r="A640" s="2" t="s">
        <v>581</v>
      </c>
      <c r="B640" s="3"/>
      <c r="D640" s="6">
        <v>74080</v>
      </c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23">
        <f t="shared" si="44"/>
        <v>74080</v>
      </c>
      <c r="W640" s="6"/>
      <c r="X640" s="23">
        <f t="shared" si="45"/>
        <v>74080</v>
      </c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 t="s">
        <v>794</v>
      </c>
      <c r="AL640" s="31"/>
    </row>
    <row r="641" spans="1:38" x14ac:dyDescent="0.35">
      <c r="A641" s="2" t="s">
        <v>582</v>
      </c>
      <c r="B641" s="3"/>
      <c r="D641" s="6">
        <v>50525</v>
      </c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23">
        <f t="shared" si="44"/>
        <v>50525</v>
      </c>
      <c r="W641" s="6"/>
      <c r="X641" s="23">
        <f t="shared" si="45"/>
        <v>50525</v>
      </c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 t="s">
        <v>794</v>
      </c>
      <c r="AL641" s="31"/>
    </row>
    <row r="642" spans="1:38" x14ac:dyDescent="0.35">
      <c r="A642" s="2" t="s">
        <v>583</v>
      </c>
      <c r="B642" s="3"/>
      <c r="D642" s="6">
        <v>21000</v>
      </c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23">
        <f t="shared" si="44"/>
        <v>21000</v>
      </c>
      <c r="W642" s="6"/>
      <c r="X642" s="23">
        <f t="shared" si="45"/>
        <v>21000</v>
      </c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 t="s">
        <v>794</v>
      </c>
      <c r="AL642" s="31"/>
    </row>
    <row r="643" spans="1:38" x14ac:dyDescent="0.35">
      <c r="A643" s="2" t="s">
        <v>584</v>
      </c>
      <c r="B643" s="3"/>
      <c r="D643" s="6">
        <v>16820</v>
      </c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23">
        <f t="shared" si="44"/>
        <v>16820</v>
      </c>
      <c r="W643" s="6"/>
      <c r="X643" s="23">
        <f t="shared" si="45"/>
        <v>16820</v>
      </c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 t="s">
        <v>793</v>
      </c>
      <c r="AL643" s="31"/>
    </row>
    <row r="644" spans="1:38" x14ac:dyDescent="0.35">
      <c r="A644" s="2" t="s">
        <v>585</v>
      </c>
      <c r="B644" s="3"/>
      <c r="D644" s="6">
        <v>15000</v>
      </c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23">
        <f t="shared" si="44"/>
        <v>15000</v>
      </c>
      <c r="W644" s="6"/>
      <c r="X644" s="23">
        <f t="shared" si="45"/>
        <v>15000</v>
      </c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 t="s">
        <v>793</v>
      </c>
      <c r="AL644" s="31"/>
    </row>
    <row r="645" spans="1:38" x14ac:dyDescent="0.35">
      <c r="A645" s="2" t="s">
        <v>586</v>
      </c>
      <c r="B645" s="3"/>
      <c r="D645" s="6">
        <v>47660</v>
      </c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23">
        <f t="shared" si="44"/>
        <v>47660</v>
      </c>
      <c r="W645" s="6"/>
      <c r="X645" s="23">
        <f t="shared" si="45"/>
        <v>47660</v>
      </c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 t="s">
        <v>793</v>
      </c>
      <c r="AL645" s="31"/>
    </row>
    <row r="646" spans="1:38" x14ac:dyDescent="0.35">
      <c r="A646" s="2" t="s">
        <v>587</v>
      </c>
      <c r="B646" s="3"/>
      <c r="D646" s="6">
        <v>42140</v>
      </c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23">
        <f t="shared" si="44"/>
        <v>42140</v>
      </c>
      <c r="W646" s="6"/>
      <c r="X646" s="23">
        <f t="shared" si="45"/>
        <v>42140</v>
      </c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 t="s">
        <v>794</v>
      </c>
      <c r="AL646" s="31"/>
    </row>
    <row r="647" spans="1:38" x14ac:dyDescent="0.35">
      <c r="A647" s="2" t="s">
        <v>588</v>
      </c>
      <c r="B647" s="3"/>
      <c r="D647" s="6">
        <v>4900</v>
      </c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23">
        <f t="shared" si="44"/>
        <v>4900</v>
      </c>
      <c r="W647" s="6"/>
      <c r="X647" s="23">
        <f t="shared" si="45"/>
        <v>4900</v>
      </c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 t="s">
        <v>794</v>
      </c>
      <c r="AL647" s="31"/>
    </row>
    <row r="648" spans="1:38" x14ac:dyDescent="0.35">
      <c r="A648" s="2" t="s">
        <v>589</v>
      </c>
      <c r="B648" s="3"/>
      <c r="D648" s="6">
        <v>5775</v>
      </c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23">
        <f t="shared" si="44"/>
        <v>5775</v>
      </c>
      <c r="W648" s="6"/>
      <c r="X648" s="23">
        <f t="shared" si="45"/>
        <v>5775</v>
      </c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 t="s">
        <v>793</v>
      </c>
      <c r="AL648" s="31"/>
    </row>
    <row r="649" spans="1:38" x14ac:dyDescent="0.35">
      <c r="A649" s="2" t="s">
        <v>590</v>
      </c>
      <c r="B649" s="3"/>
      <c r="D649" s="6">
        <v>21300</v>
      </c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23">
        <f t="shared" si="44"/>
        <v>21300</v>
      </c>
      <c r="W649" s="6"/>
      <c r="X649" s="23">
        <f t="shared" si="45"/>
        <v>21300</v>
      </c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 t="s">
        <v>793</v>
      </c>
      <c r="AL649" s="31"/>
    </row>
    <row r="650" spans="1:38" x14ac:dyDescent="0.35">
      <c r="A650" s="2" t="s">
        <v>591</v>
      </c>
      <c r="B650" s="3"/>
      <c r="D650" s="6">
        <v>11970</v>
      </c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23">
        <f t="shared" si="44"/>
        <v>11970</v>
      </c>
      <c r="W650" s="6"/>
      <c r="X650" s="23">
        <f t="shared" si="45"/>
        <v>11970</v>
      </c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 t="s">
        <v>793</v>
      </c>
      <c r="AL650" s="31"/>
    </row>
    <row r="651" spans="1:38" x14ac:dyDescent="0.35">
      <c r="A651" s="2" t="s">
        <v>592</v>
      </c>
      <c r="B651" s="3"/>
      <c r="D651" s="8">
        <v>7416</v>
      </c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23">
        <f t="shared" ref="V651:V707" si="46">SUM(D651:U651)</f>
        <v>7416</v>
      </c>
      <c r="W651" s="6"/>
      <c r="X651" s="23">
        <f t="shared" si="45"/>
        <v>7416</v>
      </c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</row>
    <row r="652" spans="1:38" x14ac:dyDescent="0.35">
      <c r="A652" s="2" t="s">
        <v>593</v>
      </c>
      <c r="B652" s="3"/>
      <c r="D652" s="6">
        <v>7550</v>
      </c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23">
        <f t="shared" si="46"/>
        <v>7550</v>
      </c>
      <c r="W652" s="6"/>
      <c r="X652" s="23">
        <f t="shared" si="45"/>
        <v>7550</v>
      </c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</row>
    <row r="653" spans="1:38" x14ac:dyDescent="0.35">
      <c r="A653" s="2" t="s">
        <v>594</v>
      </c>
      <c r="B653" s="3"/>
      <c r="D653" s="6">
        <v>17000</v>
      </c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23">
        <f t="shared" si="46"/>
        <v>17000</v>
      </c>
      <c r="W653" s="6"/>
      <c r="X653" s="23">
        <f t="shared" si="45"/>
        <v>17000</v>
      </c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</row>
    <row r="654" spans="1:38" x14ac:dyDescent="0.35">
      <c r="A654" s="8" t="s">
        <v>595</v>
      </c>
      <c r="B654" s="3"/>
      <c r="D654" s="6">
        <v>-1369.25</v>
      </c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23">
        <f t="shared" si="46"/>
        <v>-1369.25</v>
      </c>
      <c r="W654" s="6"/>
      <c r="X654" s="23">
        <f t="shared" si="45"/>
        <v>-1369.25</v>
      </c>
      <c r="Y654" s="35"/>
      <c r="Z654" s="35"/>
      <c r="AA654" s="35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</row>
    <row r="655" spans="1:38" x14ac:dyDescent="0.35">
      <c r="A655" s="2" t="s">
        <v>596</v>
      </c>
      <c r="B655" s="3"/>
      <c r="D655" s="6">
        <v>4400</v>
      </c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23">
        <f t="shared" si="46"/>
        <v>4400</v>
      </c>
      <c r="W655" s="6"/>
      <c r="X655" s="23">
        <f t="shared" si="45"/>
        <v>4400</v>
      </c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</row>
    <row r="656" spans="1:38" x14ac:dyDescent="0.35">
      <c r="A656" s="2" t="s">
        <v>597</v>
      </c>
      <c r="B656" s="3"/>
      <c r="D656" s="6">
        <v>3350</v>
      </c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23">
        <f t="shared" si="46"/>
        <v>3350</v>
      </c>
      <c r="W656" s="6"/>
      <c r="X656" s="23">
        <f t="shared" si="45"/>
        <v>3350</v>
      </c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</row>
    <row r="657" spans="1:38" x14ac:dyDescent="0.35">
      <c r="A657" s="2" t="s">
        <v>598</v>
      </c>
      <c r="B657" s="3"/>
      <c r="D657" s="6">
        <v>93482.5</v>
      </c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23">
        <f t="shared" si="46"/>
        <v>93482.5</v>
      </c>
      <c r="W657" s="6"/>
      <c r="X657" s="23">
        <f t="shared" si="45"/>
        <v>93482.5</v>
      </c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</row>
    <row r="658" spans="1:38" x14ac:dyDescent="0.35">
      <c r="A658" s="2" t="s">
        <v>599</v>
      </c>
      <c r="B658" s="3"/>
      <c r="D658" s="6">
        <v>32345.5</v>
      </c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23">
        <f t="shared" si="46"/>
        <v>32345.5</v>
      </c>
      <c r="W658" s="6"/>
      <c r="X658" s="23">
        <f t="shared" si="45"/>
        <v>32345.5</v>
      </c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</row>
    <row r="659" spans="1:38" x14ac:dyDescent="0.35">
      <c r="A659" s="2" t="s">
        <v>600</v>
      </c>
      <c r="B659" s="3"/>
      <c r="D659" s="6">
        <v>7160</v>
      </c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23">
        <f t="shared" si="46"/>
        <v>7160</v>
      </c>
      <c r="W659" s="6"/>
      <c r="X659" s="23">
        <f t="shared" si="45"/>
        <v>7160</v>
      </c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</row>
    <row r="660" spans="1:38" x14ac:dyDescent="0.35">
      <c r="A660" s="2" t="s">
        <v>601</v>
      </c>
      <c r="B660" s="3"/>
      <c r="D660" s="6">
        <v>10578.5</v>
      </c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23">
        <f t="shared" si="46"/>
        <v>10578.5</v>
      </c>
      <c r="W660" s="6"/>
      <c r="X660" s="23">
        <f t="shared" si="45"/>
        <v>10578.5</v>
      </c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</row>
    <row r="661" spans="1:38" x14ac:dyDescent="0.35">
      <c r="A661" s="8" t="s">
        <v>602</v>
      </c>
      <c r="B661" s="3"/>
      <c r="D661" s="6">
        <v>17000</v>
      </c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23">
        <f t="shared" si="46"/>
        <v>17000</v>
      </c>
      <c r="W661" s="6"/>
      <c r="X661" s="23">
        <f t="shared" si="45"/>
        <v>17000</v>
      </c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</row>
    <row r="662" spans="1:38" x14ac:dyDescent="0.35">
      <c r="A662" s="8" t="s">
        <v>603</v>
      </c>
      <c r="B662" s="3"/>
      <c r="D662" s="6">
        <v>-5000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23">
        <f t="shared" si="46"/>
        <v>-5000</v>
      </c>
      <c r="W662" s="6"/>
      <c r="X662" s="23">
        <f t="shared" si="45"/>
        <v>-5000</v>
      </c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</row>
    <row r="663" spans="1:38" x14ac:dyDescent="0.35">
      <c r="A663" s="8" t="s">
        <v>604</v>
      </c>
      <c r="B663" s="3"/>
      <c r="D663" s="6">
        <v>38000</v>
      </c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23">
        <f t="shared" si="46"/>
        <v>38000</v>
      </c>
      <c r="W663" s="6"/>
      <c r="X663" s="23">
        <f t="shared" si="45"/>
        <v>38000</v>
      </c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</row>
    <row r="664" spans="1:38" x14ac:dyDescent="0.35">
      <c r="A664" s="8" t="s">
        <v>605</v>
      </c>
      <c r="B664" s="3"/>
      <c r="D664" s="6">
        <v>13600</v>
      </c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23">
        <f t="shared" si="46"/>
        <v>13600</v>
      </c>
      <c r="W664" s="6"/>
      <c r="X664" s="23">
        <f t="shared" si="45"/>
        <v>13600</v>
      </c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</row>
    <row r="665" spans="1:38" x14ac:dyDescent="0.35">
      <c r="A665" s="8" t="s">
        <v>606</v>
      </c>
      <c r="B665" s="3"/>
      <c r="D665" s="6">
        <v>-2000</v>
      </c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23">
        <f t="shared" si="46"/>
        <v>-2000</v>
      </c>
      <c r="W665" s="6"/>
      <c r="X665" s="23">
        <f t="shared" si="45"/>
        <v>-2000</v>
      </c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</row>
    <row r="666" spans="1:38" x14ac:dyDescent="0.35">
      <c r="A666" s="2" t="s">
        <v>607</v>
      </c>
      <c r="B666" s="3"/>
      <c r="D666" s="6">
        <v>9400</v>
      </c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23">
        <f t="shared" si="46"/>
        <v>9400</v>
      </c>
      <c r="W666" s="6"/>
      <c r="X666" s="23">
        <f t="shared" si="45"/>
        <v>9400</v>
      </c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</row>
    <row r="667" spans="1:38" x14ac:dyDescent="0.35">
      <c r="A667" s="2" t="s">
        <v>608</v>
      </c>
      <c r="B667" s="3"/>
      <c r="D667" s="6">
        <v>34615</v>
      </c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23">
        <f t="shared" si="46"/>
        <v>34615</v>
      </c>
      <c r="W667" s="6"/>
      <c r="X667" s="23">
        <f t="shared" si="45"/>
        <v>34615</v>
      </c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</row>
    <row r="668" spans="1:38" x14ac:dyDescent="0.35">
      <c r="A668" s="2" t="s">
        <v>609</v>
      </c>
      <c r="B668" s="3"/>
      <c r="D668" s="6">
        <v>20250</v>
      </c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23">
        <f t="shared" si="46"/>
        <v>20250</v>
      </c>
      <c r="W668" s="6"/>
      <c r="X668" s="23">
        <f t="shared" si="45"/>
        <v>20250</v>
      </c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</row>
    <row r="669" spans="1:38" x14ac:dyDescent="0.35">
      <c r="A669" s="2" t="s">
        <v>610</v>
      </c>
      <c r="B669" s="3"/>
      <c r="D669" s="6">
        <v>9450</v>
      </c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23">
        <f t="shared" si="46"/>
        <v>9450</v>
      </c>
      <c r="W669" s="6"/>
      <c r="X669" s="23">
        <f t="shared" si="45"/>
        <v>9450</v>
      </c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</row>
    <row r="670" spans="1:38" x14ac:dyDescent="0.35">
      <c r="A670" s="2" t="s">
        <v>611</v>
      </c>
      <c r="B670" s="3"/>
      <c r="D670" s="6">
        <v>52880</v>
      </c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23">
        <f t="shared" si="46"/>
        <v>52880</v>
      </c>
      <c r="W670" s="6"/>
      <c r="X670" s="23">
        <f t="shared" si="45"/>
        <v>52880</v>
      </c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</row>
    <row r="671" spans="1:38" x14ac:dyDescent="0.35">
      <c r="A671" s="2" t="s">
        <v>612</v>
      </c>
      <c r="B671" s="3"/>
      <c r="C671" s="2"/>
      <c r="D671" s="6">
        <v>9994.2300000000032</v>
      </c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23">
        <f t="shared" si="46"/>
        <v>9994.2300000000032</v>
      </c>
      <c r="W671" s="6"/>
      <c r="X671" s="23">
        <f t="shared" si="45"/>
        <v>9994.2300000000032</v>
      </c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</row>
    <row r="672" spans="1:38" x14ac:dyDescent="0.35">
      <c r="A672" s="2" t="s">
        <v>613</v>
      </c>
      <c r="B672" s="3"/>
      <c r="D672" s="6">
        <v>180</v>
      </c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23">
        <f t="shared" si="46"/>
        <v>180</v>
      </c>
      <c r="W672" s="6"/>
      <c r="X672" s="23">
        <f t="shared" si="45"/>
        <v>180</v>
      </c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</row>
    <row r="673" spans="1:38" x14ac:dyDescent="0.35">
      <c r="A673" s="2" t="s">
        <v>614</v>
      </c>
      <c r="B673" s="3"/>
      <c r="D673" s="6">
        <v>71523</v>
      </c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23">
        <f t="shared" si="46"/>
        <v>71523</v>
      </c>
      <c r="W673" s="6"/>
      <c r="X673" s="23">
        <f t="shared" ref="X673:X678" si="47">V673-W673</f>
        <v>71523</v>
      </c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</row>
    <row r="674" spans="1:38" x14ac:dyDescent="0.35">
      <c r="A674" s="2" t="s">
        <v>615</v>
      </c>
      <c r="B674" s="3"/>
      <c r="C674" s="2"/>
      <c r="D674" s="6">
        <v>10200</v>
      </c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23">
        <f t="shared" si="46"/>
        <v>10200</v>
      </c>
      <c r="W674" s="6"/>
      <c r="X674" s="23">
        <f t="shared" si="47"/>
        <v>10200</v>
      </c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</row>
    <row r="675" spans="1:38" x14ac:dyDescent="0.35">
      <c r="A675" s="2" t="s">
        <v>616</v>
      </c>
      <c r="B675" s="3"/>
      <c r="D675" s="6">
        <v>32000</v>
      </c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23">
        <f t="shared" si="46"/>
        <v>32000</v>
      </c>
      <c r="W675" s="6"/>
      <c r="X675" s="23">
        <f t="shared" si="47"/>
        <v>32000</v>
      </c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</row>
    <row r="676" spans="1:38" x14ac:dyDescent="0.35">
      <c r="A676" s="2" t="s">
        <v>617</v>
      </c>
      <c r="B676" s="3"/>
      <c r="D676" s="6">
        <v>46190</v>
      </c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23">
        <f t="shared" si="46"/>
        <v>46190</v>
      </c>
      <c r="W676" s="6"/>
      <c r="X676" s="23">
        <f t="shared" si="47"/>
        <v>46190</v>
      </c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</row>
    <row r="677" spans="1:38" x14ac:dyDescent="0.35">
      <c r="A677" s="2" t="s">
        <v>618</v>
      </c>
      <c r="B677" s="3"/>
      <c r="D677" s="6">
        <v>4920</v>
      </c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23">
        <f t="shared" si="46"/>
        <v>4920</v>
      </c>
      <c r="W677" s="6"/>
      <c r="X677" s="23">
        <f t="shared" si="47"/>
        <v>4920</v>
      </c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</row>
    <row r="678" spans="1:38" x14ac:dyDescent="0.35">
      <c r="A678" s="2" t="s">
        <v>619</v>
      </c>
      <c r="B678" s="3"/>
      <c r="D678" s="6">
        <v>7125</v>
      </c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23">
        <f t="shared" si="46"/>
        <v>7125</v>
      </c>
      <c r="W678" s="6"/>
      <c r="X678" s="23">
        <f t="shared" si="47"/>
        <v>7125</v>
      </c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</row>
    <row r="679" spans="1:38" x14ac:dyDescent="0.35">
      <c r="A679" s="7" t="s">
        <v>620</v>
      </c>
      <c r="B679" s="3"/>
      <c r="C679" s="2"/>
      <c r="D679" s="7">
        <v>-2000</v>
      </c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23">
        <f t="shared" si="46"/>
        <v>-2000</v>
      </c>
      <c r="W679" s="7"/>
      <c r="X679" s="23">
        <f t="shared" ref="X679:X697" si="48">V679-W679</f>
        <v>-2000</v>
      </c>
    </row>
    <row r="680" spans="1:38" x14ac:dyDescent="0.35">
      <c r="A680" s="7" t="s">
        <v>621</v>
      </c>
      <c r="B680" s="3"/>
      <c r="C680" s="2"/>
      <c r="D680" s="7">
        <v>-28400</v>
      </c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23">
        <f t="shared" si="46"/>
        <v>-28400</v>
      </c>
      <c r="W680" s="7"/>
      <c r="X680" s="23">
        <f t="shared" si="48"/>
        <v>-28400</v>
      </c>
    </row>
    <row r="681" spans="1:38" x14ac:dyDescent="0.35">
      <c r="A681" s="7" t="s">
        <v>621</v>
      </c>
      <c r="B681" s="3"/>
      <c r="C681" s="2"/>
      <c r="D681" s="7">
        <v>-25000</v>
      </c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23">
        <f t="shared" si="46"/>
        <v>-25000</v>
      </c>
      <c r="W681" s="7"/>
      <c r="X681" s="23">
        <f t="shared" si="48"/>
        <v>-25000</v>
      </c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 spans="1:38" x14ac:dyDescent="0.35">
      <c r="A682" s="7" t="s">
        <v>622</v>
      </c>
      <c r="B682" s="3"/>
      <c r="C682" s="2"/>
      <c r="D682" s="7">
        <v>11100</v>
      </c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23">
        <f t="shared" si="46"/>
        <v>11100</v>
      </c>
      <c r="W682" s="7"/>
      <c r="X682" s="23">
        <f t="shared" si="48"/>
        <v>11100</v>
      </c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 spans="1:38" x14ac:dyDescent="0.35">
      <c r="A683" s="7" t="s">
        <v>623</v>
      </c>
      <c r="B683" s="3"/>
      <c r="C683" s="2"/>
      <c r="D683" s="7">
        <v>6100</v>
      </c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23">
        <f t="shared" si="46"/>
        <v>6100</v>
      </c>
      <c r="W683" s="7"/>
      <c r="X683" s="23">
        <f t="shared" si="48"/>
        <v>6100</v>
      </c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 spans="1:38" x14ac:dyDescent="0.35">
      <c r="A684" s="7" t="s">
        <v>624</v>
      </c>
      <c r="B684" s="3"/>
      <c r="C684" s="2"/>
      <c r="D684" s="7">
        <v>6100</v>
      </c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23">
        <f t="shared" si="46"/>
        <v>6100</v>
      </c>
      <c r="W684" s="7"/>
      <c r="X684" s="23">
        <f t="shared" si="48"/>
        <v>6100</v>
      </c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 spans="1:38" x14ac:dyDescent="0.35">
      <c r="A685" s="7" t="s">
        <v>625</v>
      </c>
      <c r="B685" s="3"/>
      <c r="C685" s="2"/>
      <c r="D685" s="7">
        <v>13100</v>
      </c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23">
        <f t="shared" si="46"/>
        <v>13100</v>
      </c>
      <c r="W685" s="7"/>
      <c r="X685" s="23">
        <f t="shared" si="48"/>
        <v>13100</v>
      </c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 spans="1:38" x14ac:dyDescent="0.35">
      <c r="A686" s="7" t="s">
        <v>626</v>
      </c>
      <c r="B686" s="3"/>
      <c r="C686" s="2"/>
      <c r="D686" s="7">
        <v>-20000</v>
      </c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23">
        <f t="shared" si="46"/>
        <v>-20000</v>
      </c>
      <c r="W686" s="7"/>
      <c r="X686" s="23">
        <f t="shared" si="48"/>
        <v>-20000</v>
      </c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 spans="1:38" x14ac:dyDescent="0.35">
      <c r="A687" s="7" t="s">
        <v>627</v>
      </c>
      <c r="B687" s="3"/>
      <c r="C687" s="2"/>
      <c r="D687" s="7">
        <v>-58000</v>
      </c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23">
        <f t="shared" si="46"/>
        <v>-58000</v>
      </c>
      <c r="W687" s="7"/>
      <c r="X687" s="23">
        <f t="shared" si="48"/>
        <v>-58000</v>
      </c>
    </row>
    <row r="688" spans="1:38" x14ac:dyDescent="0.35">
      <c r="A688" s="7" t="s">
        <v>628</v>
      </c>
      <c r="B688" s="3"/>
      <c r="C688" s="2"/>
      <c r="D688" s="7">
        <v>-12871</v>
      </c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23">
        <f t="shared" si="46"/>
        <v>-12871</v>
      </c>
      <c r="W688" s="7"/>
      <c r="X688" s="23">
        <f t="shared" si="48"/>
        <v>-12871</v>
      </c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 spans="1:34" x14ac:dyDescent="0.35">
      <c r="A689" s="7" t="s">
        <v>629</v>
      </c>
      <c r="B689" s="3"/>
      <c r="C689" s="2"/>
      <c r="D689" s="7">
        <v>-192510</v>
      </c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23">
        <f t="shared" si="46"/>
        <v>-192510</v>
      </c>
      <c r="W689" s="7"/>
      <c r="X689" s="23">
        <f t="shared" si="48"/>
        <v>-192510</v>
      </c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 spans="1:34" x14ac:dyDescent="0.35">
      <c r="A690" s="7" t="s">
        <v>630</v>
      </c>
      <c r="B690" s="3"/>
      <c r="C690" s="2"/>
      <c r="D690" s="7">
        <v>-5500</v>
      </c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23">
        <f t="shared" si="46"/>
        <v>-5500</v>
      </c>
      <c r="W690" s="7"/>
      <c r="X690" s="23">
        <f t="shared" si="48"/>
        <v>-5500</v>
      </c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 spans="1:34" x14ac:dyDescent="0.35">
      <c r="A691" s="7" t="s">
        <v>631</v>
      </c>
      <c r="B691" s="3"/>
      <c r="C691" s="2"/>
      <c r="D691" s="7">
        <v>6750</v>
      </c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23">
        <f t="shared" si="46"/>
        <v>6750</v>
      </c>
      <c r="W691" s="7"/>
      <c r="X691" s="23">
        <f t="shared" si="48"/>
        <v>6750</v>
      </c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 spans="1:34" x14ac:dyDescent="0.35">
      <c r="A692" s="7" t="s">
        <v>632</v>
      </c>
      <c r="B692" s="3"/>
      <c r="C692" s="2"/>
      <c r="D692" s="7">
        <v>77278</v>
      </c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23">
        <f t="shared" si="46"/>
        <v>77278</v>
      </c>
      <c r="W692" s="7"/>
      <c r="X692" s="23">
        <f t="shared" si="48"/>
        <v>77278</v>
      </c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 spans="1:34" x14ac:dyDescent="0.35">
      <c r="A693" s="7" t="s">
        <v>633</v>
      </c>
      <c r="B693" s="3"/>
      <c r="C693" s="2"/>
      <c r="D693" s="7">
        <v>17485</v>
      </c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23">
        <f t="shared" si="46"/>
        <v>17485</v>
      </c>
      <c r="W693" s="7"/>
      <c r="X693" s="23">
        <f t="shared" si="48"/>
        <v>17485</v>
      </c>
    </row>
    <row r="694" spans="1:34" x14ac:dyDescent="0.35">
      <c r="A694" s="7" t="s">
        <v>634</v>
      </c>
      <c r="B694" s="3"/>
      <c r="C694" s="2"/>
      <c r="D694" s="7">
        <v>3845</v>
      </c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23">
        <f t="shared" si="46"/>
        <v>3845</v>
      </c>
      <c r="W694" s="7"/>
      <c r="X694" s="23">
        <f t="shared" si="48"/>
        <v>3845</v>
      </c>
    </row>
    <row r="695" spans="1:34" x14ac:dyDescent="0.35">
      <c r="A695" s="7" t="s">
        <v>635</v>
      </c>
      <c r="B695" s="3"/>
      <c r="C695" s="2"/>
      <c r="D695" s="7">
        <v>33364</v>
      </c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23">
        <f t="shared" si="46"/>
        <v>33364</v>
      </c>
      <c r="W695" s="7"/>
      <c r="X695" s="23">
        <f t="shared" si="48"/>
        <v>33364</v>
      </c>
    </row>
    <row r="696" spans="1:34" x14ac:dyDescent="0.35">
      <c r="A696" s="7" t="s">
        <v>636</v>
      </c>
      <c r="B696" s="3"/>
      <c r="C696" s="2"/>
      <c r="D696" s="7">
        <v>8250</v>
      </c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23">
        <f t="shared" si="46"/>
        <v>8250</v>
      </c>
      <c r="W696" s="7"/>
      <c r="X696" s="23">
        <f t="shared" si="48"/>
        <v>8250</v>
      </c>
    </row>
    <row r="697" spans="1:34" x14ac:dyDescent="0.35">
      <c r="A697" s="7" t="s">
        <v>637</v>
      </c>
      <c r="B697" s="3"/>
      <c r="C697" s="2"/>
      <c r="D697" s="7">
        <v>9925</v>
      </c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23">
        <f t="shared" si="46"/>
        <v>9925</v>
      </c>
      <c r="W697" s="7"/>
      <c r="X697" s="23">
        <f t="shared" si="48"/>
        <v>9925</v>
      </c>
    </row>
    <row r="698" spans="1:34" x14ac:dyDescent="0.35">
      <c r="A698" s="7" t="s">
        <v>638</v>
      </c>
      <c r="B698" s="3"/>
      <c r="C698" s="2"/>
      <c r="D698" s="7">
        <v>2400</v>
      </c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23">
        <f t="shared" si="46"/>
        <v>2400</v>
      </c>
      <c r="W698" s="7"/>
      <c r="X698" s="23">
        <f t="shared" ref="X698:X715" si="49">V698-W698</f>
        <v>2400</v>
      </c>
    </row>
    <row r="699" spans="1:34" x14ac:dyDescent="0.35">
      <c r="A699" s="7" t="s">
        <v>639</v>
      </c>
      <c r="B699" s="3"/>
      <c r="C699" s="2"/>
      <c r="D699" s="7">
        <v>8000</v>
      </c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23">
        <f t="shared" si="46"/>
        <v>8000</v>
      </c>
      <c r="W699" s="7"/>
      <c r="X699" s="23">
        <f t="shared" si="49"/>
        <v>8000</v>
      </c>
    </row>
    <row r="700" spans="1:34" x14ac:dyDescent="0.35">
      <c r="A700" s="7" t="s">
        <v>640</v>
      </c>
      <c r="B700" s="3"/>
      <c r="C700" s="2"/>
      <c r="D700" s="7">
        <v>9500</v>
      </c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23">
        <f t="shared" si="46"/>
        <v>9500</v>
      </c>
      <c r="W700" s="7"/>
      <c r="X700" s="23">
        <f t="shared" si="49"/>
        <v>9500</v>
      </c>
    </row>
    <row r="701" spans="1:34" x14ac:dyDescent="0.35">
      <c r="A701" s="7" t="s">
        <v>641</v>
      </c>
      <c r="B701" s="3"/>
      <c r="C701" s="2"/>
      <c r="D701" s="7">
        <v>25000</v>
      </c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23">
        <f t="shared" si="46"/>
        <v>25000</v>
      </c>
      <c r="W701" s="7"/>
      <c r="X701" s="23">
        <f t="shared" si="49"/>
        <v>25000</v>
      </c>
    </row>
    <row r="702" spans="1:34" x14ac:dyDescent="0.35">
      <c r="A702" s="7" t="s">
        <v>642</v>
      </c>
      <c r="B702" s="3"/>
      <c r="C702" s="2"/>
      <c r="D702" s="7">
        <v>6425</v>
      </c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23">
        <f t="shared" si="46"/>
        <v>6425</v>
      </c>
      <c r="W702" s="7"/>
      <c r="X702" s="23">
        <f t="shared" si="49"/>
        <v>6425</v>
      </c>
    </row>
    <row r="703" spans="1:34" x14ac:dyDescent="0.35">
      <c r="A703" s="7" t="s">
        <v>643</v>
      </c>
      <c r="B703" s="3"/>
      <c r="C703" s="2"/>
      <c r="D703" s="7">
        <v>11200</v>
      </c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23">
        <f t="shared" si="46"/>
        <v>11200</v>
      </c>
      <c r="W703" s="7"/>
      <c r="X703" s="23">
        <f t="shared" si="49"/>
        <v>11200</v>
      </c>
    </row>
    <row r="704" spans="1:34" x14ac:dyDescent="0.35">
      <c r="A704" s="7" t="s">
        <v>644</v>
      </c>
      <c r="B704" s="3"/>
      <c r="C704" s="2"/>
      <c r="D704" s="7">
        <v>7447</v>
      </c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23">
        <f t="shared" si="46"/>
        <v>7447</v>
      </c>
      <c r="W704" s="7"/>
      <c r="X704" s="23">
        <f t="shared" si="49"/>
        <v>7447</v>
      </c>
    </row>
    <row r="705" spans="1:34" x14ac:dyDescent="0.35">
      <c r="A705" s="7" t="s">
        <v>645</v>
      </c>
      <c r="B705" s="3"/>
      <c r="C705" s="2"/>
      <c r="D705" s="7">
        <v>9370</v>
      </c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23">
        <f t="shared" si="46"/>
        <v>9370</v>
      </c>
      <c r="W705" s="7"/>
      <c r="X705" s="23">
        <f t="shared" si="49"/>
        <v>9370</v>
      </c>
    </row>
    <row r="706" spans="1:34" x14ac:dyDescent="0.35">
      <c r="A706" s="7" t="s">
        <v>646</v>
      </c>
      <c r="B706" s="3"/>
      <c r="C706" s="2"/>
      <c r="D706" s="7">
        <v>4900</v>
      </c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23">
        <f t="shared" si="46"/>
        <v>4900</v>
      </c>
      <c r="W706" s="7"/>
      <c r="X706" s="23">
        <f t="shared" si="49"/>
        <v>4900</v>
      </c>
    </row>
    <row r="707" spans="1:34" x14ac:dyDescent="0.35">
      <c r="A707" s="7" t="s">
        <v>299</v>
      </c>
      <c r="B707" s="3"/>
      <c r="C707" s="2">
        <v>2648</v>
      </c>
      <c r="D707" s="7">
        <v>29152</v>
      </c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23">
        <f t="shared" si="46"/>
        <v>29152</v>
      </c>
      <c r="W707" s="7"/>
      <c r="X707" s="23">
        <f t="shared" si="49"/>
        <v>29152</v>
      </c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</row>
    <row r="708" spans="1:34" x14ac:dyDescent="0.35">
      <c r="A708" s="15" t="s">
        <v>647</v>
      </c>
      <c r="B708" s="3"/>
      <c r="C708" s="15"/>
      <c r="D708" s="15">
        <v>0</v>
      </c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23">
        <f t="shared" ref="V708:V753" si="50">SUM(D708:K708)</f>
        <v>0</v>
      </c>
      <c r="W708" s="15"/>
      <c r="X708" s="23">
        <f t="shared" si="49"/>
        <v>0</v>
      </c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</row>
    <row r="709" spans="1:34" x14ac:dyDescent="0.35">
      <c r="A709" s="15" t="s">
        <v>649</v>
      </c>
      <c r="B709" s="3"/>
      <c r="C709" s="15"/>
      <c r="D709" s="15">
        <v>735</v>
      </c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23">
        <f t="shared" si="50"/>
        <v>735</v>
      </c>
      <c r="W709" s="15"/>
      <c r="X709" s="23">
        <f t="shared" si="49"/>
        <v>735</v>
      </c>
    </row>
    <row r="710" spans="1:34" x14ac:dyDescent="0.35">
      <c r="A710" s="15" t="s">
        <v>650</v>
      </c>
      <c r="B710" s="3"/>
      <c r="C710" s="15"/>
      <c r="D710" s="15">
        <v>0</v>
      </c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23">
        <f t="shared" si="50"/>
        <v>0</v>
      </c>
      <c r="W710" s="15"/>
      <c r="X710" s="23">
        <f t="shared" si="49"/>
        <v>0</v>
      </c>
    </row>
    <row r="711" spans="1:34" x14ac:dyDescent="0.35">
      <c r="A711" s="15" t="s">
        <v>651</v>
      </c>
      <c r="B711" s="3"/>
      <c r="C711" s="15"/>
      <c r="D711" s="15">
        <v>700</v>
      </c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23">
        <f t="shared" si="50"/>
        <v>700</v>
      </c>
      <c r="W711" s="15"/>
      <c r="X711" s="23">
        <f t="shared" si="49"/>
        <v>700</v>
      </c>
    </row>
    <row r="712" spans="1:34" x14ac:dyDescent="0.35">
      <c r="A712" s="15" t="s">
        <v>652</v>
      </c>
      <c r="B712" s="3"/>
      <c r="C712" s="15"/>
      <c r="D712" s="15">
        <v>50</v>
      </c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23">
        <f t="shared" si="50"/>
        <v>50</v>
      </c>
      <c r="W712" s="15"/>
      <c r="X712" s="23">
        <f t="shared" si="49"/>
        <v>50</v>
      </c>
    </row>
    <row r="713" spans="1:34" x14ac:dyDescent="0.35">
      <c r="A713" s="15" t="s">
        <v>653</v>
      </c>
      <c r="B713" s="3"/>
      <c r="C713" s="15"/>
      <c r="D713" s="15">
        <v>100</v>
      </c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23">
        <f t="shared" si="50"/>
        <v>100</v>
      </c>
      <c r="W713" s="15"/>
      <c r="X713" s="23">
        <f t="shared" si="49"/>
        <v>100</v>
      </c>
    </row>
    <row r="714" spans="1:34" x14ac:dyDescent="0.35">
      <c r="A714" s="15" t="s">
        <v>654</v>
      </c>
      <c r="B714" s="3"/>
      <c r="C714" s="15"/>
      <c r="D714" s="15">
        <v>94</v>
      </c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23">
        <f t="shared" si="50"/>
        <v>94</v>
      </c>
      <c r="W714" s="15"/>
      <c r="X714" s="23">
        <f t="shared" si="49"/>
        <v>94</v>
      </c>
    </row>
    <row r="715" spans="1:34" x14ac:dyDescent="0.35">
      <c r="A715" s="15" t="s">
        <v>655</v>
      </c>
      <c r="B715" s="3"/>
      <c r="C715" s="15"/>
      <c r="D715" s="15">
        <v>313</v>
      </c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23">
        <f t="shared" si="50"/>
        <v>313</v>
      </c>
      <c r="W715" s="15"/>
      <c r="X715" s="23">
        <f t="shared" si="49"/>
        <v>313</v>
      </c>
    </row>
    <row r="716" spans="1:34" x14ac:dyDescent="0.35">
      <c r="A716" s="15" t="s">
        <v>657</v>
      </c>
      <c r="B716" s="3"/>
      <c r="C716" s="15"/>
      <c r="D716" s="15">
        <v>60</v>
      </c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23">
        <f t="shared" si="50"/>
        <v>60</v>
      </c>
      <c r="W716" s="15"/>
      <c r="X716" s="23">
        <f t="shared" ref="X716:X772" si="51">V716-W716</f>
        <v>60</v>
      </c>
    </row>
    <row r="717" spans="1:34" x14ac:dyDescent="0.35">
      <c r="A717" s="15" t="s">
        <v>658</v>
      </c>
      <c r="B717" s="3"/>
      <c r="C717" s="15"/>
      <c r="D717" s="15">
        <v>85</v>
      </c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23">
        <f t="shared" si="50"/>
        <v>85</v>
      </c>
      <c r="W717" s="15"/>
      <c r="X717" s="23">
        <f t="shared" si="51"/>
        <v>85</v>
      </c>
    </row>
    <row r="718" spans="1:34" x14ac:dyDescent="0.35">
      <c r="A718" s="15" t="s">
        <v>659</v>
      </c>
      <c r="B718" s="3"/>
      <c r="C718" s="15"/>
      <c r="D718" s="15">
        <v>0</v>
      </c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23">
        <f t="shared" si="50"/>
        <v>0</v>
      </c>
      <c r="W718" s="15"/>
      <c r="X718" s="23">
        <f t="shared" si="51"/>
        <v>0</v>
      </c>
    </row>
    <row r="719" spans="1:34" x14ac:dyDescent="0.35">
      <c r="A719" s="15" t="s">
        <v>660</v>
      </c>
      <c r="B719" s="3"/>
      <c r="C719" s="15"/>
      <c r="D719" s="15">
        <v>0</v>
      </c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23">
        <f t="shared" si="50"/>
        <v>0</v>
      </c>
      <c r="W719" s="15"/>
      <c r="X719" s="23">
        <f t="shared" si="51"/>
        <v>0</v>
      </c>
    </row>
    <row r="720" spans="1:34" x14ac:dyDescent="0.35">
      <c r="A720" s="15" t="s">
        <v>661</v>
      </c>
      <c r="B720" s="3"/>
      <c r="C720" s="15"/>
      <c r="D720" s="15">
        <v>0</v>
      </c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23">
        <f t="shared" si="50"/>
        <v>0</v>
      </c>
      <c r="W720" s="15"/>
      <c r="X720" s="23">
        <f t="shared" si="51"/>
        <v>0</v>
      </c>
    </row>
    <row r="721" spans="1:24" x14ac:dyDescent="0.35">
      <c r="A721" s="15" t="s">
        <v>662</v>
      </c>
      <c r="B721" s="3"/>
      <c r="C721" s="15"/>
      <c r="D721" s="15">
        <v>0</v>
      </c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23">
        <f t="shared" si="50"/>
        <v>0</v>
      </c>
      <c r="W721" s="15"/>
      <c r="X721" s="23">
        <f t="shared" si="51"/>
        <v>0</v>
      </c>
    </row>
    <row r="722" spans="1:24" x14ac:dyDescent="0.35">
      <c r="A722" s="15" t="s">
        <v>663</v>
      </c>
      <c r="B722" s="3"/>
      <c r="C722" s="15"/>
      <c r="D722" s="15">
        <v>1509</v>
      </c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23">
        <f t="shared" si="50"/>
        <v>1509</v>
      </c>
      <c r="W722" s="15"/>
      <c r="X722" s="23">
        <f t="shared" si="51"/>
        <v>1509</v>
      </c>
    </row>
    <row r="723" spans="1:24" x14ac:dyDescent="0.35">
      <c r="A723" s="15" t="s">
        <v>330</v>
      </c>
      <c r="B723" s="3"/>
      <c r="C723" s="15"/>
      <c r="D723" s="15">
        <v>580</v>
      </c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23">
        <f t="shared" si="50"/>
        <v>580</v>
      </c>
      <c r="W723" s="15"/>
      <c r="X723" s="23">
        <f t="shared" si="51"/>
        <v>580</v>
      </c>
    </row>
    <row r="724" spans="1:24" x14ac:dyDescent="0.35">
      <c r="A724" s="15" t="s">
        <v>55</v>
      </c>
      <c r="B724" s="3"/>
      <c r="C724" s="15"/>
      <c r="D724" s="15">
        <v>840</v>
      </c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23">
        <f t="shared" si="50"/>
        <v>840</v>
      </c>
      <c r="W724" s="15"/>
      <c r="X724" s="23">
        <f t="shared" si="51"/>
        <v>840</v>
      </c>
    </row>
    <row r="725" spans="1:24" x14ac:dyDescent="0.35">
      <c r="A725" s="15" t="s">
        <v>664</v>
      </c>
      <c r="B725" s="3"/>
      <c r="C725" s="15">
        <v>-2385</v>
      </c>
      <c r="D725" s="15">
        <v>70</v>
      </c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23">
        <f t="shared" si="50"/>
        <v>70</v>
      </c>
      <c r="W725" s="15"/>
      <c r="X725" s="23">
        <f t="shared" si="51"/>
        <v>70</v>
      </c>
    </row>
    <row r="726" spans="1:24" x14ac:dyDescent="0.35">
      <c r="A726" s="15" t="s">
        <v>204</v>
      </c>
      <c r="B726" s="3"/>
      <c r="C726" s="15"/>
      <c r="D726" s="15">
        <v>0</v>
      </c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23">
        <f t="shared" si="50"/>
        <v>0</v>
      </c>
      <c r="W726" s="15"/>
      <c r="X726" s="23">
        <f t="shared" si="51"/>
        <v>0</v>
      </c>
    </row>
    <row r="727" spans="1:24" x14ac:dyDescent="0.35">
      <c r="A727" s="15" t="s">
        <v>665</v>
      </c>
      <c r="B727" s="3"/>
      <c r="C727" s="15"/>
      <c r="D727" s="15">
        <v>365</v>
      </c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23">
        <f t="shared" si="50"/>
        <v>365</v>
      </c>
      <c r="W727" s="15"/>
      <c r="X727" s="23">
        <f t="shared" si="51"/>
        <v>365</v>
      </c>
    </row>
    <row r="728" spans="1:24" x14ac:dyDescent="0.35">
      <c r="A728" s="15" t="s">
        <v>666</v>
      </c>
      <c r="B728" s="3"/>
      <c r="C728" s="15"/>
      <c r="D728" s="15">
        <v>2674</v>
      </c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23">
        <f t="shared" si="50"/>
        <v>2674</v>
      </c>
      <c r="W728" s="15"/>
      <c r="X728" s="23">
        <f t="shared" si="51"/>
        <v>2674</v>
      </c>
    </row>
    <row r="729" spans="1:24" x14ac:dyDescent="0.35">
      <c r="A729" s="15" t="s">
        <v>667</v>
      </c>
      <c r="B729" s="3"/>
      <c r="C729" s="15"/>
      <c r="D729" s="15">
        <v>740</v>
      </c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23">
        <f t="shared" si="50"/>
        <v>740</v>
      </c>
      <c r="W729" s="15"/>
      <c r="X729" s="23">
        <f t="shared" si="51"/>
        <v>740</v>
      </c>
    </row>
    <row r="730" spans="1:24" x14ac:dyDescent="0.35">
      <c r="A730" s="15" t="s">
        <v>668</v>
      </c>
      <c r="B730" s="3"/>
      <c r="C730" s="15"/>
      <c r="D730" s="15">
        <v>0</v>
      </c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23">
        <f t="shared" si="50"/>
        <v>0</v>
      </c>
      <c r="W730" s="15"/>
      <c r="X730" s="23">
        <f t="shared" si="51"/>
        <v>0</v>
      </c>
    </row>
    <row r="731" spans="1:24" x14ac:dyDescent="0.35">
      <c r="A731" s="15" t="s">
        <v>669</v>
      </c>
      <c r="B731" s="3"/>
      <c r="C731" s="15"/>
      <c r="D731" s="15">
        <v>1320</v>
      </c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23">
        <f t="shared" si="50"/>
        <v>1320</v>
      </c>
      <c r="W731" s="15"/>
      <c r="X731" s="23">
        <f t="shared" si="51"/>
        <v>1320</v>
      </c>
    </row>
    <row r="732" spans="1:24" x14ac:dyDescent="0.35">
      <c r="A732" s="15" t="s">
        <v>670</v>
      </c>
      <c r="B732" s="3"/>
      <c r="C732" s="15"/>
      <c r="D732" s="15">
        <v>700</v>
      </c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23">
        <f t="shared" si="50"/>
        <v>700</v>
      </c>
      <c r="W732" s="15"/>
      <c r="X732" s="23">
        <f t="shared" si="51"/>
        <v>700</v>
      </c>
    </row>
    <row r="733" spans="1:24" x14ac:dyDescent="0.35">
      <c r="A733" s="15" t="s">
        <v>671</v>
      </c>
      <c r="B733" s="3"/>
      <c r="C733" s="15"/>
      <c r="D733" s="15">
        <v>650</v>
      </c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23">
        <f t="shared" si="50"/>
        <v>650</v>
      </c>
      <c r="W733" s="15"/>
      <c r="X733" s="23">
        <f t="shared" si="51"/>
        <v>650</v>
      </c>
    </row>
    <row r="734" spans="1:24" x14ac:dyDescent="0.35">
      <c r="A734" s="15" t="s">
        <v>340</v>
      </c>
      <c r="B734" s="3"/>
      <c r="C734" s="15"/>
      <c r="D734" s="15">
        <v>860</v>
      </c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23">
        <f t="shared" si="50"/>
        <v>860</v>
      </c>
      <c r="W734" s="15"/>
      <c r="X734" s="23">
        <f t="shared" si="51"/>
        <v>860</v>
      </c>
    </row>
    <row r="735" spans="1:24" x14ac:dyDescent="0.35">
      <c r="A735" s="15" t="s">
        <v>672</v>
      </c>
      <c r="B735" s="3"/>
      <c r="C735" s="15"/>
      <c r="D735" s="15">
        <v>960</v>
      </c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23">
        <f t="shared" si="50"/>
        <v>960</v>
      </c>
      <c r="W735" s="15"/>
      <c r="X735" s="23">
        <f t="shared" si="51"/>
        <v>960</v>
      </c>
    </row>
    <row r="736" spans="1:24" x14ac:dyDescent="0.35">
      <c r="A736" s="15" t="s">
        <v>236</v>
      </c>
      <c r="B736" s="3"/>
      <c r="C736" s="15"/>
      <c r="D736" s="15">
        <v>605</v>
      </c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23">
        <f t="shared" si="50"/>
        <v>605</v>
      </c>
      <c r="W736" s="15"/>
      <c r="X736" s="23">
        <f t="shared" si="51"/>
        <v>605</v>
      </c>
    </row>
    <row r="737" spans="1:24" x14ac:dyDescent="0.35">
      <c r="A737" s="15" t="s">
        <v>673</v>
      </c>
      <c r="B737" s="3"/>
      <c r="C737" s="15"/>
      <c r="D737" s="15">
        <v>100</v>
      </c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23">
        <f t="shared" si="50"/>
        <v>100</v>
      </c>
      <c r="W737" s="15"/>
      <c r="X737" s="23">
        <f t="shared" si="51"/>
        <v>100</v>
      </c>
    </row>
    <row r="738" spans="1:24" x14ac:dyDescent="0.35">
      <c r="A738" s="15" t="s">
        <v>514</v>
      </c>
      <c r="B738" s="3"/>
      <c r="C738" s="15"/>
      <c r="D738" s="15">
        <v>20</v>
      </c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23">
        <f t="shared" si="50"/>
        <v>20</v>
      </c>
      <c r="W738" s="15"/>
      <c r="X738" s="23">
        <f t="shared" si="51"/>
        <v>20</v>
      </c>
    </row>
    <row r="739" spans="1:24" x14ac:dyDescent="0.35">
      <c r="A739" s="15" t="s">
        <v>674</v>
      </c>
      <c r="B739" s="3"/>
      <c r="C739" s="15"/>
      <c r="D739" s="15">
        <v>1624</v>
      </c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23">
        <f t="shared" si="50"/>
        <v>1624</v>
      </c>
      <c r="W739" s="15"/>
      <c r="X739" s="23">
        <f t="shared" si="51"/>
        <v>1624</v>
      </c>
    </row>
    <row r="740" spans="1:24" x14ac:dyDescent="0.35">
      <c r="A740" s="15" t="s">
        <v>321</v>
      </c>
      <c r="B740" s="3"/>
      <c r="C740" s="15"/>
      <c r="D740" s="15">
        <v>4</v>
      </c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23">
        <f t="shared" si="50"/>
        <v>4</v>
      </c>
      <c r="W740" s="15"/>
      <c r="X740" s="23">
        <f t="shared" si="51"/>
        <v>4</v>
      </c>
    </row>
    <row r="741" spans="1:24" x14ac:dyDescent="0.35">
      <c r="A741" s="15" t="s">
        <v>322</v>
      </c>
      <c r="B741" s="3"/>
      <c r="C741" s="15"/>
      <c r="D741" s="15">
        <v>0</v>
      </c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23">
        <f t="shared" si="50"/>
        <v>0</v>
      </c>
      <c r="W741" s="15"/>
      <c r="X741" s="23">
        <f t="shared" si="51"/>
        <v>0</v>
      </c>
    </row>
    <row r="742" spans="1:24" x14ac:dyDescent="0.35">
      <c r="A742" s="15" t="s">
        <v>675</v>
      </c>
      <c r="B742" s="3"/>
      <c r="C742" s="15"/>
      <c r="D742" s="15">
        <v>290</v>
      </c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23">
        <f t="shared" si="50"/>
        <v>290</v>
      </c>
      <c r="W742" s="15"/>
      <c r="X742" s="23">
        <f t="shared" si="51"/>
        <v>290</v>
      </c>
    </row>
    <row r="743" spans="1:24" x14ac:dyDescent="0.35">
      <c r="A743" s="15" t="s">
        <v>676</v>
      </c>
      <c r="B743" s="3"/>
      <c r="C743" s="15"/>
      <c r="D743" s="15">
        <v>30</v>
      </c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23">
        <f t="shared" si="50"/>
        <v>30</v>
      </c>
      <c r="W743" s="15"/>
      <c r="X743" s="23">
        <f t="shared" si="51"/>
        <v>30</v>
      </c>
    </row>
    <row r="744" spans="1:24" x14ac:dyDescent="0.35">
      <c r="A744" s="15" t="s">
        <v>677</v>
      </c>
      <c r="B744" s="3"/>
      <c r="C744" s="15"/>
      <c r="D744" s="15">
        <v>220</v>
      </c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23">
        <f t="shared" si="50"/>
        <v>220</v>
      </c>
      <c r="W744" s="15"/>
      <c r="X744" s="23">
        <f t="shared" si="51"/>
        <v>220</v>
      </c>
    </row>
    <row r="745" spans="1:24" x14ac:dyDescent="0.35">
      <c r="A745" s="15" t="s">
        <v>678</v>
      </c>
      <c r="B745" s="3"/>
      <c r="C745" s="15"/>
      <c r="D745" s="15">
        <v>12</v>
      </c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23">
        <f t="shared" si="50"/>
        <v>12</v>
      </c>
      <c r="W745" s="15"/>
      <c r="X745" s="23">
        <f t="shared" si="51"/>
        <v>12</v>
      </c>
    </row>
    <row r="746" spans="1:24" x14ac:dyDescent="0.35">
      <c r="A746" s="15" t="s">
        <v>679</v>
      </c>
      <c r="B746" s="3"/>
      <c r="C746" s="15"/>
      <c r="D746" s="15">
        <v>330</v>
      </c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23">
        <f t="shared" si="50"/>
        <v>330</v>
      </c>
      <c r="W746" s="15"/>
      <c r="X746" s="23">
        <f t="shared" si="51"/>
        <v>330</v>
      </c>
    </row>
    <row r="747" spans="1:24" x14ac:dyDescent="0.35">
      <c r="A747" s="15" t="s">
        <v>680</v>
      </c>
      <c r="B747" s="3"/>
      <c r="C747" s="15"/>
      <c r="D747" s="15">
        <v>1100</v>
      </c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23">
        <f t="shared" si="50"/>
        <v>1100</v>
      </c>
      <c r="W747" s="15"/>
      <c r="X747" s="23">
        <f t="shared" si="51"/>
        <v>1100</v>
      </c>
    </row>
    <row r="748" spans="1:24" x14ac:dyDescent="0.35">
      <c r="A748" s="15" t="s">
        <v>681</v>
      </c>
      <c r="B748" s="3"/>
      <c r="C748" s="15"/>
      <c r="D748" s="15">
        <v>0</v>
      </c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23">
        <f t="shared" si="50"/>
        <v>0</v>
      </c>
      <c r="W748" s="15"/>
      <c r="X748" s="23">
        <f t="shared" si="51"/>
        <v>0</v>
      </c>
    </row>
    <row r="749" spans="1:24" x14ac:dyDescent="0.35">
      <c r="A749" s="15" t="s">
        <v>682</v>
      </c>
      <c r="B749" s="3"/>
      <c r="C749" s="15"/>
      <c r="D749" s="15">
        <v>166000</v>
      </c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23">
        <f t="shared" si="50"/>
        <v>166000</v>
      </c>
      <c r="W749" s="15"/>
      <c r="X749" s="23">
        <f t="shared" si="51"/>
        <v>166000</v>
      </c>
    </row>
    <row r="750" spans="1:24" x14ac:dyDescent="0.35">
      <c r="A750" s="15" t="s">
        <v>683</v>
      </c>
      <c r="B750" s="3"/>
      <c r="C750" s="15"/>
      <c r="D750" s="15">
        <v>500</v>
      </c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23">
        <f t="shared" si="50"/>
        <v>500</v>
      </c>
      <c r="W750" s="15"/>
      <c r="X750" s="23">
        <f t="shared" si="51"/>
        <v>500</v>
      </c>
    </row>
    <row r="751" spans="1:24" x14ac:dyDescent="0.35">
      <c r="A751" s="15" t="s">
        <v>684</v>
      </c>
      <c r="B751" s="3"/>
      <c r="C751" s="15"/>
      <c r="D751" s="15">
        <v>8990</v>
      </c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23">
        <f t="shared" si="50"/>
        <v>8990</v>
      </c>
      <c r="W751" s="15"/>
      <c r="X751" s="23">
        <f t="shared" si="51"/>
        <v>8990</v>
      </c>
    </row>
    <row r="752" spans="1:24" x14ac:dyDescent="0.35">
      <c r="A752" s="15" t="s">
        <v>685</v>
      </c>
      <c r="B752" s="3"/>
      <c r="C752" s="15"/>
      <c r="D752" s="15">
        <v>302</v>
      </c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23">
        <f t="shared" si="50"/>
        <v>302</v>
      </c>
      <c r="W752" s="15"/>
      <c r="X752" s="23">
        <f t="shared" si="51"/>
        <v>302</v>
      </c>
    </row>
    <row r="753" spans="1:24" x14ac:dyDescent="0.35">
      <c r="A753" s="15" t="s">
        <v>686</v>
      </c>
      <c r="B753" s="3"/>
      <c r="C753" s="15"/>
      <c r="D753" s="15">
        <v>550</v>
      </c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23">
        <f t="shared" si="50"/>
        <v>550</v>
      </c>
      <c r="W753" s="15"/>
      <c r="X753" s="23">
        <f t="shared" si="51"/>
        <v>550</v>
      </c>
    </row>
    <row r="754" spans="1:24" x14ac:dyDescent="0.35">
      <c r="A754" s="15" t="s">
        <v>687</v>
      </c>
      <c r="B754" s="3"/>
      <c r="C754" s="15"/>
      <c r="D754" s="15">
        <v>5000</v>
      </c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23">
        <f t="shared" ref="V754:V817" si="52">SUM(D754:K754)</f>
        <v>5000</v>
      </c>
      <c r="W754" s="15"/>
      <c r="X754" s="23">
        <f t="shared" si="51"/>
        <v>5000</v>
      </c>
    </row>
    <row r="755" spans="1:24" x14ac:dyDescent="0.35">
      <c r="A755" s="15" t="s">
        <v>688</v>
      </c>
      <c r="B755" s="3"/>
      <c r="C755" s="15"/>
      <c r="D755" s="15">
        <v>3380</v>
      </c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23">
        <f t="shared" si="52"/>
        <v>3380</v>
      </c>
      <c r="W755" s="15"/>
      <c r="X755" s="23">
        <f t="shared" si="51"/>
        <v>3380</v>
      </c>
    </row>
    <row r="756" spans="1:24" x14ac:dyDescent="0.35">
      <c r="A756" s="15" t="s">
        <v>689</v>
      </c>
      <c r="B756" s="3"/>
      <c r="C756" s="15"/>
      <c r="D756" s="15">
        <v>645</v>
      </c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23">
        <f t="shared" si="52"/>
        <v>645</v>
      </c>
      <c r="W756" s="15"/>
      <c r="X756" s="23">
        <f t="shared" si="51"/>
        <v>645</v>
      </c>
    </row>
    <row r="757" spans="1:24" x14ac:dyDescent="0.35">
      <c r="A757" s="15" t="s">
        <v>690</v>
      </c>
      <c r="B757" s="3"/>
      <c r="C757" s="15"/>
      <c r="D757" s="15">
        <v>-21500</v>
      </c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23">
        <f t="shared" si="52"/>
        <v>-21500</v>
      </c>
      <c r="W757" s="15"/>
      <c r="X757" s="23">
        <f t="shared" si="51"/>
        <v>-21500</v>
      </c>
    </row>
    <row r="758" spans="1:24" x14ac:dyDescent="0.35">
      <c r="A758" s="15" t="s">
        <v>691</v>
      </c>
      <c r="B758" s="3"/>
      <c r="C758" s="15"/>
      <c r="D758" s="15">
        <v>100</v>
      </c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23">
        <f t="shared" si="52"/>
        <v>100</v>
      </c>
      <c r="W758" s="15"/>
      <c r="X758" s="23">
        <f t="shared" si="51"/>
        <v>100</v>
      </c>
    </row>
    <row r="759" spans="1:24" x14ac:dyDescent="0.35">
      <c r="A759" s="15" t="s">
        <v>692</v>
      </c>
      <c r="B759" s="3"/>
      <c r="C759" s="15"/>
      <c r="D759" s="15">
        <v>600</v>
      </c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23">
        <f t="shared" si="52"/>
        <v>600</v>
      </c>
      <c r="W759" s="15"/>
      <c r="X759" s="23">
        <f t="shared" si="51"/>
        <v>600</v>
      </c>
    </row>
    <row r="760" spans="1:24" x14ac:dyDescent="0.35">
      <c r="A760" s="15" t="s">
        <v>693</v>
      </c>
      <c r="B760" s="3"/>
      <c r="C760" s="15"/>
      <c r="D760" s="15">
        <v>40</v>
      </c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23">
        <f t="shared" si="52"/>
        <v>40</v>
      </c>
      <c r="W760" s="15"/>
      <c r="X760" s="23">
        <f t="shared" si="51"/>
        <v>40</v>
      </c>
    </row>
    <row r="761" spans="1:24" x14ac:dyDescent="0.35">
      <c r="A761" s="15" t="s">
        <v>330</v>
      </c>
      <c r="B761" s="3"/>
      <c r="C761" s="15"/>
      <c r="D761" s="15">
        <v>559</v>
      </c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23">
        <f t="shared" si="52"/>
        <v>559</v>
      </c>
      <c r="W761" s="15"/>
      <c r="X761" s="23">
        <f t="shared" si="51"/>
        <v>559</v>
      </c>
    </row>
    <row r="762" spans="1:24" x14ac:dyDescent="0.35">
      <c r="A762" s="15" t="s">
        <v>330</v>
      </c>
      <c r="B762" s="3"/>
      <c r="C762" s="15"/>
      <c r="D762" s="15">
        <v>450</v>
      </c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23">
        <f t="shared" si="52"/>
        <v>450</v>
      </c>
      <c r="W762" s="15"/>
      <c r="X762" s="23">
        <f t="shared" si="51"/>
        <v>450</v>
      </c>
    </row>
    <row r="763" spans="1:24" x14ac:dyDescent="0.35">
      <c r="A763" s="15" t="s">
        <v>694</v>
      </c>
      <c r="B763" s="3"/>
      <c r="C763" s="15"/>
      <c r="D763" s="15">
        <v>445</v>
      </c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23">
        <f t="shared" si="52"/>
        <v>445</v>
      </c>
      <c r="W763" s="15"/>
      <c r="X763" s="23">
        <f t="shared" si="51"/>
        <v>445</v>
      </c>
    </row>
    <row r="764" spans="1:24" x14ac:dyDescent="0.35">
      <c r="A764" s="15" t="s">
        <v>695</v>
      </c>
      <c r="B764" s="3"/>
      <c r="C764" s="15"/>
      <c r="D764" s="15">
        <v>700</v>
      </c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23">
        <f t="shared" si="52"/>
        <v>700</v>
      </c>
      <c r="W764" s="15"/>
      <c r="X764" s="23">
        <f t="shared" si="51"/>
        <v>700</v>
      </c>
    </row>
    <row r="765" spans="1:24" x14ac:dyDescent="0.35">
      <c r="A765" s="15" t="s">
        <v>621</v>
      </c>
      <c r="B765" s="3"/>
      <c r="C765" s="15"/>
      <c r="D765" s="15">
        <v>25</v>
      </c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23">
        <f t="shared" si="52"/>
        <v>25</v>
      </c>
      <c r="W765" s="15"/>
      <c r="X765" s="23">
        <f t="shared" si="51"/>
        <v>25</v>
      </c>
    </row>
    <row r="766" spans="1:24" x14ac:dyDescent="0.35">
      <c r="A766" s="15" t="s">
        <v>696</v>
      </c>
      <c r="B766" s="3"/>
      <c r="C766" s="15"/>
      <c r="D766" s="15">
        <v>160</v>
      </c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23">
        <f t="shared" si="52"/>
        <v>160</v>
      </c>
      <c r="W766" s="15"/>
      <c r="X766" s="23">
        <f t="shared" si="51"/>
        <v>160</v>
      </c>
    </row>
    <row r="767" spans="1:24" x14ac:dyDescent="0.35">
      <c r="A767" s="15" t="s">
        <v>697</v>
      </c>
      <c r="B767" s="3"/>
      <c r="C767" s="15"/>
      <c r="D767" s="15">
        <v>2000</v>
      </c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23">
        <f t="shared" si="52"/>
        <v>2000</v>
      </c>
      <c r="W767" s="15"/>
      <c r="X767" s="23">
        <f t="shared" si="51"/>
        <v>2000</v>
      </c>
    </row>
    <row r="768" spans="1:24" x14ac:dyDescent="0.35">
      <c r="A768" s="15" t="s">
        <v>698</v>
      </c>
      <c r="B768" s="3"/>
      <c r="C768" s="15"/>
      <c r="D768" s="15">
        <v>2000</v>
      </c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23">
        <f t="shared" si="52"/>
        <v>2000</v>
      </c>
      <c r="W768" s="15"/>
      <c r="X768" s="23">
        <f t="shared" si="51"/>
        <v>2000</v>
      </c>
    </row>
    <row r="769" spans="1:24" x14ac:dyDescent="0.35">
      <c r="A769" s="15" t="s">
        <v>699</v>
      </c>
      <c r="B769" s="3"/>
      <c r="C769" s="15"/>
      <c r="D769" s="15">
        <v>1500</v>
      </c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23">
        <f t="shared" si="52"/>
        <v>1500</v>
      </c>
      <c r="W769" s="15"/>
      <c r="X769" s="23">
        <f t="shared" si="51"/>
        <v>1500</v>
      </c>
    </row>
    <row r="770" spans="1:24" x14ac:dyDescent="0.35">
      <c r="A770" s="15" t="s">
        <v>309</v>
      </c>
      <c r="B770" s="3"/>
      <c r="C770" s="15"/>
      <c r="D770" s="15">
        <v>418</v>
      </c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23">
        <f t="shared" si="52"/>
        <v>418</v>
      </c>
      <c r="W770" s="15"/>
      <c r="X770" s="23">
        <f t="shared" si="51"/>
        <v>418</v>
      </c>
    </row>
    <row r="771" spans="1:24" x14ac:dyDescent="0.35">
      <c r="A771" s="15" t="s">
        <v>310</v>
      </c>
      <c r="B771" s="3"/>
      <c r="C771" s="15"/>
      <c r="D771" s="15">
        <v>100</v>
      </c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23">
        <f t="shared" si="52"/>
        <v>100</v>
      </c>
      <c r="W771" s="15"/>
      <c r="X771" s="23">
        <f t="shared" si="51"/>
        <v>100</v>
      </c>
    </row>
    <row r="772" spans="1:24" x14ac:dyDescent="0.35">
      <c r="A772" s="15" t="s">
        <v>700</v>
      </c>
      <c r="B772" s="3"/>
      <c r="C772" s="15"/>
      <c r="D772" s="15">
        <v>390</v>
      </c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23">
        <f t="shared" si="52"/>
        <v>390</v>
      </c>
      <c r="W772" s="15"/>
      <c r="X772" s="23">
        <f t="shared" si="51"/>
        <v>390</v>
      </c>
    </row>
    <row r="773" spans="1:24" x14ac:dyDescent="0.35">
      <c r="A773" s="15" t="s">
        <v>479</v>
      </c>
      <c r="B773" s="3"/>
      <c r="C773" s="15"/>
      <c r="D773" s="15">
        <v>680</v>
      </c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23">
        <f t="shared" si="52"/>
        <v>680</v>
      </c>
      <c r="W773" s="15"/>
      <c r="X773" s="23">
        <f t="shared" ref="X773:X836" si="53">V773-W773</f>
        <v>680</v>
      </c>
    </row>
    <row r="774" spans="1:24" x14ac:dyDescent="0.35">
      <c r="A774" s="15" t="s">
        <v>479</v>
      </c>
      <c r="B774" s="3"/>
      <c r="C774" s="15"/>
      <c r="D774" s="15">
        <v>900</v>
      </c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23">
        <f t="shared" si="52"/>
        <v>900</v>
      </c>
      <c r="W774" s="15"/>
      <c r="X774" s="23">
        <f t="shared" si="53"/>
        <v>900</v>
      </c>
    </row>
    <row r="775" spans="1:24" x14ac:dyDescent="0.35">
      <c r="A775" s="15" t="s">
        <v>479</v>
      </c>
      <c r="B775" s="3"/>
      <c r="C775" s="15"/>
      <c r="D775" s="15">
        <v>860</v>
      </c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23">
        <f t="shared" si="52"/>
        <v>860</v>
      </c>
      <c r="W775" s="15"/>
      <c r="X775" s="23">
        <f t="shared" si="53"/>
        <v>860</v>
      </c>
    </row>
    <row r="776" spans="1:24" x14ac:dyDescent="0.35">
      <c r="A776" s="15" t="s">
        <v>479</v>
      </c>
      <c r="B776" s="3"/>
      <c r="C776" s="15"/>
      <c r="D776" s="15">
        <v>3000</v>
      </c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23">
        <f t="shared" si="52"/>
        <v>3000</v>
      </c>
      <c r="W776" s="15"/>
      <c r="X776" s="23">
        <f t="shared" si="53"/>
        <v>3000</v>
      </c>
    </row>
    <row r="777" spans="1:24" x14ac:dyDescent="0.35">
      <c r="A777" s="15" t="s">
        <v>701</v>
      </c>
      <c r="B777" s="3"/>
      <c r="C777" s="15"/>
      <c r="D777" s="15">
        <v>1000</v>
      </c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23">
        <f t="shared" si="52"/>
        <v>1000</v>
      </c>
      <c r="W777" s="15"/>
      <c r="X777" s="23">
        <f t="shared" si="53"/>
        <v>1000</v>
      </c>
    </row>
    <row r="778" spans="1:24" x14ac:dyDescent="0.35">
      <c r="A778" s="15" t="s">
        <v>702</v>
      </c>
      <c r="B778" s="3"/>
      <c r="C778" s="15"/>
      <c r="D778" s="15">
        <v>300</v>
      </c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23">
        <f t="shared" si="52"/>
        <v>300</v>
      </c>
      <c r="W778" s="15"/>
      <c r="X778" s="23">
        <f t="shared" si="53"/>
        <v>300</v>
      </c>
    </row>
    <row r="779" spans="1:24" x14ac:dyDescent="0.35">
      <c r="A779" s="15" t="s">
        <v>703</v>
      </c>
      <c r="B779" s="3"/>
      <c r="C779" s="15"/>
      <c r="D779" s="15">
        <v>300</v>
      </c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23">
        <f t="shared" si="52"/>
        <v>300</v>
      </c>
      <c r="W779" s="15"/>
      <c r="X779" s="23">
        <f t="shared" si="53"/>
        <v>300</v>
      </c>
    </row>
    <row r="780" spans="1:24" x14ac:dyDescent="0.35">
      <c r="A780" s="15" t="s">
        <v>704</v>
      </c>
      <c r="B780" s="3"/>
      <c r="C780" s="15"/>
      <c r="D780" s="15">
        <v>300</v>
      </c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23">
        <f t="shared" si="52"/>
        <v>300</v>
      </c>
      <c r="W780" s="15"/>
      <c r="X780" s="23">
        <f t="shared" si="53"/>
        <v>300</v>
      </c>
    </row>
    <row r="781" spans="1:24" x14ac:dyDescent="0.35">
      <c r="A781" s="15" t="s">
        <v>705</v>
      </c>
      <c r="B781" s="3"/>
      <c r="C781" s="15"/>
      <c r="D781" s="15">
        <v>100</v>
      </c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23">
        <f t="shared" si="52"/>
        <v>100</v>
      </c>
      <c r="W781" s="15"/>
      <c r="X781" s="23">
        <f t="shared" si="53"/>
        <v>100</v>
      </c>
    </row>
    <row r="782" spans="1:24" x14ac:dyDescent="0.35">
      <c r="A782" s="15" t="s">
        <v>706</v>
      </c>
      <c r="B782" s="3"/>
      <c r="C782" s="15"/>
      <c r="D782" s="15">
        <v>1850</v>
      </c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23">
        <f t="shared" si="52"/>
        <v>1850</v>
      </c>
      <c r="W782" s="15"/>
      <c r="X782" s="23">
        <f t="shared" si="53"/>
        <v>1850</v>
      </c>
    </row>
    <row r="783" spans="1:24" x14ac:dyDescent="0.35">
      <c r="A783" s="15" t="s">
        <v>707</v>
      </c>
      <c r="B783" s="3"/>
      <c r="C783" s="15"/>
      <c r="D783" s="15">
        <v>70</v>
      </c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23">
        <f t="shared" si="52"/>
        <v>70</v>
      </c>
      <c r="W783" s="15"/>
      <c r="X783" s="23">
        <f t="shared" si="53"/>
        <v>70</v>
      </c>
    </row>
    <row r="784" spans="1:24" x14ac:dyDescent="0.35">
      <c r="A784" s="15" t="s">
        <v>708</v>
      </c>
      <c r="B784" s="3"/>
      <c r="C784" s="15"/>
      <c r="D784" s="15">
        <v>-8845</v>
      </c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23">
        <f t="shared" si="52"/>
        <v>-8845</v>
      </c>
      <c r="W784" s="15"/>
      <c r="X784" s="23">
        <f t="shared" si="53"/>
        <v>-8845</v>
      </c>
    </row>
    <row r="785" spans="1:24" x14ac:dyDescent="0.35">
      <c r="A785" s="15" t="s">
        <v>709</v>
      </c>
      <c r="B785" s="3"/>
      <c r="C785" s="15"/>
      <c r="D785" s="15">
        <v>130</v>
      </c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23">
        <f t="shared" si="52"/>
        <v>130</v>
      </c>
      <c r="W785" s="15"/>
      <c r="X785" s="23">
        <f t="shared" si="53"/>
        <v>130</v>
      </c>
    </row>
    <row r="786" spans="1:24" x14ac:dyDescent="0.35">
      <c r="A786" s="15" t="s">
        <v>710</v>
      </c>
      <c r="B786" s="3"/>
      <c r="C786" s="15"/>
      <c r="D786" s="15">
        <v>500</v>
      </c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23">
        <f t="shared" si="52"/>
        <v>500</v>
      </c>
      <c r="W786" s="15"/>
      <c r="X786" s="23">
        <f t="shared" si="53"/>
        <v>500</v>
      </c>
    </row>
    <row r="787" spans="1:24" x14ac:dyDescent="0.35">
      <c r="A787" s="15" t="s">
        <v>711</v>
      </c>
      <c r="B787" s="3"/>
      <c r="C787" s="15"/>
      <c r="D787" s="15">
        <v>75</v>
      </c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23">
        <f t="shared" si="52"/>
        <v>75</v>
      </c>
      <c r="W787" s="15"/>
      <c r="X787" s="23">
        <f t="shared" si="53"/>
        <v>75</v>
      </c>
    </row>
    <row r="788" spans="1:24" x14ac:dyDescent="0.35">
      <c r="A788" s="15" t="s">
        <v>712</v>
      </c>
      <c r="B788" s="3"/>
      <c r="C788" s="15"/>
      <c r="D788" s="15">
        <v>120</v>
      </c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23">
        <f t="shared" si="52"/>
        <v>120</v>
      </c>
      <c r="W788" s="15"/>
      <c r="X788" s="23">
        <f t="shared" si="53"/>
        <v>120</v>
      </c>
    </row>
    <row r="789" spans="1:24" x14ac:dyDescent="0.35">
      <c r="A789" s="15" t="s">
        <v>713</v>
      </c>
      <c r="B789" s="3"/>
      <c r="C789" s="15"/>
      <c r="D789" s="15">
        <v>150</v>
      </c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23">
        <f t="shared" si="52"/>
        <v>150</v>
      </c>
      <c r="W789" s="15"/>
      <c r="X789" s="23">
        <f t="shared" si="53"/>
        <v>150</v>
      </c>
    </row>
    <row r="790" spans="1:24" x14ac:dyDescent="0.35">
      <c r="A790" s="15" t="s">
        <v>714</v>
      </c>
      <c r="B790" s="3"/>
      <c r="C790" s="15"/>
      <c r="D790" s="15">
        <v>1275</v>
      </c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23">
        <f t="shared" si="52"/>
        <v>1275</v>
      </c>
      <c r="W790" s="15"/>
      <c r="X790" s="23">
        <f t="shared" si="53"/>
        <v>1275</v>
      </c>
    </row>
    <row r="791" spans="1:24" x14ac:dyDescent="0.35">
      <c r="A791" s="15" t="s">
        <v>656</v>
      </c>
      <c r="B791" s="3"/>
      <c r="C791" s="15"/>
      <c r="D791" s="15">
        <v>95</v>
      </c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23">
        <f t="shared" si="52"/>
        <v>95</v>
      </c>
      <c r="W791" s="15"/>
      <c r="X791" s="23">
        <f t="shared" si="53"/>
        <v>95</v>
      </c>
    </row>
    <row r="792" spans="1:24" x14ac:dyDescent="0.35">
      <c r="A792" s="15" t="s">
        <v>656</v>
      </c>
      <c r="B792" s="3"/>
      <c r="C792" s="15"/>
      <c r="D792" s="15">
        <v>50</v>
      </c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23">
        <f t="shared" si="52"/>
        <v>50</v>
      </c>
      <c r="W792" s="15"/>
      <c r="X792" s="23">
        <f t="shared" si="53"/>
        <v>50</v>
      </c>
    </row>
    <row r="793" spans="1:24" x14ac:dyDescent="0.35">
      <c r="A793" s="15" t="s">
        <v>715</v>
      </c>
      <c r="B793" s="3"/>
      <c r="C793" s="15"/>
      <c r="D793" s="15">
        <v>1655</v>
      </c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23">
        <f t="shared" si="52"/>
        <v>1655</v>
      </c>
      <c r="W793" s="15"/>
      <c r="X793" s="23">
        <f t="shared" si="53"/>
        <v>1655</v>
      </c>
    </row>
    <row r="794" spans="1:24" x14ac:dyDescent="0.35">
      <c r="A794" s="15" t="s">
        <v>716</v>
      </c>
      <c r="B794" s="3"/>
      <c r="C794" s="15"/>
      <c r="D794" s="15">
        <v>1875</v>
      </c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23">
        <f t="shared" si="52"/>
        <v>1875</v>
      </c>
      <c r="W794" s="15"/>
      <c r="X794" s="23">
        <f t="shared" si="53"/>
        <v>1875</v>
      </c>
    </row>
    <row r="795" spans="1:24" x14ac:dyDescent="0.35">
      <c r="A795" s="15" t="s">
        <v>682</v>
      </c>
      <c r="B795" s="3"/>
      <c r="C795" s="15"/>
      <c r="D795" s="15">
        <v>200</v>
      </c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23">
        <f t="shared" si="52"/>
        <v>200</v>
      </c>
      <c r="W795" s="15"/>
      <c r="X795" s="23">
        <f t="shared" si="53"/>
        <v>200</v>
      </c>
    </row>
    <row r="796" spans="1:24" x14ac:dyDescent="0.35">
      <c r="A796" s="15" t="s">
        <v>717</v>
      </c>
      <c r="B796" s="3"/>
      <c r="C796" s="15"/>
      <c r="D796" s="15">
        <v>15</v>
      </c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23">
        <f t="shared" si="52"/>
        <v>15</v>
      </c>
      <c r="W796" s="15"/>
      <c r="X796" s="23">
        <f t="shared" si="53"/>
        <v>15</v>
      </c>
    </row>
    <row r="797" spans="1:24" x14ac:dyDescent="0.35">
      <c r="A797" s="15" t="s">
        <v>718</v>
      </c>
      <c r="B797" s="3"/>
      <c r="C797" s="15"/>
      <c r="D797" s="15">
        <v>100</v>
      </c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23">
        <f t="shared" si="52"/>
        <v>100</v>
      </c>
      <c r="W797" s="15"/>
      <c r="X797" s="23">
        <f t="shared" si="53"/>
        <v>100</v>
      </c>
    </row>
    <row r="798" spans="1:24" x14ac:dyDescent="0.35">
      <c r="A798" s="15" t="s">
        <v>719</v>
      </c>
      <c r="B798" s="3"/>
      <c r="C798" s="15"/>
      <c r="D798" s="15">
        <v>680</v>
      </c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23">
        <f t="shared" si="52"/>
        <v>680</v>
      </c>
      <c r="W798" s="15"/>
      <c r="X798" s="23">
        <f t="shared" si="53"/>
        <v>680</v>
      </c>
    </row>
    <row r="799" spans="1:24" x14ac:dyDescent="0.35">
      <c r="A799" s="15" t="s">
        <v>719</v>
      </c>
      <c r="B799" s="3"/>
      <c r="C799" s="15"/>
      <c r="D799" s="15">
        <v>40</v>
      </c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23">
        <f t="shared" si="52"/>
        <v>40</v>
      </c>
      <c r="W799" s="15"/>
      <c r="X799" s="23">
        <f t="shared" si="53"/>
        <v>40</v>
      </c>
    </row>
    <row r="800" spans="1:24" x14ac:dyDescent="0.35">
      <c r="A800" s="15" t="s">
        <v>720</v>
      </c>
      <c r="B800" s="3"/>
      <c r="C800" s="15"/>
      <c r="D800" s="15">
        <v>770</v>
      </c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23">
        <f t="shared" si="52"/>
        <v>770</v>
      </c>
      <c r="W800" s="15"/>
      <c r="X800" s="23">
        <f t="shared" si="53"/>
        <v>770</v>
      </c>
    </row>
    <row r="801" spans="1:24" x14ac:dyDescent="0.35">
      <c r="A801" s="15" t="s">
        <v>662</v>
      </c>
      <c r="B801" s="3"/>
      <c r="C801" s="15"/>
      <c r="D801" s="15">
        <v>670</v>
      </c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23">
        <f t="shared" si="52"/>
        <v>670</v>
      </c>
      <c r="W801" s="15"/>
      <c r="X801" s="23">
        <f t="shared" si="53"/>
        <v>670</v>
      </c>
    </row>
    <row r="802" spans="1:24" x14ac:dyDescent="0.35">
      <c r="A802" s="15" t="s">
        <v>673</v>
      </c>
      <c r="B802" s="3"/>
      <c r="C802" s="15"/>
      <c r="D802" s="15">
        <v>1040</v>
      </c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23">
        <f t="shared" si="52"/>
        <v>1040</v>
      </c>
      <c r="W802" s="15"/>
      <c r="X802" s="23">
        <f t="shared" si="53"/>
        <v>1040</v>
      </c>
    </row>
    <row r="803" spans="1:24" x14ac:dyDescent="0.35">
      <c r="A803" s="15" t="s">
        <v>721</v>
      </c>
      <c r="B803" s="3"/>
      <c r="C803" s="15"/>
      <c r="D803" s="15">
        <v>1</v>
      </c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23">
        <f t="shared" si="52"/>
        <v>1</v>
      </c>
      <c r="W803" s="15"/>
      <c r="X803" s="23">
        <f t="shared" si="53"/>
        <v>1</v>
      </c>
    </row>
    <row r="804" spans="1:24" x14ac:dyDescent="0.35">
      <c r="A804" s="15" t="s">
        <v>722</v>
      </c>
      <c r="B804" s="3"/>
      <c r="C804" s="15"/>
      <c r="D804" s="15">
        <v>3930</v>
      </c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23">
        <f t="shared" si="52"/>
        <v>3930</v>
      </c>
      <c r="W804" s="15"/>
      <c r="X804" s="23">
        <f t="shared" si="53"/>
        <v>3930</v>
      </c>
    </row>
    <row r="805" spans="1:24" x14ac:dyDescent="0.35">
      <c r="A805" s="15" t="s">
        <v>723</v>
      </c>
      <c r="B805" s="3"/>
      <c r="C805" s="15"/>
      <c r="D805" s="15">
        <v>340</v>
      </c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23">
        <f t="shared" si="52"/>
        <v>340</v>
      </c>
      <c r="W805" s="15"/>
      <c r="X805" s="23">
        <f t="shared" si="53"/>
        <v>340</v>
      </c>
    </row>
    <row r="806" spans="1:24" x14ac:dyDescent="0.35">
      <c r="A806" s="15" t="s">
        <v>358</v>
      </c>
      <c r="B806" s="3"/>
      <c r="C806" s="15"/>
      <c r="D806" s="15">
        <v>370</v>
      </c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23">
        <f t="shared" si="52"/>
        <v>370</v>
      </c>
      <c r="W806" s="15"/>
      <c r="X806" s="23">
        <f t="shared" si="53"/>
        <v>370</v>
      </c>
    </row>
    <row r="807" spans="1:24" x14ac:dyDescent="0.35">
      <c r="A807" s="15" t="s">
        <v>362</v>
      </c>
      <c r="B807" s="3"/>
      <c r="C807" s="15"/>
      <c r="D807" s="15">
        <v>-55</v>
      </c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23">
        <f t="shared" si="52"/>
        <v>-55</v>
      </c>
      <c r="W807" s="15"/>
      <c r="X807" s="23">
        <f t="shared" si="53"/>
        <v>-55</v>
      </c>
    </row>
    <row r="808" spans="1:24" x14ac:dyDescent="0.35">
      <c r="A808" s="15" t="s">
        <v>317</v>
      </c>
      <c r="B808" s="3"/>
      <c r="C808" s="15"/>
      <c r="D808" s="15">
        <v>240</v>
      </c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23">
        <f t="shared" si="52"/>
        <v>240</v>
      </c>
      <c r="W808" s="15"/>
      <c r="X808" s="23">
        <f t="shared" si="53"/>
        <v>240</v>
      </c>
    </row>
    <row r="809" spans="1:24" x14ac:dyDescent="0.35">
      <c r="A809" s="15" t="s">
        <v>317</v>
      </c>
      <c r="B809" s="3"/>
      <c r="C809" s="15"/>
      <c r="D809" s="15">
        <v>150</v>
      </c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23">
        <f t="shared" si="52"/>
        <v>150</v>
      </c>
      <c r="W809" s="15"/>
      <c r="X809" s="23">
        <f t="shared" si="53"/>
        <v>150</v>
      </c>
    </row>
    <row r="810" spans="1:24" x14ac:dyDescent="0.35">
      <c r="A810" s="15" t="s">
        <v>317</v>
      </c>
      <c r="B810" s="3"/>
      <c r="C810" s="15"/>
      <c r="D810" s="15">
        <v>-75</v>
      </c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23">
        <f t="shared" si="52"/>
        <v>-75</v>
      </c>
      <c r="W810" s="15"/>
      <c r="X810" s="23">
        <f t="shared" si="53"/>
        <v>-75</v>
      </c>
    </row>
    <row r="811" spans="1:24" x14ac:dyDescent="0.35">
      <c r="A811" s="15" t="s">
        <v>648</v>
      </c>
      <c r="B811" s="3"/>
      <c r="C811" s="15"/>
      <c r="D811" s="15">
        <v>20</v>
      </c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23">
        <f t="shared" si="52"/>
        <v>20</v>
      </c>
      <c r="W811" s="15"/>
      <c r="X811" s="23">
        <f t="shared" si="53"/>
        <v>20</v>
      </c>
    </row>
    <row r="812" spans="1:24" x14ac:dyDescent="0.35">
      <c r="A812" s="15" t="s">
        <v>724</v>
      </c>
      <c r="B812" s="3"/>
      <c r="C812" s="15"/>
      <c r="D812" s="15">
        <v>0</v>
      </c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23">
        <f t="shared" si="52"/>
        <v>0</v>
      </c>
      <c r="W812" s="15"/>
      <c r="X812" s="23">
        <f t="shared" si="53"/>
        <v>0</v>
      </c>
    </row>
    <row r="813" spans="1:24" x14ac:dyDescent="0.35">
      <c r="A813" s="15" t="s">
        <v>725</v>
      </c>
      <c r="B813" s="3"/>
      <c r="C813" s="15"/>
      <c r="D813" s="15">
        <v>200</v>
      </c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23">
        <f t="shared" si="52"/>
        <v>200</v>
      </c>
      <c r="W813" s="15"/>
      <c r="X813" s="23">
        <f t="shared" si="53"/>
        <v>200</v>
      </c>
    </row>
    <row r="814" spans="1:24" x14ac:dyDescent="0.35">
      <c r="A814" s="15" t="s">
        <v>726</v>
      </c>
      <c r="B814" s="3"/>
      <c r="C814" s="15"/>
      <c r="D814" s="15">
        <v>510</v>
      </c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23">
        <f t="shared" si="52"/>
        <v>510</v>
      </c>
      <c r="W814" s="15"/>
      <c r="X814" s="23">
        <f t="shared" si="53"/>
        <v>510</v>
      </c>
    </row>
    <row r="815" spans="1:24" x14ac:dyDescent="0.35">
      <c r="A815" s="15" t="s">
        <v>726</v>
      </c>
      <c r="B815" s="3"/>
      <c r="C815" s="15"/>
      <c r="D815" s="15">
        <v>5</v>
      </c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23">
        <f t="shared" si="52"/>
        <v>5</v>
      </c>
      <c r="W815" s="15"/>
      <c r="X815" s="23">
        <f t="shared" si="53"/>
        <v>5</v>
      </c>
    </row>
    <row r="816" spans="1:24" x14ac:dyDescent="0.35">
      <c r="A816" s="15" t="s">
        <v>628</v>
      </c>
      <c r="B816" s="3"/>
      <c r="C816" s="15"/>
      <c r="D816" s="15">
        <v>3584</v>
      </c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23">
        <f t="shared" si="52"/>
        <v>3584</v>
      </c>
      <c r="W816" s="15"/>
      <c r="X816" s="23">
        <f t="shared" si="53"/>
        <v>3584</v>
      </c>
    </row>
    <row r="817" spans="1:24" x14ac:dyDescent="0.35">
      <c r="A817" s="15" t="s">
        <v>628</v>
      </c>
      <c r="B817" s="3"/>
      <c r="C817" s="15"/>
      <c r="D817" s="15">
        <v>60000</v>
      </c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23">
        <f t="shared" si="52"/>
        <v>60000</v>
      </c>
      <c r="W817" s="15"/>
      <c r="X817" s="23">
        <f t="shared" si="53"/>
        <v>60000</v>
      </c>
    </row>
    <row r="818" spans="1:24" x14ac:dyDescent="0.35">
      <c r="A818" s="15" t="s">
        <v>727</v>
      </c>
      <c r="B818" s="3"/>
      <c r="C818" s="15"/>
      <c r="D818" s="15">
        <v>644.24</v>
      </c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23">
        <f t="shared" ref="V818:V870" si="54">SUM(D818:K818)</f>
        <v>644.24</v>
      </c>
      <c r="W818" s="15"/>
      <c r="X818" s="23">
        <f t="shared" si="53"/>
        <v>644.24</v>
      </c>
    </row>
    <row r="819" spans="1:24" x14ac:dyDescent="0.35">
      <c r="A819" s="15" t="s">
        <v>728</v>
      </c>
      <c r="B819" s="3"/>
      <c r="C819" s="15"/>
      <c r="D819" s="15">
        <v>3600</v>
      </c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23">
        <f t="shared" si="54"/>
        <v>3600</v>
      </c>
      <c r="W819" s="15"/>
      <c r="X819" s="23">
        <f t="shared" si="53"/>
        <v>3600</v>
      </c>
    </row>
    <row r="820" spans="1:24" x14ac:dyDescent="0.35">
      <c r="A820" s="15" t="s">
        <v>729</v>
      </c>
      <c r="B820" s="3"/>
      <c r="C820" s="15"/>
      <c r="D820" s="15">
        <v>6550</v>
      </c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23">
        <f t="shared" si="54"/>
        <v>6550</v>
      </c>
      <c r="W820" s="15"/>
      <c r="X820" s="23">
        <f t="shared" si="53"/>
        <v>6550</v>
      </c>
    </row>
    <row r="821" spans="1:24" x14ac:dyDescent="0.35">
      <c r="A821" s="15" t="s">
        <v>365</v>
      </c>
      <c r="B821" s="3"/>
      <c r="C821" s="15"/>
      <c r="D821" s="15">
        <v>845</v>
      </c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23">
        <f t="shared" si="54"/>
        <v>845</v>
      </c>
      <c r="W821" s="15"/>
      <c r="X821" s="23">
        <f t="shared" si="53"/>
        <v>845</v>
      </c>
    </row>
    <row r="822" spans="1:24" x14ac:dyDescent="0.35">
      <c r="A822" s="15" t="s">
        <v>730</v>
      </c>
      <c r="B822" s="3"/>
      <c r="C822" s="15"/>
      <c r="D822" s="15">
        <v>-350</v>
      </c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23">
        <f t="shared" si="54"/>
        <v>-350</v>
      </c>
      <c r="W822" s="15"/>
      <c r="X822" s="23">
        <f t="shared" si="53"/>
        <v>-350</v>
      </c>
    </row>
    <row r="823" spans="1:24" x14ac:dyDescent="0.35">
      <c r="A823" s="15" t="s">
        <v>731</v>
      </c>
      <c r="B823" s="3"/>
      <c r="C823" s="15"/>
      <c r="D823" s="15">
        <v>300</v>
      </c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23">
        <f t="shared" si="54"/>
        <v>300</v>
      </c>
      <c r="W823" s="15"/>
      <c r="X823" s="23">
        <f t="shared" si="53"/>
        <v>300</v>
      </c>
    </row>
    <row r="824" spans="1:24" x14ac:dyDescent="0.35">
      <c r="A824" s="15" t="s">
        <v>732</v>
      </c>
      <c r="B824" s="3"/>
      <c r="C824" s="15"/>
      <c r="D824" s="15">
        <v>140</v>
      </c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23">
        <f t="shared" si="54"/>
        <v>140</v>
      </c>
      <c r="W824" s="15"/>
      <c r="X824" s="23">
        <f t="shared" si="53"/>
        <v>140</v>
      </c>
    </row>
    <row r="825" spans="1:24" x14ac:dyDescent="0.35">
      <c r="A825" s="15" t="s">
        <v>733</v>
      </c>
      <c r="B825" s="3"/>
      <c r="C825" s="15"/>
      <c r="D825" s="15">
        <v>360</v>
      </c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23">
        <f t="shared" si="54"/>
        <v>360</v>
      </c>
      <c r="W825" s="15"/>
      <c r="X825" s="23">
        <f t="shared" si="53"/>
        <v>360</v>
      </c>
    </row>
    <row r="826" spans="1:24" x14ac:dyDescent="0.35">
      <c r="A826" s="15" t="s">
        <v>734</v>
      </c>
      <c r="B826" s="3"/>
      <c r="C826" s="15"/>
      <c r="D826" s="15">
        <v>185</v>
      </c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23">
        <f t="shared" si="54"/>
        <v>185</v>
      </c>
      <c r="W826" s="15"/>
      <c r="X826" s="23">
        <f t="shared" si="53"/>
        <v>185</v>
      </c>
    </row>
    <row r="827" spans="1:24" x14ac:dyDescent="0.35">
      <c r="A827" s="15" t="s">
        <v>735</v>
      </c>
      <c r="B827" s="3"/>
      <c r="C827" s="15"/>
      <c r="D827" s="15">
        <v>105</v>
      </c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23">
        <f t="shared" si="54"/>
        <v>105</v>
      </c>
      <c r="W827" s="15"/>
      <c r="X827" s="23">
        <f t="shared" si="53"/>
        <v>105</v>
      </c>
    </row>
    <row r="828" spans="1:24" x14ac:dyDescent="0.35">
      <c r="A828" s="15" t="s">
        <v>736</v>
      </c>
      <c r="B828" s="3"/>
      <c r="C828" s="15"/>
      <c r="D828" s="15">
        <v>1000</v>
      </c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23">
        <f t="shared" si="54"/>
        <v>1000</v>
      </c>
      <c r="W828" s="15"/>
      <c r="X828" s="23">
        <f t="shared" si="53"/>
        <v>1000</v>
      </c>
    </row>
    <row r="829" spans="1:24" x14ac:dyDescent="0.35">
      <c r="A829" s="15" t="s">
        <v>737</v>
      </c>
      <c r="B829" s="3"/>
      <c r="C829" s="15"/>
      <c r="D829" s="15">
        <v>190</v>
      </c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23">
        <f t="shared" si="54"/>
        <v>190</v>
      </c>
      <c r="W829" s="15"/>
      <c r="X829" s="23">
        <f t="shared" si="53"/>
        <v>190</v>
      </c>
    </row>
    <row r="830" spans="1:24" x14ac:dyDescent="0.35">
      <c r="A830" s="15" t="s">
        <v>738</v>
      </c>
      <c r="B830" s="3"/>
      <c r="C830" s="15"/>
      <c r="D830" s="15">
        <v>260</v>
      </c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23">
        <f t="shared" si="54"/>
        <v>260</v>
      </c>
      <c r="W830" s="15"/>
      <c r="X830" s="23">
        <f t="shared" si="53"/>
        <v>260</v>
      </c>
    </row>
    <row r="831" spans="1:24" x14ac:dyDescent="0.35">
      <c r="A831" s="15" t="s">
        <v>739</v>
      </c>
      <c r="B831" s="3"/>
      <c r="C831" s="15"/>
      <c r="D831" s="15">
        <v>140</v>
      </c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23">
        <f t="shared" si="54"/>
        <v>140</v>
      </c>
      <c r="W831" s="15"/>
      <c r="X831" s="23">
        <f t="shared" si="53"/>
        <v>140</v>
      </c>
    </row>
    <row r="832" spans="1:24" x14ac:dyDescent="0.35">
      <c r="A832" s="15" t="s">
        <v>740</v>
      </c>
      <c r="B832" s="3"/>
      <c r="C832" s="15"/>
      <c r="D832" s="15">
        <v>2260</v>
      </c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23">
        <f t="shared" si="54"/>
        <v>2260</v>
      </c>
      <c r="W832" s="15"/>
      <c r="X832" s="23">
        <f t="shared" si="53"/>
        <v>2260</v>
      </c>
    </row>
    <row r="833" spans="1:24" x14ac:dyDescent="0.35">
      <c r="A833" s="15" t="s">
        <v>741</v>
      </c>
      <c r="B833" s="3"/>
      <c r="C833" s="15"/>
      <c r="D833" s="15">
        <v>1900</v>
      </c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23">
        <f t="shared" si="54"/>
        <v>1900</v>
      </c>
      <c r="W833" s="15"/>
      <c r="X833" s="23">
        <f t="shared" si="53"/>
        <v>1900</v>
      </c>
    </row>
    <row r="834" spans="1:24" x14ac:dyDescent="0.35">
      <c r="A834" s="15" t="s">
        <v>742</v>
      </c>
      <c r="B834" s="3"/>
      <c r="C834" s="15"/>
      <c r="D834" s="15">
        <v>300</v>
      </c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23">
        <f t="shared" si="54"/>
        <v>300</v>
      </c>
      <c r="W834" s="15"/>
      <c r="X834" s="23">
        <f t="shared" si="53"/>
        <v>300</v>
      </c>
    </row>
    <row r="835" spans="1:24" x14ac:dyDescent="0.35">
      <c r="A835" s="15" t="s">
        <v>743</v>
      </c>
      <c r="B835" s="3"/>
      <c r="C835" s="15"/>
      <c r="D835" s="15">
        <v>-1000</v>
      </c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23">
        <f t="shared" si="54"/>
        <v>-1000</v>
      </c>
      <c r="W835" s="15"/>
      <c r="X835" s="23">
        <f t="shared" si="53"/>
        <v>-1000</v>
      </c>
    </row>
    <row r="836" spans="1:24" x14ac:dyDescent="0.35">
      <c r="A836" s="15" t="s">
        <v>744</v>
      </c>
      <c r="B836" s="3"/>
      <c r="C836" s="15"/>
      <c r="D836" s="15">
        <v>100</v>
      </c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23">
        <f t="shared" si="54"/>
        <v>100</v>
      </c>
      <c r="W836" s="15"/>
      <c r="X836" s="23">
        <f t="shared" si="53"/>
        <v>100</v>
      </c>
    </row>
    <row r="837" spans="1:24" x14ac:dyDescent="0.35">
      <c r="A837" s="15" t="s">
        <v>745</v>
      </c>
      <c r="B837" s="3"/>
      <c r="C837" s="15"/>
      <c r="D837" s="15">
        <v>200</v>
      </c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23">
        <f t="shared" si="54"/>
        <v>200</v>
      </c>
      <c r="W837" s="15"/>
      <c r="X837" s="23">
        <f t="shared" ref="X837:X871" si="55">V837-W837</f>
        <v>200</v>
      </c>
    </row>
    <row r="838" spans="1:24" x14ac:dyDescent="0.35">
      <c r="A838" s="15" t="s">
        <v>746</v>
      </c>
      <c r="B838" s="3"/>
      <c r="C838" s="15"/>
      <c r="D838" s="15">
        <v>1260</v>
      </c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23">
        <f t="shared" si="54"/>
        <v>1260</v>
      </c>
      <c r="W838" s="15"/>
      <c r="X838" s="23">
        <f t="shared" si="55"/>
        <v>1260</v>
      </c>
    </row>
    <row r="839" spans="1:24" x14ac:dyDescent="0.35">
      <c r="A839" s="15" t="s">
        <v>632</v>
      </c>
      <c r="B839" s="3"/>
      <c r="C839" s="15"/>
      <c r="D839" s="15">
        <v>0</v>
      </c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23">
        <f t="shared" si="54"/>
        <v>0</v>
      </c>
      <c r="W839" s="15"/>
      <c r="X839" s="23">
        <f t="shared" si="55"/>
        <v>0</v>
      </c>
    </row>
    <row r="840" spans="1:24" x14ac:dyDescent="0.35">
      <c r="A840" s="15" t="s">
        <v>663</v>
      </c>
      <c r="B840" s="3"/>
      <c r="C840" s="15"/>
      <c r="D840" s="15">
        <v>420</v>
      </c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23">
        <f t="shared" si="54"/>
        <v>420</v>
      </c>
      <c r="W840" s="15"/>
      <c r="X840" s="23">
        <f t="shared" si="55"/>
        <v>420</v>
      </c>
    </row>
    <row r="841" spans="1:24" x14ac:dyDescent="0.35">
      <c r="A841" s="15" t="s">
        <v>747</v>
      </c>
      <c r="B841" s="3"/>
      <c r="C841" s="15"/>
      <c r="D841" s="15">
        <v>-1060</v>
      </c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23">
        <f t="shared" si="54"/>
        <v>-1060</v>
      </c>
      <c r="W841" s="15"/>
      <c r="X841" s="23">
        <f t="shared" si="55"/>
        <v>-1060</v>
      </c>
    </row>
    <row r="842" spans="1:24" x14ac:dyDescent="0.35">
      <c r="A842" s="15" t="s">
        <v>748</v>
      </c>
      <c r="B842" s="3"/>
      <c r="C842" s="15"/>
      <c r="D842" s="15">
        <v>360</v>
      </c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23">
        <f t="shared" si="54"/>
        <v>360</v>
      </c>
      <c r="W842" s="15"/>
      <c r="X842" s="23">
        <f t="shared" si="55"/>
        <v>360</v>
      </c>
    </row>
    <row r="843" spans="1:24" x14ac:dyDescent="0.35">
      <c r="A843" s="15" t="s">
        <v>749</v>
      </c>
      <c r="B843" s="3"/>
      <c r="C843" s="15"/>
      <c r="D843" s="15">
        <v>750</v>
      </c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23">
        <f t="shared" si="54"/>
        <v>750</v>
      </c>
      <c r="W843" s="15"/>
      <c r="X843" s="23">
        <f t="shared" si="55"/>
        <v>750</v>
      </c>
    </row>
    <row r="844" spans="1:24" x14ac:dyDescent="0.35">
      <c r="A844" s="15" t="s">
        <v>750</v>
      </c>
      <c r="B844" s="3"/>
      <c r="C844" s="15"/>
      <c r="D844" s="15">
        <v>2470</v>
      </c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23">
        <f t="shared" si="54"/>
        <v>2470</v>
      </c>
      <c r="W844" s="15"/>
      <c r="X844" s="23">
        <f t="shared" si="55"/>
        <v>2470</v>
      </c>
    </row>
    <row r="845" spans="1:24" x14ac:dyDescent="0.35">
      <c r="A845" s="15" t="s">
        <v>751</v>
      </c>
      <c r="B845" s="3"/>
      <c r="C845" s="15"/>
      <c r="D845" s="15">
        <v>475</v>
      </c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23">
        <f t="shared" si="54"/>
        <v>475</v>
      </c>
      <c r="W845" s="15"/>
      <c r="X845" s="23">
        <f t="shared" si="55"/>
        <v>475</v>
      </c>
    </row>
    <row r="846" spans="1:24" x14ac:dyDescent="0.35">
      <c r="A846" s="15" t="s">
        <v>752</v>
      </c>
      <c r="B846" s="3"/>
      <c r="C846" s="15"/>
      <c r="D846" s="15">
        <v>925</v>
      </c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23">
        <f t="shared" si="54"/>
        <v>925</v>
      </c>
      <c r="W846" s="15"/>
      <c r="X846" s="23">
        <f t="shared" si="55"/>
        <v>925</v>
      </c>
    </row>
    <row r="847" spans="1:24" x14ac:dyDescent="0.35">
      <c r="A847" s="15" t="s">
        <v>753</v>
      </c>
      <c r="B847" s="3"/>
      <c r="C847" s="15"/>
      <c r="D847" s="15">
        <v>5550</v>
      </c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23">
        <f t="shared" si="54"/>
        <v>5550</v>
      </c>
      <c r="W847" s="15"/>
      <c r="X847" s="23">
        <f t="shared" si="55"/>
        <v>5550</v>
      </c>
    </row>
    <row r="848" spans="1:24" x14ac:dyDescent="0.35">
      <c r="A848" s="15" t="s">
        <v>754</v>
      </c>
      <c r="B848" s="3"/>
      <c r="C848" s="15"/>
      <c r="D848" s="15">
        <v>4045.01</v>
      </c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23">
        <f t="shared" si="54"/>
        <v>4045.01</v>
      </c>
      <c r="W848" s="15"/>
      <c r="X848" s="23">
        <f t="shared" si="55"/>
        <v>4045.01</v>
      </c>
    </row>
    <row r="849" spans="1:24" x14ac:dyDescent="0.35">
      <c r="A849" s="15" t="s">
        <v>755</v>
      </c>
      <c r="B849" s="3"/>
      <c r="C849" s="15"/>
      <c r="D849" s="15">
        <v>3770</v>
      </c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23">
        <f t="shared" si="54"/>
        <v>3770</v>
      </c>
      <c r="W849" s="15"/>
      <c r="X849" s="23">
        <f t="shared" si="55"/>
        <v>3770</v>
      </c>
    </row>
    <row r="850" spans="1:24" x14ac:dyDescent="0.35">
      <c r="A850" s="15" t="s">
        <v>394</v>
      </c>
      <c r="B850" s="3"/>
      <c r="C850" s="15"/>
      <c r="D850" s="15">
        <v>1090</v>
      </c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23">
        <f t="shared" si="54"/>
        <v>1090</v>
      </c>
      <c r="W850" s="15"/>
      <c r="X850" s="23">
        <f t="shared" si="55"/>
        <v>1090</v>
      </c>
    </row>
    <row r="851" spans="1:24" x14ac:dyDescent="0.35">
      <c r="A851" s="15" t="s">
        <v>756</v>
      </c>
      <c r="B851" s="3"/>
      <c r="C851" s="15"/>
      <c r="D851" s="15">
        <v>600</v>
      </c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23">
        <f t="shared" si="54"/>
        <v>600</v>
      </c>
      <c r="W851" s="15"/>
      <c r="X851" s="23">
        <f t="shared" si="55"/>
        <v>600</v>
      </c>
    </row>
    <row r="852" spans="1:24" x14ac:dyDescent="0.35">
      <c r="A852" s="15" t="s">
        <v>757</v>
      </c>
      <c r="B852" s="3"/>
      <c r="C852" s="15"/>
      <c r="D852" s="15">
        <v>650</v>
      </c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23">
        <f t="shared" si="54"/>
        <v>650</v>
      </c>
      <c r="W852" s="15"/>
      <c r="X852" s="23">
        <f t="shared" si="55"/>
        <v>650</v>
      </c>
    </row>
    <row r="853" spans="1:24" x14ac:dyDescent="0.35">
      <c r="A853" s="15" t="s">
        <v>758</v>
      </c>
      <c r="B853" s="3"/>
      <c r="C853" s="15"/>
      <c r="D853" s="15">
        <v>660</v>
      </c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23">
        <f t="shared" si="54"/>
        <v>660</v>
      </c>
      <c r="W853" s="15"/>
      <c r="X853" s="23">
        <f t="shared" si="55"/>
        <v>660</v>
      </c>
    </row>
    <row r="854" spans="1:24" x14ac:dyDescent="0.35">
      <c r="A854" s="15" t="s">
        <v>759</v>
      </c>
      <c r="B854" s="3"/>
      <c r="C854" s="15"/>
      <c r="D854" s="15">
        <v>200</v>
      </c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23">
        <f t="shared" si="54"/>
        <v>200</v>
      </c>
      <c r="W854" s="15"/>
      <c r="X854" s="23">
        <f t="shared" si="55"/>
        <v>200</v>
      </c>
    </row>
    <row r="855" spans="1:24" x14ac:dyDescent="0.35">
      <c r="A855" s="15" t="s">
        <v>760</v>
      </c>
      <c r="B855" s="3"/>
      <c r="C855" s="15"/>
      <c r="D855" s="15">
        <v>27475</v>
      </c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23">
        <f t="shared" si="54"/>
        <v>27475</v>
      </c>
      <c r="W855" s="15"/>
      <c r="X855" s="23">
        <f t="shared" si="55"/>
        <v>27475</v>
      </c>
    </row>
    <row r="856" spans="1:24" x14ac:dyDescent="0.35">
      <c r="A856" s="15" t="s">
        <v>761</v>
      </c>
      <c r="B856" s="3"/>
      <c r="C856" s="15"/>
      <c r="D856" s="15">
        <v>160</v>
      </c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23">
        <f t="shared" si="54"/>
        <v>160</v>
      </c>
      <c r="W856" s="15"/>
      <c r="X856" s="23">
        <f t="shared" si="55"/>
        <v>160</v>
      </c>
    </row>
    <row r="857" spans="1:24" x14ac:dyDescent="0.35">
      <c r="A857" s="15" t="s">
        <v>762</v>
      </c>
      <c r="B857" s="3"/>
      <c r="C857" s="15"/>
      <c r="D857" s="15">
        <v>1928.8</v>
      </c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23">
        <f t="shared" si="54"/>
        <v>1928.8</v>
      </c>
      <c r="W857" s="15"/>
      <c r="X857" s="23">
        <f t="shared" si="55"/>
        <v>1928.8</v>
      </c>
    </row>
    <row r="858" spans="1:24" x14ac:dyDescent="0.35">
      <c r="A858" s="15" t="s">
        <v>763</v>
      </c>
      <c r="B858" s="3"/>
      <c r="C858" s="15"/>
      <c r="D858" s="15">
        <v>500</v>
      </c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23">
        <f t="shared" si="54"/>
        <v>500</v>
      </c>
      <c r="W858" s="15"/>
      <c r="X858" s="23">
        <f t="shared" si="55"/>
        <v>500</v>
      </c>
    </row>
    <row r="859" spans="1:24" x14ac:dyDescent="0.35">
      <c r="A859" s="15" t="s">
        <v>306</v>
      </c>
      <c r="B859" s="3"/>
      <c r="C859" s="15"/>
      <c r="D859" s="15">
        <v>970</v>
      </c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23">
        <f t="shared" si="54"/>
        <v>970</v>
      </c>
      <c r="W859" s="15"/>
      <c r="X859" s="23">
        <f t="shared" si="55"/>
        <v>970</v>
      </c>
    </row>
    <row r="860" spans="1:24" x14ac:dyDescent="0.35">
      <c r="A860" s="15" t="s">
        <v>764</v>
      </c>
      <c r="B860" s="3"/>
      <c r="C860" s="15"/>
      <c r="D860" s="15">
        <v>400</v>
      </c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23">
        <f t="shared" si="54"/>
        <v>400</v>
      </c>
      <c r="W860" s="15"/>
      <c r="X860" s="23">
        <f t="shared" si="55"/>
        <v>400</v>
      </c>
    </row>
    <row r="861" spans="1:24" x14ac:dyDescent="0.35">
      <c r="A861" s="15" t="s">
        <v>765</v>
      </c>
      <c r="B861" s="3"/>
      <c r="C861" s="15"/>
      <c r="D861" s="15">
        <v>360</v>
      </c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23">
        <f t="shared" si="54"/>
        <v>360</v>
      </c>
      <c r="W861" s="15"/>
      <c r="X861" s="23">
        <f t="shared" si="55"/>
        <v>360</v>
      </c>
    </row>
    <row r="862" spans="1:24" x14ac:dyDescent="0.35">
      <c r="A862" s="15" t="s">
        <v>766</v>
      </c>
      <c r="B862" s="3"/>
      <c r="C862" s="15"/>
      <c r="D862" s="15">
        <v>80</v>
      </c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23">
        <f t="shared" si="54"/>
        <v>80</v>
      </c>
      <c r="W862" s="15"/>
      <c r="X862" s="23">
        <f t="shared" si="55"/>
        <v>80</v>
      </c>
    </row>
    <row r="863" spans="1:24" x14ac:dyDescent="0.35">
      <c r="A863" s="15" t="s">
        <v>402</v>
      </c>
      <c r="B863" s="3"/>
      <c r="C863" s="15"/>
      <c r="D863" s="15">
        <v>0</v>
      </c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23">
        <f t="shared" si="54"/>
        <v>0</v>
      </c>
      <c r="W863" s="15"/>
      <c r="X863" s="23">
        <f t="shared" si="55"/>
        <v>0</v>
      </c>
    </row>
    <row r="864" spans="1:24" x14ac:dyDescent="0.35">
      <c r="A864" s="15" t="s">
        <v>767</v>
      </c>
      <c r="B864" s="3"/>
      <c r="C864" s="15"/>
      <c r="D864" s="15">
        <v>1400</v>
      </c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23">
        <f t="shared" si="54"/>
        <v>1400</v>
      </c>
      <c r="W864" s="15"/>
      <c r="X864" s="23">
        <f t="shared" si="55"/>
        <v>1400</v>
      </c>
    </row>
    <row r="865" spans="1:24" x14ac:dyDescent="0.35">
      <c r="A865" s="15" t="s">
        <v>768</v>
      </c>
      <c r="B865" s="3"/>
      <c r="C865" s="15"/>
      <c r="D865" s="15">
        <v>500</v>
      </c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23">
        <f t="shared" si="54"/>
        <v>500</v>
      </c>
      <c r="W865" s="15"/>
      <c r="X865" s="23">
        <f t="shared" si="55"/>
        <v>500</v>
      </c>
    </row>
    <row r="866" spans="1:24" x14ac:dyDescent="0.35">
      <c r="A866" s="15" t="s">
        <v>769</v>
      </c>
      <c r="B866" s="3"/>
      <c r="C866" s="15"/>
      <c r="D866" s="15">
        <v>22.5</v>
      </c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23">
        <f t="shared" si="54"/>
        <v>22.5</v>
      </c>
      <c r="W866" s="15"/>
      <c r="X866" s="23">
        <f t="shared" si="55"/>
        <v>22.5</v>
      </c>
    </row>
    <row r="867" spans="1:24" x14ac:dyDescent="0.35">
      <c r="A867" s="15" t="s">
        <v>770</v>
      </c>
      <c r="B867" s="3"/>
      <c r="C867" s="15"/>
      <c r="D867" s="15">
        <v>43606</v>
      </c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23">
        <f t="shared" si="54"/>
        <v>43606</v>
      </c>
      <c r="W867" s="15"/>
      <c r="X867" s="23">
        <f t="shared" si="55"/>
        <v>43606</v>
      </c>
    </row>
    <row r="868" spans="1:24" x14ac:dyDescent="0.35">
      <c r="A868" s="15" t="s">
        <v>771</v>
      </c>
      <c r="B868" s="3"/>
      <c r="C868" s="15"/>
      <c r="D868" s="15">
        <v>3000</v>
      </c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23">
        <f t="shared" si="54"/>
        <v>3000</v>
      </c>
      <c r="W868" s="15"/>
      <c r="X868" s="23">
        <f t="shared" si="55"/>
        <v>3000</v>
      </c>
    </row>
    <row r="869" spans="1:24" x14ac:dyDescent="0.35">
      <c r="A869" s="15" t="s">
        <v>772</v>
      </c>
      <c r="B869" s="3"/>
      <c r="C869" s="15"/>
      <c r="D869" s="15">
        <v>8000</v>
      </c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23">
        <f t="shared" si="54"/>
        <v>8000</v>
      </c>
      <c r="W869" s="15"/>
      <c r="X869" s="23">
        <f t="shared" si="55"/>
        <v>8000</v>
      </c>
    </row>
    <row r="870" spans="1:24" x14ac:dyDescent="0.35">
      <c r="A870" s="15" t="s">
        <v>773</v>
      </c>
      <c r="B870" s="3"/>
      <c r="C870" s="15"/>
      <c r="D870" s="15">
        <v>500</v>
      </c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23">
        <f t="shared" si="54"/>
        <v>500</v>
      </c>
      <c r="W870" s="15"/>
      <c r="X870" s="23">
        <f t="shared" si="55"/>
        <v>500</v>
      </c>
    </row>
    <row r="871" spans="1:24" s="39" customFormat="1" x14ac:dyDescent="0.35">
      <c r="A871" s="38" t="s">
        <v>774</v>
      </c>
      <c r="B871" s="3"/>
      <c r="C871" s="38"/>
      <c r="D871" s="38">
        <v>176</v>
      </c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>
        <f>SUM(D871:E871)</f>
        <v>176</v>
      </c>
      <c r="W871" s="38"/>
      <c r="X871" s="38">
        <f t="shared" si="55"/>
        <v>176</v>
      </c>
    </row>
  </sheetData>
  <sortState xmlns:xlrd2="http://schemas.microsoft.com/office/spreadsheetml/2017/richdata2" ref="A190:CH266">
    <sortCondition ref="A18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H20"/>
  <sheetViews>
    <sheetView topLeftCell="A16" workbookViewId="0">
      <selection activeCell="H2" sqref="H2:H6"/>
    </sheetView>
  </sheetViews>
  <sheetFormatPr defaultRowHeight="14.5" x14ac:dyDescent="0.35"/>
  <cols>
    <col min="1" max="1" width="2.453125" bestFit="1" customWidth="1"/>
  </cols>
  <sheetData>
    <row r="1" spans="3:8" x14ac:dyDescent="0.35">
      <c r="C1" s="21"/>
      <c r="D1" s="21"/>
    </row>
    <row r="2" spans="3:8" x14ac:dyDescent="0.35">
      <c r="C2" s="109" t="s">
        <v>1021</v>
      </c>
      <c r="D2" s="109"/>
      <c r="E2" s="102"/>
      <c r="F2" s="102"/>
      <c r="G2" t="s">
        <v>1022</v>
      </c>
      <c r="H2">
        <v>97000</v>
      </c>
    </row>
    <row r="3" spans="3:8" x14ac:dyDescent="0.35">
      <c r="C3" s="21">
        <f>17540+20000</f>
        <v>37540</v>
      </c>
      <c r="D3" s="21">
        <v>20000</v>
      </c>
      <c r="E3" s="102"/>
      <c r="F3" s="102"/>
      <c r="G3" t="s">
        <v>1023</v>
      </c>
      <c r="H3">
        <v>233200</v>
      </c>
    </row>
    <row r="4" spans="3:8" x14ac:dyDescent="0.35">
      <c r="C4" s="21">
        <v>25000</v>
      </c>
      <c r="D4" s="21">
        <v>3000</v>
      </c>
      <c r="E4" s="102"/>
      <c r="F4" s="102"/>
      <c r="G4" t="s">
        <v>1024</v>
      </c>
      <c r="H4">
        <v>1328000</v>
      </c>
    </row>
    <row r="5" spans="3:8" x14ac:dyDescent="0.35">
      <c r="C5" s="21"/>
      <c r="D5" s="21">
        <v>5000</v>
      </c>
      <c r="E5" s="102"/>
      <c r="F5" s="102"/>
      <c r="G5" t="s">
        <v>1025</v>
      </c>
      <c r="H5">
        <v>81200</v>
      </c>
    </row>
    <row r="6" spans="3:8" x14ac:dyDescent="0.35">
      <c r="C6" s="21"/>
      <c r="D6" s="21">
        <v>100</v>
      </c>
      <c r="E6" s="102"/>
      <c r="F6" s="102"/>
      <c r="G6" t="s">
        <v>1026</v>
      </c>
      <c r="H6">
        <v>1792300</v>
      </c>
    </row>
    <row r="7" spans="3:8" x14ac:dyDescent="0.35">
      <c r="C7" s="21"/>
      <c r="D7" s="21">
        <v>200</v>
      </c>
      <c r="E7" s="102"/>
      <c r="F7" s="102"/>
    </row>
    <row r="8" spans="3:8" x14ac:dyDescent="0.35">
      <c r="C8" s="21"/>
      <c r="D8" s="21">
        <v>2000</v>
      </c>
      <c r="E8" s="102"/>
      <c r="F8" s="102"/>
    </row>
    <row r="9" spans="3:8" x14ac:dyDescent="0.35">
      <c r="C9" s="21"/>
      <c r="D9" s="21">
        <v>190</v>
      </c>
      <c r="E9" s="102"/>
      <c r="F9" s="102"/>
    </row>
    <row r="10" spans="3:8" x14ac:dyDescent="0.35">
      <c r="C10" s="21"/>
      <c r="D10" s="21"/>
      <c r="E10" s="102"/>
      <c r="F10" s="102"/>
    </row>
    <row r="11" spans="3:8" x14ac:dyDescent="0.35">
      <c r="C11" s="21"/>
      <c r="D11" s="21"/>
      <c r="E11" s="102"/>
      <c r="F11" s="102"/>
    </row>
    <row r="12" spans="3:8" x14ac:dyDescent="0.35">
      <c r="C12" s="21"/>
      <c r="D12" s="21"/>
      <c r="E12" s="102"/>
      <c r="F12" s="102"/>
    </row>
    <row r="13" spans="3:8" x14ac:dyDescent="0.35">
      <c r="C13" s="21"/>
      <c r="D13" s="21"/>
      <c r="E13" s="102"/>
      <c r="F13" s="102"/>
    </row>
    <row r="14" spans="3:8" x14ac:dyDescent="0.35">
      <c r="C14" s="21"/>
      <c r="D14" s="21"/>
      <c r="E14" s="102"/>
      <c r="F14" s="102"/>
    </row>
    <row r="15" spans="3:8" x14ac:dyDescent="0.35">
      <c r="C15" s="21"/>
      <c r="D15" s="21"/>
      <c r="E15" s="102"/>
      <c r="F15" s="102"/>
    </row>
    <row r="16" spans="3:8" x14ac:dyDescent="0.35">
      <c r="C16" s="21"/>
      <c r="D16" s="21"/>
      <c r="E16" s="102"/>
      <c r="F16" s="102"/>
    </row>
    <row r="17" spans="3:6" x14ac:dyDescent="0.35">
      <c r="C17" s="21">
        <f>SUM(C3:C16)</f>
        <v>62540</v>
      </c>
      <c r="D17" s="21">
        <f>SUM(D3:D16)</f>
        <v>30490</v>
      </c>
      <c r="E17" s="102"/>
      <c r="F17" s="102"/>
    </row>
    <row r="18" spans="3:6" x14ac:dyDescent="0.35">
      <c r="C18" s="31">
        <f>C17-D17</f>
        <v>32050</v>
      </c>
      <c r="D18" s="21"/>
      <c r="E18" s="102"/>
      <c r="F18" s="102"/>
    </row>
    <row r="19" spans="3:6" x14ac:dyDescent="0.35">
      <c r="C19" s="21">
        <f>32240-20</f>
        <v>32220</v>
      </c>
      <c r="D19" s="21"/>
      <c r="E19" s="102"/>
      <c r="F19" s="102"/>
    </row>
    <row r="20" spans="3:6" x14ac:dyDescent="0.35">
      <c r="C20" s="21">
        <f>C18-C19</f>
        <v>-170</v>
      </c>
      <c r="D20" s="21"/>
      <c r="E20" s="102"/>
      <c r="F20" s="102"/>
    </row>
  </sheetData>
  <mergeCells count="1"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workbookViewId="0">
      <selection activeCell="J14" sqref="J14"/>
    </sheetView>
  </sheetViews>
  <sheetFormatPr defaultRowHeight="14.5" x14ac:dyDescent="0.35"/>
  <cols>
    <col min="1" max="1" width="3" bestFit="1" customWidth="1"/>
    <col min="2" max="2" width="20.7265625" bestFit="1" customWidth="1"/>
  </cols>
  <sheetData>
    <row r="1" spans="1:7" x14ac:dyDescent="0.35">
      <c r="A1" s="110" t="s">
        <v>912</v>
      </c>
      <c r="B1" s="110"/>
      <c r="C1" s="110"/>
      <c r="D1" s="110"/>
      <c r="E1" s="110"/>
      <c r="F1" s="110"/>
      <c r="G1" s="110"/>
    </row>
    <row r="2" spans="1:7" x14ac:dyDescent="0.35">
      <c r="A2">
        <v>1</v>
      </c>
      <c r="B2" t="s">
        <v>913</v>
      </c>
      <c r="C2">
        <v>452</v>
      </c>
    </row>
    <row r="3" spans="1:7" x14ac:dyDescent="0.35">
      <c r="A3">
        <v>2</v>
      </c>
      <c r="B3" t="s">
        <v>914</v>
      </c>
      <c r="C3">
        <v>443</v>
      </c>
    </row>
    <row r="4" spans="1:7" x14ac:dyDescent="0.35">
      <c r="A4">
        <v>3</v>
      </c>
      <c r="B4" t="s">
        <v>915</v>
      </c>
      <c r="C4">
        <v>431</v>
      </c>
    </row>
    <row r="5" spans="1:7" x14ac:dyDescent="0.35">
      <c r="A5">
        <v>4</v>
      </c>
      <c r="B5" t="s">
        <v>916</v>
      </c>
      <c r="C5">
        <v>427</v>
      </c>
    </row>
    <row r="6" spans="1:7" x14ac:dyDescent="0.35">
      <c r="A6">
        <v>5</v>
      </c>
      <c r="B6" t="s">
        <v>917</v>
      </c>
      <c r="C6">
        <v>418</v>
      </c>
    </row>
    <row r="7" spans="1:7" x14ac:dyDescent="0.35">
      <c r="A7">
        <v>6</v>
      </c>
      <c r="B7" t="s">
        <v>918</v>
      </c>
      <c r="C7">
        <v>416</v>
      </c>
    </row>
    <row r="8" spans="1:7" x14ac:dyDescent="0.35">
      <c r="A8">
        <v>7</v>
      </c>
      <c r="B8" t="s">
        <v>919</v>
      </c>
      <c r="C8">
        <v>400</v>
      </c>
    </row>
    <row r="9" spans="1:7" x14ac:dyDescent="0.35">
      <c r="A9">
        <v>8</v>
      </c>
      <c r="B9" t="s">
        <v>920</v>
      </c>
      <c r="C9">
        <v>395</v>
      </c>
    </row>
    <row r="10" spans="1:7" x14ac:dyDescent="0.35">
      <c r="A10">
        <v>9</v>
      </c>
      <c r="B10" t="s">
        <v>921</v>
      </c>
      <c r="C10">
        <v>395</v>
      </c>
    </row>
    <row r="11" spans="1:7" x14ac:dyDescent="0.35">
      <c r="A11">
        <v>10</v>
      </c>
      <c r="B11" t="s">
        <v>922</v>
      </c>
      <c r="C11">
        <v>386</v>
      </c>
    </row>
    <row r="12" spans="1:7" x14ac:dyDescent="0.35">
      <c r="A12">
        <v>11</v>
      </c>
      <c r="B12" t="s">
        <v>923</v>
      </c>
      <c r="C12">
        <v>452</v>
      </c>
    </row>
    <row r="13" spans="1:7" x14ac:dyDescent="0.35">
      <c r="A13">
        <v>12</v>
      </c>
      <c r="B13" t="s">
        <v>924</v>
      </c>
      <c r="C13">
        <v>431</v>
      </c>
    </row>
    <row r="14" spans="1:7" x14ac:dyDescent="0.35">
      <c r="A14">
        <v>13</v>
      </c>
      <c r="B14" t="s">
        <v>925</v>
      </c>
      <c r="C14">
        <v>427</v>
      </c>
    </row>
    <row r="15" spans="1:7" x14ac:dyDescent="0.35">
      <c r="A15">
        <v>14</v>
      </c>
      <c r="B15" t="s">
        <v>926</v>
      </c>
      <c r="C15">
        <v>416</v>
      </c>
    </row>
    <row r="16" spans="1:7" x14ac:dyDescent="0.35">
      <c r="A16">
        <v>15</v>
      </c>
      <c r="B16" t="s">
        <v>927</v>
      </c>
      <c r="C16">
        <v>395</v>
      </c>
    </row>
    <row r="17" spans="1:3" x14ac:dyDescent="0.35">
      <c r="A17">
        <v>16</v>
      </c>
      <c r="B17" t="s">
        <v>928</v>
      </c>
      <c r="C17">
        <v>395</v>
      </c>
    </row>
    <row r="18" spans="1:3" x14ac:dyDescent="0.35">
      <c r="A18">
        <v>17</v>
      </c>
      <c r="B18" t="s">
        <v>929</v>
      </c>
      <c r="C18">
        <v>311</v>
      </c>
    </row>
    <row r="19" spans="1:3" x14ac:dyDescent="0.35">
      <c r="A19">
        <v>18</v>
      </c>
      <c r="B19" t="s">
        <v>930</v>
      </c>
      <c r="C19">
        <v>280</v>
      </c>
    </row>
    <row r="20" spans="1:3" x14ac:dyDescent="0.35">
      <c r="A20">
        <v>19</v>
      </c>
      <c r="B20" t="s">
        <v>931</v>
      </c>
      <c r="C20">
        <v>268</v>
      </c>
    </row>
    <row r="21" spans="1:3" x14ac:dyDescent="0.35">
      <c r="A21">
        <v>20</v>
      </c>
      <c r="B21" t="s">
        <v>932</v>
      </c>
      <c r="C21">
        <v>404</v>
      </c>
    </row>
    <row r="22" spans="1:3" x14ac:dyDescent="0.35">
      <c r="A22">
        <v>21</v>
      </c>
      <c r="B22" t="s">
        <v>933</v>
      </c>
      <c r="C22">
        <v>395</v>
      </c>
    </row>
    <row r="23" spans="1:3" x14ac:dyDescent="0.35">
      <c r="A23">
        <v>22</v>
      </c>
      <c r="B23" t="s">
        <v>934</v>
      </c>
      <c r="C23">
        <v>321</v>
      </c>
    </row>
    <row r="24" spans="1:3" x14ac:dyDescent="0.35">
      <c r="A24">
        <v>23</v>
      </c>
      <c r="B24" t="s">
        <v>935</v>
      </c>
      <c r="C24">
        <v>297</v>
      </c>
    </row>
    <row r="25" spans="1:3" x14ac:dyDescent="0.35">
      <c r="A25">
        <v>24</v>
      </c>
      <c r="B25" t="s">
        <v>936</v>
      </c>
      <c r="C25">
        <v>283</v>
      </c>
    </row>
    <row r="26" spans="1:3" x14ac:dyDescent="0.35">
      <c r="A26">
        <v>25</v>
      </c>
      <c r="B26" t="s">
        <v>937</v>
      </c>
      <c r="C26">
        <v>359</v>
      </c>
    </row>
    <row r="27" spans="1:3" x14ac:dyDescent="0.35">
      <c r="A27">
        <v>26</v>
      </c>
      <c r="B27" t="s">
        <v>938</v>
      </c>
      <c r="C27">
        <v>341</v>
      </c>
    </row>
    <row r="28" spans="1:3" x14ac:dyDescent="0.35">
      <c r="A28">
        <v>27</v>
      </c>
      <c r="B28" t="s">
        <v>939</v>
      </c>
      <c r="C28">
        <v>330</v>
      </c>
    </row>
    <row r="29" spans="1:3" x14ac:dyDescent="0.35">
      <c r="A29">
        <v>28</v>
      </c>
      <c r="B29" t="s">
        <v>940</v>
      </c>
      <c r="C29">
        <v>414</v>
      </c>
    </row>
    <row r="30" spans="1:3" x14ac:dyDescent="0.35">
      <c r="A30">
        <v>29</v>
      </c>
      <c r="B30" t="s">
        <v>941</v>
      </c>
      <c r="C30">
        <v>221</v>
      </c>
    </row>
    <row r="31" spans="1:3" x14ac:dyDescent="0.35">
      <c r="A31">
        <v>30</v>
      </c>
      <c r="B31" t="s">
        <v>942</v>
      </c>
      <c r="C31">
        <v>335</v>
      </c>
    </row>
    <row r="32" spans="1:3" x14ac:dyDescent="0.35">
      <c r="A32">
        <v>31</v>
      </c>
      <c r="B32" t="s">
        <v>943</v>
      </c>
      <c r="C32">
        <v>317</v>
      </c>
    </row>
    <row r="33" spans="1:3" x14ac:dyDescent="0.35">
      <c r="A33">
        <v>32</v>
      </c>
      <c r="B33" t="s">
        <v>944</v>
      </c>
      <c r="C33">
        <v>310</v>
      </c>
    </row>
    <row r="34" spans="1:3" x14ac:dyDescent="0.35">
      <c r="A34">
        <v>33</v>
      </c>
      <c r="B34" t="s">
        <v>945</v>
      </c>
      <c r="C34">
        <v>308</v>
      </c>
    </row>
    <row r="35" spans="1:3" x14ac:dyDescent="0.35">
      <c r="A35">
        <v>34</v>
      </c>
      <c r="B35" t="s">
        <v>946</v>
      </c>
      <c r="C35">
        <v>296</v>
      </c>
    </row>
    <row r="36" spans="1:3" x14ac:dyDescent="0.35">
      <c r="A36">
        <v>35</v>
      </c>
      <c r="B36" t="s">
        <v>947</v>
      </c>
      <c r="C36">
        <v>291</v>
      </c>
    </row>
    <row r="37" spans="1:3" x14ac:dyDescent="0.35">
      <c r="A37">
        <v>36</v>
      </c>
      <c r="B37" t="s">
        <v>948</v>
      </c>
      <c r="C37">
        <v>150</v>
      </c>
    </row>
    <row r="38" spans="1:3" x14ac:dyDescent="0.35">
      <c r="A38">
        <v>37</v>
      </c>
      <c r="B38" t="s">
        <v>949</v>
      </c>
      <c r="C38">
        <v>431</v>
      </c>
    </row>
    <row r="39" spans="1:3" x14ac:dyDescent="0.35">
      <c r="A39">
        <v>38</v>
      </c>
      <c r="B39" t="s">
        <v>950</v>
      </c>
      <c r="C39">
        <v>404</v>
      </c>
    </row>
    <row r="40" spans="1:3" x14ac:dyDescent="0.35">
      <c r="A40">
        <v>39</v>
      </c>
      <c r="B40" t="s">
        <v>951</v>
      </c>
      <c r="C40">
        <v>395</v>
      </c>
    </row>
    <row r="41" spans="1:3" x14ac:dyDescent="0.35">
      <c r="A41">
        <v>40</v>
      </c>
      <c r="B41" t="s">
        <v>952</v>
      </c>
      <c r="C41">
        <v>457</v>
      </c>
    </row>
    <row r="42" spans="1:3" x14ac:dyDescent="0.35">
      <c r="A42">
        <v>41</v>
      </c>
      <c r="B42" t="s">
        <v>953</v>
      </c>
      <c r="C42">
        <v>434</v>
      </c>
    </row>
    <row r="43" spans="1:3" x14ac:dyDescent="0.35">
      <c r="A43">
        <v>42</v>
      </c>
      <c r="B43" t="s">
        <v>954</v>
      </c>
      <c r="C43">
        <v>430</v>
      </c>
    </row>
    <row r="44" spans="1:3" x14ac:dyDescent="0.35">
      <c r="A44">
        <v>43</v>
      </c>
      <c r="B44" t="s">
        <v>955</v>
      </c>
      <c r="C44">
        <v>397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Lubetech International</cp:lastModifiedBy>
  <dcterms:created xsi:type="dcterms:W3CDTF">2026-07-17T08:43:29Z</dcterms:created>
  <dcterms:modified xsi:type="dcterms:W3CDTF">2026-09-19T13:08:15Z</dcterms:modified>
</cp:coreProperties>
</file>